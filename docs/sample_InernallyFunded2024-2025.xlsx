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enzy\Downloads\"/>
    </mc:Choice>
  </mc:AlternateContent>
  <xr:revisionPtr revIDLastSave="0" documentId="13_ncr:1_{8E14A219-DA2F-4B09-83A8-410C24FE7B9A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INTERNALLY FUND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1" i="2" l="1"/>
  <c r="L110" i="2"/>
  <c r="L109" i="2"/>
  <c r="L108" i="2"/>
  <c r="L85" i="2"/>
  <c r="L84" i="2"/>
  <c r="L83" i="2"/>
  <c r="L82" i="2"/>
  <c r="L81" i="2"/>
  <c r="L80" i="2"/>
  <c r="L79" i="2"/>
  <c r="L78" i="2"/>
  <c r="L77" i="2"/>
  <c r="L75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N215" i="2"/>
  <c r="G235" i="2"/>
  <c r="G234" i="2"/>
  <c r="G233" i="2"/>
  <c r="G232" i="2"/>
  <c r="G231" i="2"/>
  <c r="G225" i="2"/>
  <c r="G224" i="2"/>
  <c r="G228" i="2"/>
  <c r="G227" i="2"/>
  <c r="G226" i="2"/>
  <c r="G221" i="2"/>
  <c r="G220" i="2"/>
  <c r="G213" i="2" s="1"/>
  <c r="G219" i="2"/>
  <c r="G218" i="2"/>
  <c r="G211" i="2" s="1"/>
  <c r="K211" i="2" s="1"/>
  <c r="O211" i="2" s="1"/>
  <c r="G217" i="2"/>
  <c r="G210" i="2" s="1"/>
  <c r="J214" i="2"/>
  <c r="I214" i="2"/>
  <c r="H214" i="2"/>
  <c r="G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N189" i="2"/>
  <c r="G209" i="2"/>
  <c r="G208" i="2"/>
  <c r="G207" i="2"/>
  <c r="G206" i="2"/>
  <c r="G205" i="2"/>
  <c r="G194" i="2"/>
  <c r="G201" i="2"/>
  <c r="G198" i="2"/>
  <c r="G202" i="2"/>
  <c r="G200" i="2"/>
  <c r="G199" i="2"/>
  <c r="G195" i="2"/>
  <c r="G193" i="2"/>
  <c r="G192" i="2"/>
  <c r="G191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N144" i="2"/>
  <c r="G183" i="2"/>
  <c r="G182" i="2"/>
  <c r="G181" i="2"/>
  <c r="G180" i="2"/>
  <c r="G177" i="2"/>
  <c r="G176" i="2"/>
  <c r="G175" i="2"/>
  <c r="G174" i="2"/>
  <c r="G173" i="2"/>
  <c r="G179" i="2"/>
  <c r="G169" i="2"/>
  <c r="G167" i="2"/>
  <c r="G166" i="2"/>
  <c r="G162" i="2"/>
  <c r="G170" i="2"/>
  <c r="G168" i="2"/>
  <c r="G164" i="2"/>
  <c r="G163" i="2"/>
  <c r="G161" i="2"/>
  <c r="G160" i="2"/>
  <c r="G157" i="2"/>
  <c r="G156" i="2"/>
  <c r="G155" i="2"/>
  <c r="G154" i="2"/>
  <c r="G153" i="2"/>
  <c r="G152" i="2"/>
  <c r="G138" i="2" s="1"/>
  <c r="G151" i="2"/>
  <c r="G150" i="2"/>
  <c r="G149" i="2"/>
  <c r="G148" i="2"/>
  <c r="G147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B134" i="2"/>
  <c r="B135" i="2" s="1"/>
  <c r="B136" i="2" s="1"/>
  <c r="B137" i="2" s="1"/>
  <c r="B138" i="2" s="1"/>
  <c r="B139" i="2" s="1"/>
  <c r="B140" i="2" s="1"/>
  <c r="B141" i="2" s="1"/>
  <c r="B142" i="2" s="1"/>
  <c r="B143" i="2" s="1"/>
  <c r="N112" i="2"/>
  <c r="J132" i="2"/>
  <c r="I132" i="2"/>
  <c r="I111" i="2" s="1"/>
  <c r="H132" i="2"/>
  <c r="H111" i="2" s="1"/>
  <c r="J131" i="2"/>
  <c r="I131" i="2"/>
  <c r="I110" i="2" s="1"/>
  <c r="H131" i="2"/>
  <c r="H110" i="2" s="1"/>
  <c r="J130" i="2"/>
  <c r="I130" i="2"/>
  <c r="I109" i="2" s="1"/>
  <c r="H130" i="2"/>
  <c r="H109" i="2" s="1"/>
  <c r="J129" i="2"/>
  <c r="I129" i="2"/>
  <c r="I108" i="2" s="1"/>
  <c r="H129" i="2"/>
  <c r="H108" i="2" s="1"/>
  <c r="G117" i="2"/>
  <c r="K117" i="2" s="1"/>
  <c r="O117" i="2" s="1"/>
  <c r="G116" i="2"/>
  <c r="K116" i="2" s="1"/>
  <c r="O116" i="2" s="1"/>
  <c r="G115" i="2"/>
  <c r="K115" i="2" s="1"/>
  <c r="O115" i="2" s="1"/>
  <c r="G114" i="2"/>
  <c r="K114" i="2" s="1"/>
  <c r="O114" i="2" s="1"/>
  <c r="G124" i="2"/>
  <c r="G119" i="2"/>
  <c r="N106" i="2"/>
  <c r="L105" i="2"/>
  <c r="L104" i="2"/>
  <c r="L103" i="2"/>
  <c r="L102" i="2"/>
  <c r="L101" i="2"/>
  <c r="L100" i="2"/>
  <c r="L99" i="2"/>
  <c r="K105" i="2"/>
  <c r="K104" i="2"/>
  <c r="K103" i="2"/>
  <c r="K102" i="2"/>
  <c r="K101" i="2"/>
  <c r="K100" i="2"/>
  <c r="B100" i="2"/>
  <c r="B101" i="2" s="1"/>
  <c r="B102" i="2" s="1"/>
  <c r="B103" i="2" s="1"/>
  <c r="B104" i="2" s="1"/>
  <c r="B105" i="2" s="1"/>
  <c r="K99" i="2"/>
  <c r="N98" i="2"/>
  <c r="N86" i="2"/>
  <c r="K97" i="2"/>
  <c r="O97" i="2" s="1"/>
  <c r="K96" i="2"/>
  <c r="L96" i="2" s="1"/>
  <c r="O96" i="2" s="1"/>
  <c r="K95" i="2"/>
  <c r="L95" i="2" s="1"/>
  <c r="O95" i="2" s="1"/>
  <c r="K94" i="2"/>
  <c r="O94" i="2" s="1"/>
  <c r="K93" i="2"/>
  <c r="O93" i="2" s="1"/>
  <c r="K92" i="2"/>
  <c r="O92" i="2" s="1"/>
  <c r="K91" i="2"/>
  <c r="O91" i="2" s="1"/>
  <c r="K90" i="2"/>
  <c r="O90" i="2" s="1"/>
  <c r="K89" i="2"/>
  <c r="O89" i="2" s="1"/>
  <c r="K88" i="2"/>
  <c r="O88" i="2" s="1"/>
  <c r="K87" i="2"/>
  <c r="B88" i="2"/>
  <c r="B89" i="2" s="1"/>
  <c r="B90" i="2" s="1"/>
  <c r="B91" i="2" s="1"/>
  <c r="B92" i="2" s="1"/>
  <c r="B93" i="2" s="1"/>
  <c r="B94" i="2" s="1"/>
  <c r="B95" i="2" s="1"/>
  <c r="B96" i="2" s="1"/>
  <c r="B97" i="2" s="1"/>
  <c r="L76" i="2"/>
  <c r="K85" i="2"/>
  <c r="K84" i="2"/>
  <c r="K83" i="2"/>
  <c r="K82" i="2"/>
  <c r="K81" i="2"/>
  <c r="K80" i="2"/>
  <c r="K79" i="2"/>
  <c r="K78" i="2"/>
  <c r="K77" i="2"/>
  <c r="K76" i="2"/>
  <c r="K75" i="2"/>
  <c r="B76" i="2"/>
  <c r="B77" i="2" s="1"/>
  <c r="B78" i="2" s="1"/>
  <c r="B79" i="2" s="1"/>
  <c r="B80" i="2" s="1"/>
  <c r="B81" i="2" s="1"/>
  <c r="B82" i="2" s="1"/>
  <c r="B83" i="2" s="1"/>
  <c r="B84" i="2" s="1"/>
  <c r="B85" i="2" s="1"/>
  <c r="N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B49" i="2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N47" i="2"/>
  <c r="K46" i="2"/>
  <c r="O46" i="2" s="1"/>
  <c r="K45" i="2"/>
  <c r="O45" i="2" s="1"/>
  <c r="K44" i="2"/>
  <c r="O44" i="2" s="1"/>
  <c r="K43" i="2"/>
  <c r="O43" i="2" s="1"/>
  <c r="K42" i="2"/>
  <c r="O42" i="2" s="1"/>
  <c r="N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B27" i="2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N23" i="2"/>
  <c r="K22" i="2"/>
  <c r="O22" i="2" s="1"/>
  <c r="K21" i="2"/>
  <c r="O21" i="2" s="1"/>
  <c r="K20" i="2"/>
  <c r="O20" i="2" s="1"/>
  <c r="N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G184" i="2" l="1"/>
  <c r="L184" i="2" s="1"/>
  <c r="G212" i="2"/>
  <c r="K212" i="2" s="1"/>
  <c r="O212" i="2" s="1"/>
  <c r="G185" i="2"/>
  <c r="L185" i="2" s="1"/>
  <c r="G186" i="2"/>
  <c r="L186" i="2" s="1"/>
  <c r="G188" i="2"/>
  <c r="L188" i="2" s="1"/>
  <c r="K214" i="2"/>
  <c r="O214" i="2" s="1"/>
  <c r="K210" i="2"/>
  <c r="O210" i="2" s="1"/>
  <c r="K213" i="2"/>
  <c r="O213" i="2" s="1"/>
  <c r="G187" i="2"/>
  <c r="K187" i="2" s="1"/>
  <c r="K184" i="2"/>
  <c r="O184" i="2" s="1"/>
  <c r="G136" i="2"/>
  <c r="K136" i="2" s="1"/>
  <c r="G141" i="2"/>
  <c r="K141" i="2" s="1"/>
  <c r="O141" i="2" s="1"/>
  <c r="G143" i="2"/>
  <c r="K143" i="2" s="1"/>
  <c r="O143" i="2" s="1"/>
  <c r="G131" i="2"/>
  <c r="G110" i="2" s="1"/>
  <c r="K110" i="2" s="1"/>
  <c r="G135" i="2"/>
  <c r="K135" i="2" s="1"/>
  <c r="O135" i="2" s="1"/>
  <c r="G140" i="2"/>
  <c r="K140" i="2" s="1"/>
  <c r="L140" i="2" s="1"/>
  <c r="O140" i="2" s="1"/>
  <c r="G132" i="2"/>
  <c r="G111" i="2" s="1"/>
  <c r="G137" i="2"/>
  <c r="K137" i="2" s="1"/>
  <c r="O137" i="2" s="1"/>
  <c r="G142" i="2"/>
  <c r="K142" i="2" s="1"/>
  <c r="O142" i="2" s="1"/>
  <c r="G133" i="2"/>
  <c r="K133" i="2" s="1"/>
  <c r="O133" i="2" s="1"/>
  <c r="G139" i="2"/>
  <c r="K139" i="2" s="1"/>
  <c r="O139" i="2" s="1"/>
  <c r="G134" i="2"/>
  <c r="K134" i="2" s="1"/>
  <c r="O134" i="2" s="1"/>
  <c r="K138" i="2"/>
  <c r="O138" i="2" s="1"/>
  <c r="O100" i="2"/>
  <c r="O61" i="2"/>
  <c r="O62" i="2"/>
  <c r="G129" i="2"/>
  <c r="G108" i="2" s="1"/>
  <c r="O70" i="2"/>
  <c r="O54" i="2"/>
  <c r="O50" i="2"/>
  <c r="O75" i="2"/>
  <c r="O102" i="2"/>
  <c r="O76" i="2"/>
  <c r="O103" i="2"/>
  <c r="O72" i="2"/>
  <c r="O78" i="2"/>
  <c r="O105" i="2"/>
  <c r="G130" i="2"/>
  <c r="G109" i="2" s="1"/>
  <c r="O52" i="2"/>
  <c r="O59" i="2"/>
  <c r="O79" i="2"/>
  <c r="O98" i="2"/>
  <c r="O101" i="2"/>
  <c r="O58" i="2"/>
  <c r="O65" i="2"/>
  <c r="O60" i="2"/>
  <c r="O80" i="2"/>
  <c r="O81" i="2"/>
  <c r="O13" i="2"/>
  <c r="O53" i="2"/>
  <c r="O48" i="2"/>
  <c r="O68" i="2"/>
  <c r="O47" i="2"/>
  <c r="O63" i="2"/>
  <c r="O64" i="2"/>
  <c r="O9" i="2"/>
  <c r="O29" i="2"/>
  <c r="O66" i="2"/>
  <c r="O35" i="2"/>
  <c r="O67" i="2"/>
  <c r="O82" i="2"/>
  <c r="O104" i="2"/>
  <c r="O49" i="2"/>
  <c r="O69" i="2"/>
  <c r="O84" i="2"/>
  <c r="O5" i="2"/>
  <c r="O85" i="2"/>
  <c r="O51" i="2"/>
  <c r="O71" i="2"/>
  <c r="O83" i="2"/>
  <c r="O55" i="2"/>
  <c r="O39" i="2"/>
  <c r="O56" i="2"/>
  <c r="O40" i="2"/>
  <c r="O57" i="2"/>
  <c r="O99" i="2"/>
  <c r="O77" i="2"/>
  <c r="O38" i="2"/>
  <c r="O32" i="2"/>
  <c r="O30" i="2"/>
  <c r="O28" i="2"/>
  <c r="O36" i="2"/>
  <c r="O37" i="2"/>
  <c r="O31" i="2"/>
  <c r="O27" i="2"/>
  <c r="O33" i="2"/>
  <c r="O34" i="2"/>
  <c r="O26" i="2"/>
  <c r="O23" i="2"/>
  <c r="O11" i="2"/>
  <c r="O14" i="2"/>
  <c r="O15" i="2"/>
  <c r="O17" i="2"/>
  <c r="O12" i="2"/>
  <c r="O16" i="2"/>
  <c r="O7" i="2"/>
  <c r="O10" i="2"/>
  <c r="O8" i="2"/>
  <c r="O6" i="2"/>
  <c r="K188" i="2" l="1"/>
  <c r="O188" i="2"/>
  <c r="K185" i="2"/>
  <c r="O185" i="2" s="1"/>
  <c r="K186" i="2"/>
  <c r="O186" i="2" s="1"/>
  <c r="O215" i="2"/>
  <c r="L187" i="2"/>
  <c r="O187" i="2"/>
  <c r="O189" i="2" s="1"/>
  <c r="K111" i="2"/>
  <c r="O111" i="2" s="1"/>
  <c r="O110" i="2"/>
  <c r="L136" i="2"/>
  <c r="O136" i="2" s="1"/>
  <c r="O144" i="2" s="1"/>
  <c r="K109" i="2"/>
  <c r="O73" i="2"/>
  <c r="O86" i="2"/>
  <c r="O18" i="2"/>
  <c r="O106" i="2"/>
  <c r="O41" i="2"/>
  <c r="O109" i="2" l="1"/>
  <c r="K108" i="2" l="1"/>
  <c r="O108" i="2" s="1"/>
  <c r="O112" i="2" s="1"/>
</calcChain>
</file>

<file path=xl/sharedStrings.xml><?xml version="1.0" encoding="utf-8"?>
<sst xmlns="http://schemas.openxmlformats.org/spreadsheetml/2006/main" count="412" uniqueCount="108">
  <si>
    <t>EXTERNALLY FUNDED</t>
  </si>
  <si>
    <t>NAMES</t>
  </si>
  <si>
    <t>Grade/year</t>
  </si>
  <si>
    <t>Tuition</t>
  </si>
  <si>
    <t>other Fees</t>
  </si>
  <si>
    <t>Miscellaneous</t>
  </si>
  <si>
    <t>Total Fees</t>
  </si>
  <si>
    <t>Amount Subsidy</t>
  </si>
  <si>
    <t>% of subsidy</t>
  </si>
  <si>
    <t>no.of student</t>
  </si>
  <si>
    <t>FSE</t>
  </si>
  <si>
    <t>BSIT 2</t>
  </si>
  <si>
    <t>BSTM 2</t>
  </si>
  <si>
    <t>BSTM 3</t>
  </si>
  <si>
    <t>BSIT 1</t>
  </si>
  <si>
    <t>BSIT 3</t>
  </si>
  <si>
    <t>BSHM 1</t>
  </si>
  <si>
    <t>Grade 9</t>
  </si>
  <si>
    <t>Grade 8</t>
  </si>
  <si>
    <t>Grade 3</t>
  </si>
  <si>
    <t>Grade 10</t>
  </si>
  <si>
    <t>Grade 2</t>
  </si>
  <si>
    <t>Grade 5</t>
  </si>
  <si>
    <t>Grade 6</t>
  </si>
  <si>
    <t>Grade 4</t>
  </si>
  <si>
    <t>BSTM 1</t>
  </si>
  <si>
    <t>TOTAL</t>
  </si>
  <si>
    <t>Castillo</t>
  </si>
  <si>
    <t>Vicente</t>
  </si>
  <si>
    <t>BASIC EDUCATION</t>
  </si>
  <si>
    <t>DESCRIPTION</t>
  </si>
  <si>
    <t>Pontillo</t>
  </si>
  <si>
    <t>Barneso</t>
  </si>
  <si>
    <t>GRADE SCHOOL</t>
  </si>
  <si>
    <t>JUNIOR HIGH SCHOOL</t>
  </si>
  <si>
    <t>SENIOR HIGH SCHOOL</t>
  </si>
  <si>
    <t>Laboratory Fees</t>
  </si>
  <si>
    <t>BEED 3</t>
  </si>
  <si>
    <t>BSCS 2</t>
  </si>
  <si>
    <t>Otugay</t>
  </si>
  <si>
    <t>BEED 1</t>
  </si>
  <si>
    <t>BSA 4</t>
  </si>
  <si>
    <t xml:space="preserve"> Charlie</t>
  </si>
  <si>
    <t>BSA 3</t>
  </si>
  <si>
    <t>Bernadez</t>
  </si>
  <si>
    <t>Faelnar</t>
  </si>
  <si>
    <t>BSBA 4</t>
  </si>
  <si>
    <t>BEED 4</t>
  </si>
  <si>
    <t xml:space="preserve"> Janjezrel B. </t>
  </si>
  <si>
    <t xml:space="preserve"> Angeline M.</t>
  </si>
  <si>
    <t xml:space="preserve"> Buban</t>
  </si>
  <si>
    <t xml:space="preserve"> Decipulo</t>
  </si>
  <si>
    <t xml:space="preserve"> Quita</t>
  </si>
  <si>
    <t xml:space="preserve"> Torreon</t>
  </si>
  <si>
    <t xml:space="preserve"> Turla</t>
  </si>
  <si>
    <t>Roa</t>
  </si>
  <si>
    <t>EMPLOYEES  SCHOOLING PRIVILEGE</t>
  </si>
  <si>
    <t>Kindergarten</t>
  </si>
  <si>
    <t>SCHOOL GRANT</t>
  </si>
  <si>
    <t>Grade 7</t>
  </si>
  <si>
    <t xml:space="preserve">Grade 8 </t>
  </si>
  <si>
    <t xml:space="preserve">Grade 7 </t>
  </si>
  <si>
    <t>ACADEMIC GRANTS</t>
  </si>
  <si>
    <t>Grade 12</t>
  </si>
  <si>
    <t>Grade 11</t>
  </si>
  <si>
    <t>HIGHER EDUCATION</t>
  </si>
  <si>
    <t>Imma Cris S.</t>
  </si>
  <si>
    <t>Angelika P.</t>
  </si>
  <si>
    <t>Enricuso</t>
  </si>
  <si>
    <t>Saneboy B.</t>
  </si>
  <si>
    <t>Bea May B/</t>
  </si>
  <si>
    <t>3RD TRI</t>
  </si>
  <si>
    <t>2ND TRI</t>
  </si>
  <si>
    <t>1ST TRI</t>
  </si>
  <si>
    <t xml:space="preserve"> BSA 1</t>
  </si>
  <si>
    <t xml:space="preserve"> Jhamela D. </t>
  </si>
  <si>
    <t xml:space="preserve"> Acepher P. </t>
  </si>
  <si>
    <t xml:space="preserve"> Klent Jay S. </t>
  </si>
  <si>
    <t xml:space="preserve"> Junrey Kent P. </t>
  </si>
  <si>
    <t xml:space="preserve"> Hanna Joy Q. </t>
  </si>
  <si>
    <t xml:space="preserve"> Rogil A. </t>
  </si>
  <si>
    <t xml:space="preserve"> Angel Grace G.</t>
  </si>
  <si>
    <t xml:space="preserve"> Jonavie A. </t>
  </si>
  <si>
    <t xml:space="preserve"> Basal</t>
  </si>
  <si>
    <t xml:space="preserve"> Dueǹa</t>
  </si>
  <si>
    <t xml:space="preserve"> Fajardo</t>
  </si>
  <si>
    <t xml:space="preserve"> Mabido</t>
  </si>
  <si>
    <t xml:space="preserve"> Platil</t>
  </si>
  <si>
    <t xml:space="preserve"> Silvosa</t>
  </si>
  <si>
    <t xml:space="preserve"> Talavera</t>
  </si>
  <si>
    <t>WORKING SCHOLARS</t>
  </si>
  <si>
    <t>Grace B.</t>
  </si>
  <si>
    <t>Missy A.</t>
  </si>
  <si>
    <t>Kristyl Ivy T.</t>
  </si>
  <si>
    <t>Anamitche F.</t>
  </si>
  <si>
    <t>Lilan A.</t>
  </si>
  <si>
    <t>BSM 1</t>
  </si>
  <si>
    <t>100% TUITION</t>
  </si>
  <si>
    <t xml:space="preserve"> Rodney V. </t>
  </si>
  <si>
    <t xml:space="preserve"> Vincent Brylle V.</t>
  </si>
  <si>
    <t xml:space="preserve"> John Albert E. </t>
  </si>
  <si>
    <t xml:space="preserve"> Chuck Matthew M.</t>
  </si>
  <si>
    <t xml:space="preserve"> Quintin Rhys S. </t>
  </si>
  <si>
    <t xml:space="preserve"> Ajang</t>
  </si>
  <si>
    <t xml:space="preserve"> Comeling</t>
  </si>
  <si>
    <t xml:space="preserve"> Mosad</t>
  </si>
  <si>
    <t xml:space="preserve"> Salvador</t>
  </si>
  <si>
    <t>ATHLETIC SCHOLARS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</si>
</sst>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 * #,##0.00_ ;_ * \-#,##0.00_ ;_ * &quot;-&quot;??_ ;_ @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sz val="12"/>
      <color theme="1"/>
      <name val="Century Gothic"/>
      <family val="2"/>
    </font>
    <font>
      <sz val="11"/>
      <color rgb="FF003300"/>
      <name val="Century Gothic"/>
      <family val="2"/>
    </font>
    <font>
      <sz val="12"/>
      <color rgb="FF0033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43" fontId="4" fillId="0" borderId="0" xfId="1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43" fontId="6" fillId="0" borderId="0" xfId="1" applyFont="1" applyFill="1" applyBorder="1" applyAlignment="1">
      <alignment horizontal="center"/>
    </xf>
    <xf numFmtId="43" fontId="6" fillId="0" borderId="0" xfId="1" applyFont="1" applyFill="1" applyBorder="1" applyAlignment="1"/>
    <xf numFmtId="43" fontId="6" fillId="0" borderId="0" xfId="1" applyFont="1" applyFill="1" applyBorder="1"/>
    <xf numFmtId="0" fontId="6" fillId="0" borderId="0" xfId="0" applyFont="1" applyAlignment="1">
      <alignment horizontal="center"/>
    </xf>
    <xf numFmtId="43" fontId="4" fillId="0" borderId="0" xfId="1" applyFont="1"/>
    <xf numFmtId="9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2" fontId="5" fillId="0" borderId="0" xfId="0" applyNumberFormat="1" applyFont="1"/>
    <xf numFmtId="0" fontId="8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9" fontId="7" fillId="0" borderId="0" xfId="0" applyNumberFormat="1" applyFont="1" applyAlignment="1">
      <alignment horizontal="center" vertical="center" wrapText="1"/>
    </xf>
    <xf numFmtId="43" fontId="4" fillId="0" borderId="0" xfId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/>
    </xf>
    <xf numFmtId="0" fontId="6" fillId="4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2" xfId="3" xr:uid="{00000000-0005-0000-0000-00000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8" sqref="A18:M18"/>
    </sheetView>
  </sheetViews>
  <sheetFormatPr defaultColWidth="9" defaultRowHeight="15" customHeight="1"/>
  <cols>
    <col min="1" max="1" width="37.42578125" style="1" customWidth="1"/>
    <col min="2" max="2" width="4.5703125" style="1" customWidth="1"/>
    <col min="3" max="3" width="18.140625" style="1" customWidth="1"/>
    <col min="4" max="4" width="34" style="1" customWidth="1"/>
    <col min="5" max="5" width="9.28515625" style="1" customWidth="1"/>
    <col min="6" max="6" width="16" style="1" customWidth="1"/>
    <col min="7" max="7" width="12" style="16" customWidth="1"/>
    <col min="8" max="8" width="17.42578125" style="16" customWidth="1"/>
    <col min="9" max="9" width="14.85546875" style="16" customWidth="1"/>
    <col min="10" max="10" width="17" style="16" customWidth="1"/>
    <col min="11" max="11" width="13.5703125" style="16" customWidth="1"/>
    <col min="12" max="12" width="18" style="16" customWidth="1"/>
    <col min="13" max="13" width="15.140625" style="1" customWidth="1"/>
    <col min="14" max="14" width="15.85546875" style="1" customWidth="1"/>
    <col min="15" max="16384" width="9" style="1"/>
  </cols>
  <sheetData>
    <row r="1" spans="1:15" ht="30" customHeight="1">
      <c r="A1" s="7" t="s">
        <v>0</v>
      </c>
      <c r="B1" s="8"/>
      <c r="C1" s="7"/>
      <c r="D1" s="7"/>
      <c r="E1" s="3"/>
      <c r="F1" s="5"/>
      <c r="G1" s="9"/>
      <c r="H1" s="9"/>
      <c r="I1" s="9"/>
      <c r="J1" s="9"/>
      <c r="K1" s="9"/>
      <c r="L1" s="9"/>
      <c r="M1" s="5"/>
    </row>
    <row r="2" spans="1:15" ht="15" customHeight="1">
      <c r="A2" s="31" t="s">
        <v>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5" customHeight="1">
      <c r="A3" s="30" t="s">
        <v>33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s="3" customFormat="1" ht="15" customHeight="1">
      <c r="A4" s="10" t="s">
        <v>30</v>
      </c>
      <c r="B4" s="32" t="s">
        <v>1</v>
      </c>
      <c r="C4" s="32"/>
      <c r="D4" s="32"/>
      <c r="E4" s="32"/>
      <c r="F4" s="11" t="s">
        <v>2</v>
      </c>
      <c r="G4" s="12" t="s">
        <v>3</v>
      </c>
      <c r="H4" s="12" t="s">
        <v>4</v>
      </c>
      <c r="I4" s="13" t="s">
        <v>5</v>
      </c>
      <c r="J4" s="13" t="s">
        <v>36</v>
      </c>
      <c r="K4" s="13" t="s">
        <v>6</v>
      </c>
      <c r="L4" s="14" t="s">
        <v>7</v>
      </c>
      <c r="M4" s="11" t="s">
        <v>8</v>
      </c>
      <c r="N4" s="15" t="s">
        <v>9</v>
      </c>
      <c r="O4" s="15" t="s">
        <v>10</v>
      </c>
    </row>
    <row r="5" spans="1:15" ht="15" customHeight="1">
      <c r="A5" s="3" t="s">
        <v>56</v>
      </c>
      <c r="B5" s="1">
        <v>1</v>
      </c>
      <c r="C5" s="6"/>
      <c r="D5" s="6"/>
      <c r="F5" s="2" t="s">
        <v>21</v>
      </c>
      <c r="G5" s="16">
        <v>20906.37</v>
      </c>
      <c r="H5" s="16">
        <v>3417.98</v>
      </c>
      <c r="I5" s="16">
        <v>5280</v>
      </c>
      <c r="J5" s="16">
        <v>0</v>
      </c>
      <c r="K5" s="16">
        <f>SUM(G5:J5)</f>
        <v>29604.35</v>
      </c>
      <c r="L5" s="16">
        <f>M5*(G5+H5)</f>
        <v>18243.262499999997</v>
      </c>
      <c r="M5" s="17">
        <v>0.75</v>
      </c>
      <c r="N5" s="1">
        <v>1</v>
      </c>
      <c r="O5" s="18">
        <f>L5/K5</f>
        <v>0.61623587411985059</v>
      </c>
    </row>
    <row r="6" spans="1:15" ht="15" customHeight="1">
      <c r="B6" s="1">
        <f>+B5+1</f>
        <v>2</v>
      </c>
      <c r="C6" s="6"/>
      <c r="D6" s="6"/>
      <c r="F6" s="2" t="s">
        <v>24</v>
      </c>
      <c r="G6" s="16">
        <v>20906.37</v>
      </c>
      <c r="H6" s="16">
        <v>3417.98</v>
      </c>
      <c r="I6" s="16">
        <v>5405</v>
      </c>
      <c r="J6" s="16">
        <v>0</v>
      </c>
      <c r="K6" s="16">
        <f t="shared" ref="K6:K17" si="0">SUM(G6:J6)</f>
        <v>29729.35</v>
      </c>
      <c r="L6" s="16">
        <f t="shared" ref="L6:L17" si="1">M6*(G6+H6)</f>
        <v>24324.35</v>
      </c>
      <c r="M6" s="17">
        <v>1</v>
      </c>
      <c r="N6" s="1">
        <v>1</v>
      </c>
      <c r="O6" s="18">
        <f t="shared" ref="O6:O17" si="2">L6/K6</f>
        <v>0.81819313237591806</v>
      </c>
    </row>
    <row r="7" spans="1:15" ht="15" customHeight="1">
      <c r="B7" s="1">
        <f t="shared" ref="B7:B17" si="3">+B6+1</f>
        <v>3</v>
      </c>
      <c r="C7" s="6"/>
      <c r="D7" s="6"/>
      <c r="F7" s="2" t="s">
        <v>21</v>
      </c>
      <c r="G7" s="16">
        <v>20906.37</v>
      </c>
      <c r="H7" s="16">
        <v>3417.98</v>
      </c>
      <c r="I7" s="16">
        <v>5280</v>
      </c>
      <c r="J7" s="16">
        <v>0</v>
      </c>
      <c r="K7" s="16">
        <f t="shared" si="0"/>
        <v>29604.35</v>
      </c>
      <c r="L7" s="16">
        <f t="shared" si="1"/>
        <v>18243.262499999997</v>
      </c>
      <c r="M7" s="17">
        <v>0.75</v>
      </c>
      <c r="N7" s="1">
        <v>1</v>
      </c>
      <c r="O7" s="18">
        <f t="shared" si="2"/>
        <v>0.61623587411985059</v>
      </c>
    </row>
    <row r="8" spans="1:15" ht="15" customHeight="1">
      <c r="B8" s="1">
        <f t="shared" si="3"/>
        <v>4</v>
      </c>
      <c r="C8" s="6"/>
      <c r="D8" s="6"/>
      <c r="F8" s="2" t="s">
        <v>57</v>
      </c>
      <c r="G8" s="16">
        <v>22816.5</v>
      </c>
      <c r="H8" s="16">
        <v>3417.98</v>
      </c>
      <c r="I8" s="16">
        <v>7810</v>
      </c>
      <c r="J8" s="16">
        <v>0</v>
      </c>
      <c r="K8" s="16">
        <f t="shared" si="0"/>
        <v>34044.479999999996</v>
      </c>
      <c r="L8" s="16">
        <f t="shared" si="1"/>
        <v>19675.86</v>
      </c>
      <c r="M8" s="17">
        <v>0.75</v>
      </c>
      <c r="N8" s="1">
        <v>1</v>
      </c>
      <c r="O8" s="18">
        <f t="shared" si="2"/>
        <v>0.5779456757747512</v>
      </c>
    </row>
    <row r="9" spans="1:15" ht="15" customHeight="1">
      <c r="B9" s="1">
        <f t="shared" si="3"/>
        <v>5</v>
      </c>
      <c r="C9" s="6"/>
      <c r="D9" s="6"/>
      <c r="F9" s="2" t="s">
        <v>19</v>
      </c>
      <c r="G9" s="16">
        <v>20906.37</v>
      </c>
      <c r="H9" s="16">
        <v>3417.98</v>
      </c>
      <c r="I9" s="16">
        <v>5280</v>
      </c>
      <c r="J9" s="16">
        <v>0</v>
      </c>
      <c r="K9" s="16">
        <f t="shared" si="0"/>
        <v>29604.35</v>
      </c>
      <c r="L9" s="16">
        <f t="shared" si="1"/>
        <v>24324.35</v>
      </c>
      <c r="M9" s="17">
        <v>1</v>
      </c>
      <c r="N9" s="1">
        <v>1</v>
      </c>
      <c r="O9" s="18">
        <f t="shared" si="2"/>
        <v>0.82164783215980086</v>
      </c>
    </row>
    <row r="10" spans="1:15" ht="15" customHeight="1">
      <c r="B10" s="1">
        <f t="shared" si="3"/>
        <v>6</v>
      </c>
      <c r="C10" s="6"/>
      <c r="D10" s="6"/>
      <c r="F10" s="2" t="s">
        <v>21</v>
      </c>
      <c r="G10" s="16">
        <v>20906.37</v>
      </c>
      <c r="H10" s="16">
        <v>3417.98</v>
      </c>
      <c r="I10" s="16">
        <v>5280</v>
      </c>
      <c r="J10" s="16">
        <v>0</v>
      </c>
      <c r="K10" s="16">
        <f t="shared" si="0"/>
        <v>29604.35</v>
      </c>
      <c r="L10" s="16">
        <f t="shared" si="1"/>
        <v>18243.262499999997</v>
      </c>
      <c r="M10" s="17">
        <v>0.75</v>
      </c>
      <c r="N10" s="1">
        <v>1</v>
      </c>
      <c r="O10" s="18">
        <f t="shared" si="2"/>
        <v>0.61623587411985059</v>
      </c>
    </row>
    <row r="11" spans="1:15" ht="15" customHeight="1">
      <c r="B11" s="1">
        <f t="shared" si="3"/>
        <v>7</v>
      </c>
      <c r="C11" s="6"/>
      <c r="D11" s="6"/>
      <c r="F11" s="2" t="s">
        <v>24</v>
      </c>
      <c r="G11" s="16">
        <v>20906.37</v>
      </c>
      <c r="H11" s="16">
        <v>3417.98</v>
      </c>
      <c r="I11" s="16">
        <v>5405</v>
      </c>
      <c r="J11" s="16">
        <v>0</v>
      </c>
      <c r="K11" s="16">
        <f t="shared" si="0"/>
        <v>29729.35</v>
      </c>
      <c r="L11" s="16">
        <f t="shared" si="1"/>
        <v>24324.35</v>
      </c>
      <c r="M11" s="17">
        <v>1</v>
      </c>
      <c r="N11" s="1">
        <v>1</v>
      </c>
      <c r="O11" s="18">
        <f t="shared" si="2"/>
        <v>0.81819313237591806</v>
      </c>
    </row>
    <row r="12" spans="1:15" ht="15" customHeight="1">
      <c r="B12" s="1">
        <f t="shared" si="3"/>
        <v>8</v>
      </c>
      <c r="C12" s="6"/>
      <c r="D12" s="6"/>
      <c r="F12" s="2" t="s">
        <v>19</v>
      </c>
      <c r="G12" s="16">
        <v>20906.37</v>
      </c>
      <c r="H12" s="16">
        <v>3417.98</v>
      </c>
      <c r="I12" s="16">
        <v>5280</v>
      </c>
      <c r="J12" s="16">
        <v>0</v>
      </c>
      <c r="K12" s="16">
        <f t="shared" si="0"/>
        <v>29604.35</v>
      </c>
      <c r="L12" s="16">
        <f t="shared" si="1"/>
        <v>24324.35</v>
      </c>
      <c r="M12" s="17">
        <v>1</v>
      </c>
      <c r="N12" s="1">
        <v>1</v>
      </c>
      <c r="O12" s="18">
        <f t="shared" si="2"/>
        <v>0.82164783215980086</v>
      </c>
    </row>
    <row r="13" spans="1:15" ht="15" customHeight="1">
      <c r="B13" s="1">
        <f t="shared" si="3"/>
        <v>9</v>
      </c>
      <c r="C13" s="4"/>
      <c r="D13" s="4"/>
      <c r="F13" s="2" t="s">
        <v>23</v>
      </c>
      <c r="G13" s="16">
        <v>20906.169999999998</v>
      </c>
      <c r="H13" s="16">
        <v>3417.98</v>
      </c>
      <c r="I13" s="16">
        <v>9710</v>
      </c>
      <c r="J13" s="16">
        <v>0</v>
      </c>
      <c r="K13" s="16">
        <f t="shared" si="0"/>
        <v>34034.149999999994</v>
      </c>
      <c r="L13" s="16">
        <f t="shared" si="1"/>
        <v>18243.112499999999</v>
      </c>
      <c r="M13" s="17">
        <v>0.75</v>
      </c>
      <c r="N13" s="1">
        <v>1</v>
      </c>
      <c r="O13" s="18">
        <f t="shared" si="2"/>
        <v>0.53602374379850837</v>
      </c>
    </row>
    <row r="14" spans="1:15" ht="15" customHeight="1">
      <c r="B14" s="1">
        <f t="shared" si="3"/>
        <v>10</v>
      </c>
      <c r="C14" s="4"/>
      <c r="D14" s="4"/>
      <c r="F14" s="2" t="s">
        <v>22</v>
      </c>
      <c r="G14" s="16">
        <v>20906.37</v>
      </c>
      <c r="H14" s="16">
        <v>3417.98</v>
      </c>
      <c r="I14" s="16">
        <v>5410</v>
      </c>
      <c r="K14" s="16">
        <f t="shared" si="0"/>
        <v>29734.35</v>
      </c>
      <c r="L14" s="16">
        <f t="shared" si="1"/>
        <v>18243.262499999997</v>
      </c>
      <c r="M14" s="17">
        <v>0.75</v>
      </c>
      <c r="N14" s="1">
        <v>1</v>
      </c>
      <c r="O14" s="18">
        <f t="shared" si="2"/>
        <v>0.61354166141180144</v>
      </c>
    </row>
    <row r="15" spans="1:15" ht="15" customHeight="1">
      <c r="B15" s="1">
        <f t="shared" si="3"/>
        <v>11</v>
      </c>
      <c r="C15" s="4"/>
      <c r="D15" s="4"/>
      <c r="F15" s="2" t="s">
        <v>21</v>
      </c>
      <c r="G15" s="16">
        <v>20906.37</v>
      </c>
      <c r="H15" s="16">
        <v>3417.98</v>
      </c>
      <c r="I15" s="16">
        <v>5280</v>
      </c>
      <c r="J15" s="16">
        <v>0</v>
      </c>
      <c r="K15" s="16">
        <f t="shared" si="0"/>
        <v>29604.35</v>
      </c>
      <c r="L15" s="16">
        <f t="shared" si="1"/>
        <v>24324.35</v>
      </c>
      <c r="M15" s="17">
        <v>1</v>
      </c>
      <c r="N15" s="1">
        <v>1</v>
      </c>
      <c r="O15" s="18">
        <f t="shared" si="2"/>
        <v>0.82164783215980086</v>
      </c>
    </row>
    <row r="16" spans="1:15" ht="15" customHeight="1">
      <c r="B16" s="1">
        <f t="shared" si="3"/>
        <v>12</v>
      </c>
      <c r="C16" s="4"/>
      <c r="D16" s="4"/>
      <c r="F16" s="2" t="s">
        <v>23</v>
      </c>
      <c r="G16" s="16">
        <v>20906.169999999998</v>
      </c>
      <c r="H16" s="16">
        <v>3417.98</v>
      </c>
      <c r="I16" s="16">
        <v>9710</v>
      </c>
      <c r="J16" s="16">
        <v>0</v>
      </c>
      <c r="K16" s="16">
        <f t="shared" si="0"/>
        <v>34034.149999999994</v>
      </c>
      <c r="L16" s="16">
        <f t="shared" si="1"/>
        <v>24324.149999999998</v>
      </c>
      <c r="M16" s="17">
        <v>1</v>
      </c>
      <c r="N16" s="1">
        <v>1</v>
      </c>
      <c r="O16" s="18">
        <f t="shared" si="2"/>
        <v>0.71469832506467779</v>
      </c>
    </row>
    <row r="17" spans="1:15" ht="15" customHeight="1">
      <c r="B17" s="1">
        <f t="shared" si="3"/>
        <v>13</v>
      </c>
      <c r="C17" s="6"/>
      <c r="D17" s="6"/>
      <c r="F17" s="2" t="s">
        <v>24</v>
      </c>
      <c r="G17" s="16">
        <v>20906.37</v>
      </c>
      <c r="H17" s="16">
        <v>3417.98</v>
      </c>
      <c r="I17" s="16">
        <v>5405</v>
      </c>
      <c r="J17" s="16">
        <v>0</v>
      </c>
      <c r="K17" s="16">
        <f t="shared" si="0"/>
        <v>29729.35</v>
      </c>
      <c r="L17" s="16">
        <f t="shared" si="1"/>
        <v>24324.35</v>
      </c>
      <c r="M17" s="17">
        <v>1</v>
      </c>
      <c r="N17" s="1">
        <v>1</v>
      </c>
      <c r="O17" s="18">
        <f t="shared" si="2"/>
        <v>0.81819313237591806</v>
      </c>
    </row>
    <row r="18" spans="1:15" s="3" customFormat="1" ht="18" customHeight="1">
      <c r="A18" s="29" t="s">
        <v>26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">
        <f>SUM(N5:N17)</f>
        <v>13</v>
      </c>
      <c r="O18" s="21">
        <f>SUM(O5:O17)</f>
        <v>9.2104399220164481</v>
      </c>
    </row>
    <row r="19" spans="1:15" ht="18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O19" s="18"/>
    </row>
    <row r="20" spans="1:15" ht="15" customHeight="1">
      <c r="A20" s="3" t="s">
        <v>58</v>
      </c>
      <c r="B20" s="1">
        <v>1</v>
      </c>
      <c r="F20" s="2" t="s">
        <v>21</v>
      </c>
      <c r="G20" s="16">
        <v>20906.37</v>
      </c>
      <c r="H20" s="16">
        <v>3417.98</v>
      </c>
      <c r="I20" s="16">
        <v>5280</v>
      </c>
      <c r="J20" s="16">
        <v>0</v>
      </c>
      <c r="K20" s="16">
        <f t="shared" ref="K20:K22" si="4">SUM(G20:J20)</f>
        <v>29604.35</v>
      </c>
      <c r="L20" s="16">
        <v>5000</v>
      </c>
      <c r="N20" s="1">
        <v>1</v>
      </c>
      <c r="O20" s="18">
        <f t="shared" ref="O20:O22" si="5">L20/K20</f>
        <v>0.16889409833352195</v>
      </c>
    </row>
    <row r="21" spans="1:15" ht="15" customHeight="1">
      <c r="B21" s="1">
        <v>2</v>
      </c>
      <c r="F21" s="2" t="s">
        <v>23</v>
      </c>
      <c r="G21" s="16">
        <v>20906.169999999998</v>
      </c>
      <c r="H21" s="16">
        <v>3417.98</v>
      </c>
      <c r="I21" s="16">
        <v>9710</v>
      </c>
      <c r="J21" s="16">
        <v>0</v>
      </c>
      <c r="K21" s="16">
        <f t="shared" si="4"/>
        <v>34034.149999999994</v>
      </c>
      <c r="L21" s="16">
        <v>5000</v>
      </c>
      <c r="N21" s="1">
        <v>1</v>
      </c>
      <c r="O21" s="18">
        <f t="shared" si="5"/>
        <v>0.14691126412735447</v>
      </c>
    </row>
    <row r="22" spans="1:15" ht="15" customHeight="1">
      <c r="B22" s="1">
        <v>3</v>
      </c>
      <c r="F22" s="2" t="s">
        <v>19</v>
      </c>
      <c r="G22" s="16">
        <v>20906.37</v>
      </c>
      <c r="H22" s="16">
        <v>3417.98</v>
      </c>
      <c r="I22" s="16">
        <v>5280</v>
      </c>
      <c r="J22" s="16">
        <v>0</v>
      </c>
      <c r="K22" s="16">
        <f t="shared" si="4"/>
        <v>29604.35</v>
      </c>
      <c r="L22" s="16">
        <v>5000</v>
      </c>
      <c r="N22" s="1">
        <v>1</v>
      </c>
      <c r="O22" s="18">
        <f t="shared" si="5"/>
        <v>0.16889409833352195</v>
      </c>
    </row>
    <row r="23" spans="1:15" s="3" customFormat="1" ht="18" customHeight="1">
      <c r="A23" s="29" t="s">
        <v>26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">
        <f>SUM(N20:N22)</f>
        <v>3</v>
      </c>
      <c r="O23" s="21">
        <f>SUM(O20:O22)</f>
        <v>0.48469946079439841</v>
      </c>
    </row>
    <row r="25" spans="1:15" ht="15" customHeight="1">
      <c r="A25" s="30" t="s">
        <v>34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spans="1:15" ht="15" customHeight="1">
      <c r="A26" s="3" t="s">
        <v>56</v>
      </c>
      <c r="B26" s="1">
        <v>1</v>
      </c>
      <c r="F26" s="2" t="s">
        <v>20</v>
      </c>
      <c r="G26" s="16">
        <v>20906.37</v>
      </c>
      <c r="H26" s="16">
        <v>3417.98</v>
      </c>
      <c r="I26" s="16">
        <v>10530</v>
      </c>
      <c r="J26" s="16">
        <v>0</v>
      </c>
      <c r="K26" s="16">
        <f t="shared" ref="K26:K72" si="6">SUM(G26:J26)</f>
        <v>34854.35</v>
      </c>
      <c r="L26" s="16">
        <f t="shared" ref="L26:L40" si="7">M26*(G26+H26)</f>
        <v>18243.262499999997</v>
      </c>
      <c r="M26" s="17">
        <v>0.75</v>
      </c>
      <c r="N26" s="1">
        <v>1</v>
      </c>
      <c r="O26" s="18">
        <f t="shared" ref="O26:O40" si="8">L26/K26</f>
        <v>0.52341422232805945</v>
      </c>
    </row>
    <row r="27" spans="1:15" ht="15" customHeight="1">
      <c r="B27" s="1">
        <f>+B26+1</f>
        <v>2</v>
      </c>
      <c r="F27" s="2" t="s">
        <v>17</v>
      </c>
      <c r="G27" s="16">
        <v>20906.37</v>
      </c>
      <c r="H27" s="16">
        <v>3417.98</v>
      </c>
      <c r="I27" s="16">
        <v>6080</v>
      </c>
      <c r="J27" s="16">
        <v>0</v>
      </c>
      <c r="K27" s="16">
        <f t="shared" si="6"/>
        <v>30404.35</v>
      </c>
      <c r="L27" s="16">
        <f t="shared" si="7"/>
        <v>24324.35</v>
      </c>
      <c r="M27" s="17">
        <v>1</v>
      </c>
      <c r="N27" s="1">
        <v>1</v>
      </c>
      <c r="O27" s="18">
        <f t="shared" si="8"/>
        <v>0.80002861432656835</v>
      </c>
    </row>
    <row r="28" spans="1:15" ht="15" customHeight="1">
      <c r="B28" s="1">
        <f t="shared" ref="B28:B40" si="9">+B27+1</f>
        <v>3</v>
      </c>
      <c r="F28" s="2" t="s">
        <v>18</v>
      </c>
      <c r="G28" s="16">
        <v>20906.37</v>
      </c>
      <c r="H28" s="16">
        <v>3417.98</v>
      </c>
      <c r="I28" s="16">
        <v>6080</v>
      </c>
      <c r="J28" s="16">
        <v>0</v>
      </c>
      <c r="K28" s="16">
        <f t="shared" si="6"/>
        <v>30404.35</v>
      </c>
      <c r="L28" s="16">
        <f t="shared" si="7"/>
        <v>18243.262499999997</v>
      </c>
      <c r="M28" s="17">
        <v>0.75</v>
      </c>
      <c r="N28" s="1">
        <v>1</v>
      </c>
      <c r="O28" s="18">
        <f t="shared" si="8"/>
        <v>0.60002146074492624</v>
      </c>
    </row>
    <row r="29" spans="1:15" ht="15" customHeight="1">
      <c r="B29" s="1">
        <f t="shared" si="9"/>
        <v>4</v>
      </c>
      <c r="F29" s="2" t="s">
        <v>17</v>
      </c>
      <c r="G29" s="16">
        <v>20906.37</v>
      </c>
      <c r="H29" s="16">
        <v>3417.98</v>
      </c>
      <c r="I29" s="16">
        <v>6080</v>
      </c>
      <c r="J29" s="16">
        <v>0</v>
      </c>
      <c r="K29" s="16">
        <f t="shared" si="6"/>
        <v>30404.35</v>
      </c>
      <c r="L29" s="16">
        <f t="shared" si="7"/>
        <v>18243.262499999997</v>
      </c>
      <c r="M29" s="17">
        <v>0.75</v>
      </c>
      <c r="N29" s="1">
        <v>1</v>
      </c>
      <c r="O29" s="18">
        <f t="shared" si="8"/>
        <v>0.60002146074492624</v>
      </c>
    </row>
    <row r="30" spans="1:15" ht="15" customHeight="1">
      <c r="B30" s="1">
        <f t="shared" si="9"/>
        <v>5</v>
      </c>
      <c r="F30" s="2" t="s">
        <v>18</v>
      </c>
      <c r="G30" s="16">
        <v>20906.37</v>
      </c>
      <c r="H30" s="16">
        <v>3417.98</v>
      </c>
      <c r="I30" s="16">
        <v>6080</v>
      </c>
      <c r="J30" s="16">
        <v>0</v>
      </c>
      <c r="K30" s="16">
        <f t="shared" si="6"/>
        <v>30404.35</v>
      </c>
      <c r="L30" s="16">
        <f t="shared" si="7"/>
        <v>24324.35</v>
      </c>
      <c r="M30" s="17">
        <v>1</v>
      </c>
      <c r="N30" s="1">
        <v>1</v>
      </c>
      <c r="O30" s="18">
        <f t="shared" si="8"/>
        <v>0.80002861432656835</v>
      </c>
    </row>
    <row r="31" spans="1:15" ht="15" customHeight="1">
      <c r="B31" s="1">
        <f t="shared" si="9"/>
        <v>6</v>
      </c>
      <c r="F31" s="2" t="s">
        <v>17</v>
      </c>
      <c r="G31" s="16">
        <v>20906.37</v>
      </c>
      <c r="H31" s="16">
        <v>3417.98</v>
      </c>
      <c r="I31" s="16">
        <v>6080</v>
      </c>
      <c r="J31" s="16">
        <v>0</v>
      </c>
      <c r="K31" s="16">
        <f t="shared" si="6"/>
        <v>30404.35</v>
      </c>
      <c r="L31" s="16">
        <f t="shared" si="7"/>
        <v>24324.35</v>
      </c>
      <c r="M31" s="17">
        <v>1</v>
      </c>
      <c r="N31" s="1">
        <v>1</v>
      </c>
      <c r="O31" s="18">
        <f t="shared" si="8"/>
        <v>0.80002861432656835</v>
      </c>
    </row>
    <row r="32" spans="1:15" ht="15" customHeight="1">
      <c r="B32" s="1">
        <f t="shared" si="9"/>
        <v>7</v>
      </c>
      <c r="F32" s="2" t="s">
        <v>59</v>
      </c>
      <c r="G32" s="16">
        <v>20906.169999999998</v>
      </c>
      <c r="H32" s="16">
        <v>3417.98</v>
      </c>
      <c r="I32" s="16">
        <v>6830</v>
      </c>
      <c r="J32" s="16">
        <v>0</v>
      </c>
      <c r="K32" s="16">
        <f t="shared" si="6"/>
        <v>31154.149999999998</v>
      </c>
      <c r="L32" s="16">
        <f t="shared" si="7"/>
        <v>18243.112499999999</v>
      </c>
      <c r="M32" s="17">
        <v>0.75</v>
      </c>
      <c r="N32" s="1">
        <v>1</v>
      </c>
      <c r="O32" s="18">
        <f t="shared" si="8"/>
        <v>0.58557567771869878</v>
      </c>
    </row>
    <row r="33" spans="1:15" ht="15" customHeight="1">
      <c r="B33" s="1">
        <f t="shared" si="9"/>
        <v>8</v>
      </c>
      <c r="F33" s="2" t="s">
        <v>59</v>
      </c>
      <c r="G33" s="16">
        <v>20906.169999999998</v>
      </c>
      <c r="H33" s="16">
        <v>3417.98</v>
      </c>
      <c r="I33" s="16">
        <v>6830</v>
      </c>
      <c r="J33" s="16">
        <v>0</v>
      </c>
      <c r="K33" s="16">
        <f t="shared" si="6"/>
        <v>31154.149999999998</v>
      </c>
      <c r="L33" s="16">
        <f t="shared" si="7"/>
        <v>24324.149999999998</v>
      </c>
      <c r="M33" s="17">
        <v>1</v>
      </c>
      <c r="N33" s="1">
        <v>1</v>
      </c>
      <c r="O33" s="18">
        <f t="shared" si="8"/>
        <v>0.78076757029159838</v>
      </c>
    </row>
    <row r="34" spans="1:15" ht="15" customHeight="1">
      <c r="B34" s="1">
        <f t="shared" si="9"/>
        <v>9</v>
      </c>
      <c r="F34" s="2" t="s">
        <v>20</v>
      </c>
      <c r="G34" s="16">
        <v>20906.37</v>
      </c>
      <c r="H34" s="16">
        <v>3417.98</v>
      </c>
      <c r="I34" s="16">
        <v>10530</v>
      </c>
      <c r="J34" s="16">
        <v>0</v>
      </c>
      <c r="K34" s="16">
        <f t="shared" si="6"/>
        <v>34854.35</v>
      </c>
      <c r="L34" s="16">
        <f t="shared" si="7"/>
        <v>24324.35</v>
      </c>
      <c r="M34" s="17">
        <v>1</v>
      </c>
      <c r="N34" s="1">
        <v>1</v>
      </c>
      <c r="O34" s="18">
        <f t="shared" si="8"/>
        <v>0.69788562977074597</v>
      </c>
    </row>
    <row r="35" spans="1:15" ht="15" customHeight="1">
      <c r="B35" s="1">
        <f t="shared" si="9"/>
        <v>10</v>
      </c>
      <c r="F35" s="2" t="s">
        <v>59</v>
      </c>
      <c r="G35" s="16">
        <v>20906.169999999998</v>
      </c>
      <c r="H35" s="16">
        <v>3417.98</v>
      </c>
      <c r="I35" s="16">
        <v>6830</v>
      </c>
      <c r="J35" s="16">
        <v>0</v>
      </c>
      <c r="K35" s="16">
        <f t="shared" si="6"/>
        <v>31154.149999999998</v>
      </c>
      <c r="L35" s="16">
        <f t="shared" si="7"/>
        <v>18243.112499999999</v>
      </c>
      <c r="M35" s="17">
        <v>0.75</v>
      </c>
      <c r="N35" s="1">
        <v>1</v>
      </c>
      <c r="O35" s="18">
        <f t="shared" si="8"/>
        <v>0.58557567771869878</v>
      </c>
    </row>
    <row r="36" spans="1:15" ht="15" customHeight="1">
      <c r="B36" s="1">
        <f t="shared" si="9"/>
        <v>11</v>
      </c>
      <c r="F36" s="2" t="s">
        <v>17</v>
      </c>
      <c r="G36" s="16">
        <v>20906.37</v>
      </c>
      <c r="H36" s="16">
        <v>3417.98</v>
      </c>
      <c r="I36" s="16">
        <v>6080</v>
      </c>
      <c r="J36" s="16">
        <v>0</v>
      </c>
      <c r="K36" s="16">
        <f t="shared" si="6"/>
        <v>30404.35</v>
      </c>
      <c r="L36" s="16">
        <f t="shared" si="7"/>
        <v>24324.35</v>
      </c>
      <c r="M36" s="17">
        <v>1</v>
      </c>
      <c r="N36" s="1">
        <v>1</v>
      </c>
      <c r="O36" s="18">
        <f t="shared" si="8"/>
        <v>0.80002861432656835</v>
      </c>
    </row>
    <row r="37" spans="1:15" ht="15" customHeight="1">
      <c r="B37" s="1">
        <f t="shared" si="9"/>
        <v>12</v>
      </c>
      <c r="F37" s="2" t="s">
        <v>17</v>
      </c>
      <c r="G37" s="16">
        <v>20906.37</v>
      </c>
      <c r="H37" s="16">
        <v>3417.98</v>
      </c>
      <c r="I37" s="16">
        <v>6080</v>
      </c>
      <c r="J37" s="16">
        <v>0</v>
      </c>
      <c r="K37" s="16">
        <f t="shared" si="6"/>
        <v>30404.35</v>
      </c>
      <c r="L37" s="16">
        <f t="shared" si="7"/>
        <v>24324.35</v>
      </c>
      <c r="M37" s="17">
        <v>1</v>
      </c>
      <c r="N37" s="1">
        <v>1</v>
      </c>
      <c r="O37" s="18">
        <f t="shared" si="8"/>
        <v>0.80002861432656835</v>
      </c>
    </row>
    <row r="38" spans="1:15" ht="15" customHeight="1">
      <c r="B38" s="1">
        <f t="shared" si="9"/>
        <v>13</v>
      </c>
      <c r="F38" s="2" t="s">
        <v>59</v>
      </c>
      <c r="G38" s="16">
        <v>20906.169999999998</v>
      </c>
      <c r="H38" s="16">
        <v>3417.98</v>
      </c>
      <c r="I38" s="16">
        <v>6830</v>
      </c>
      <c r="J38" s="16">
        <v>0</v>
      </c>
      <c r="K38" s="16">
        <f t="shared" si="6"/>
        <v>31154.149999999998</v>
      </c>
      <c r="L38" s="16">
        <f t="shared" si="7"/>
        <v>18243.112499999999</v>
      </c>
      <c r="M38" s="17">
        <v>0.75</v>
      </c>
      <c r="N38" s="1">
        <v>1</v>
      </c>
      <c r="O38" s="18">
        <f t="shared" si="8"/>
        <v>0.58557567771869878</v>
      </c>
    </row>
    <row r="39" spans="1:15" ht="15" customHeight="1">
      <c r="B39" s="1">
        <f t="shared" si="9"/>
        <v>14</v>
      </c>
      <c r="F39" s="2" t="s">
        <v>20</v>
      </c>
      <c r="G39" s="16">
        <v>20906.37</v>
      </c>
      <c r="H39" s="16">
        <v>3417.98</v>
      </c>
      <c r="I39" s="16">
        <v>10530</v>
      </c>
      <c r="J39" s="16">
        <v>0</v>
      </c>
      <c r="K39" s="16">
        <f t="shared" si="6"/>
        <v>34854.35</v>
      </c>
      <c r="L39" s="16">
        <f t="shared" si="7"/>
        <v>24324.35</v>
      </c>
      <c r="M39" s="17">
        <v>1</v>
      </c>
      <c r="N39" s="1">
        <v>1</v>
      </c>
      <c r="O39" s="18">
        <f t="shared" si="8"/>
        <v>0.69788562977074597</v>
      </c>
    </row>
    <row r="40" spans="1:15" ht="15" customHeight="1">
      <c r="B40" s="1">
        <f t="shared" si="9"/>
        <v>15</v>
      </c>
      <c r="F40" s="2" t="s">
        <v>20</v>
      </c>
      <c r="G40" s="16">
        <v>20906.37</v>
      </c>
      <c r="H40" s="16">
        <v>3417.98</v>
      </c>
      <c r="I40" s="16">
        <v>10530</v>
      </c>
      <c r="J40" s="16">
        <v>0</v>
      </c>
      <c r="K40" s="16">
        <f t="shared" si="6"/>
        <v>34854.35</v>
      </c>
      <c r="L40" s="16">
        <f t="shared" si="7"/>
        <v>24324.35</v>
      </c>
      <c r="M40" s="17">
        <v>1</v>
      </c>
      <c r="N40" s="1">
        <v>1</v>
      </c>
      <c r="O40" s="18">
        <f t="shared" si="8"/>
        <v>0.69788562977074597</v>
      </c>
    </row>
    <row r="41" spans="1:15" s="3" customFormat="1" ht="18" customHeight="1">
      <c r="A41" s="29" t="s">
        <v>26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">
        <f>SUM(N26:N40)</f>
        <v>15</v>
      </c>
      <c r="O41" s="21">
        <f>SUM(O26:O40)</f>
        <v>10.354751708210685</v>
      </c>
    </row>
    <row r="42" spans="1:15" ht="15" customHeight="1">
      <c r="A42" s="3" t="s">
        <v>58</v>
      </c>
      <c r="B42" s="1">
        <v>1</v>
      </c>
      <c r="F42" s="2" t="s">
        <v>60</v>
      </c>
      <c r="G42" s="16">
        <v>20906.37</v>
      </c>
      <c r="H42" s="16">
        <v>3417.98</v>
      </c>
      <c r="I42" s="16">
        <v>6080</v>
      </c>
      <c r="J42" s="16">
        <v>0</v>
      </c>
      <c r="K42" s="16">
        <f t="shared" si="6"/>
        <v>30404.35</v>
      </c>
      <c r="L42" s="16">
        <v>5000</v>
      </c>
      <c r="N42" s="1">
        <v>1</v>
      </c>
      <c r="O42" s="18">
        <f t="shared" ref="O42:O46" si="10">L42/K42</f>
        <v>0.16445015269196678</v>
      </c>
    </row>
    <row r="43" spans="1:15" ht="15" customHeight="1">
      <c r="B43" s="1">
        <v>2</v>
      </c>
      <c r="F43" s="2" t="s">
        <v>59</v>
      </c>
      <c r="G43" s="16">
        <v>20906.169999999998</v>
      </c>
      <c r="H43" s="16">
        <v>3417.98</v>
      </c>
      <c r="I43" s="16">
        <v>6830</v>
      </c>
      <c r="J43" s="16">
        <v>0</v>
      </c>
      <c r="K43" s="16">
        <f t="shared" si="6"/>
        <v>31154.149999999998</v>
      </c>
      <c r="L43" s="16">
        <v>5000</v>
      </c>
      <c r="N43" s="1">
        <v>1</v>
      </c>
      <c r="O43" s="18">
        <f t="shared" si="10"/>
        <v>0.16049226186559415</v>
      </c>
    </row>
    <row r="44" spans="1:15" ht="15" customHeight="1">
      <c r="B44" s="1">
        <v>3</v>
      </c>
      <c r="F44" s="2" t="s">
        <v>20</v>
      </c>
      <c r="G44" s="16">
        <v>20906.37</v>
      </c>
      <c r="H44" s="16">
        <v>3417.98</v>
      </c>
      <c r="I44" s="16">
        <v>10530</v>
      </c>
      <c r="J44" s="16">
        <v>0</v>
      </c>
      <c r="K44" s="16">
        <f t="shared" si="6"/>
        <v>34854.35</v>
      </c>
      <c r="L44" s="16">
        <v>5000</v>
      </c>
      <c r="N44" s="1">
        <v>1</v>
      </c>
      <c r="O44" s="18">
        <f t="shared" si="10"/>
        <v>0.14345411691797438</v>
      </c>
    </row>
    <row r="45" spans="1:15" ht="15" customHeight="1">
      <c r="B45" s="1">
        <v>4</v>
      </c>
      <c r="F45" s="2" t="s">
        <v>17</v>
      </c>
      <c r="G45" s="16">
        <v>20906.37</v>
      </c>
      <c r="H45" s="16">
        <v>3417.98</v>
      </c>
      <c r="I45" s="16">
        <v>6080</v>
      </c>
      <c r="J45" s="16">
        <v>0</v>
      </c>
      <c r="K45" s="16">
        <f t="shared" si="6"/>
        <v>30404.35</v>
      </c>
      <c r="L45" s="16">
        <v>5000</v>
      </c>
      <c r="N45" s="1">
        <v>1</v>
      </c>
      <c r="O45" s="18">
        <f t="shared" si="10"/>
        <v>0.16445015269196678</v>
      </c>
    </row>
    <row r="46" spans="1:15" ht="15" customHeight="1">
      <c r="B46" s="1">
        <v>5</v>
      </c>
      <c r="F46" s="2" t="s">
        <v>61</v>
      </c>
      <c r="G46" s="16">
        <v>20906.169999999998</v>
      </c>
      <c r="H46" s="16">
        <v>3417.98</v>
      </c>
      <c r="I46" s="16">
        <v>6830</v>
      </c>
      <c r="J46" s="16">
        <v>0</v>
      </c>
      <c r="K46" s="16">
        <f t="shared" si="6"/>
        <v>31154.149999999998</v>
      </c>
      <c r="L46" s="16">
        <v>5000</v>
      </c>
      <c r="N46" s="1">
        <v>1</v>
      </c>
      <c r="O46" s="18">
        <f t="shared" si="10"/>
        <v>0.16049226186559415</v>
      </c>
    </row>
    <row r="47" spans="1:15" s="3" customFormat="1" ht="18" customHeight="1">
      <c r="A47" s="29" t="s">
        <v>26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">
        <f>SUM(N42:N46)</f>
        <v>5</v>
      </c>
      <c r="O47" s="21">
        <f>SUM(O42:O46)</f>
        <v>0.79333894603309618</v>
      </c>
    </row>
    <row r="48" spans="1:15" ht="15" customHeight="1">
      <c r="A48" s="3" t="s">
        <v>62</v>
      </c>
      <c r="B48" s="1">
        <v>1</v>
      </c>
      <c r="C48" s="6"/>
      <c r="D48" s="6"/>
      <c r="F48" s="2" t="s">
        <v>17</v>
      </c>
      <c r="G48" s="16">
        <v>20906.37</v>
      </c>
      <c r="H48" s="16">
        <v>3417.98</v>
      </c>
      <c r="I48" s="16">
        <v>6080</v>
      </c>
      <c r="J48" s="16">
        <v>0</v>
      </c>
      <c r="K48" s="16">
        <f t="shared" si="6"/>
        <v>30404.35</v>
      </c>
      <c r="L48" s="16">
        <f t="shared" ref="L48:L72" si="11">M48*G48</f>
        <v>20906.37</v>
      </c>
      <c r="M48" s="17">
        <v>1</v>
      </c>
      <c r="N48" s="1">
        <v>1</v>
      </c>
      <c r="O48" s="18">
        <f t="shared" ref="O48:O72" si="12">L48/K48</f>
        <v>0.68761114774695065</v>
      </c>
    </row>
    <row r="49" spans="2:15" ht="15" customHeight="1">
      <c r="B49" s="1">
        <f>+B48+1</f>
        <v>2</v>
      </c>
      <c r="C49" s="6"/>
      <c r="D49" s="6"/>
      <c r="F49" s="2" t="s">
        <v>17</v>
      </c>
      <c r="G49" s="16">
        <v>20906.37</v>
      </c>
      <c r="H49" s="16">
        <v>3417.98</v>
      </c>
      <c r="I49" s="16">
        <v>6080</v>
      </c>
      <c r="J49" s="16">
        <v>0</v>
      </c>
      <c r="K49" s="16">
        <f t="shared" si="6"/>
        <v>30404.35</v>
      </c>
      <c r="L49" s="16">
        <f t="shared" si="11"/>
        <v>10453.184999999999</v>
      </c>
      <c r="M49" s="17">
        <v>0.5</v>
      </c>
      <c r="N49" s="1">
        <v>1</v>
      </c>
      <c r="O49" s="18">
        <f t="shared" si="12"/>
        <v>0.34380557387347532</v>
      </c>
    </row>
    <row r="50" spans="2:15" ht="15" customHeight="1">
      <c r="B50" s="1">
        <f t="shared" ref="B50:B72" si="13">+B49+1</f>
        <v>3</v>
      </c>
      <c r="C50" s="22"/>
      <c r="D50" s="22"/>
      <c r="F50" s="2" t="s">
        <v>59</v>
      </c>
      <c r="G50" s="16">
        <v>20906.169999999998</v>
      </c>
      <c r="H50" s="16">
        <v>3417.98</v>
      </c>
      <c r="I50" s="16">
        <v>6830</v>
      </c>
      <c r="J50" s="16">
        <v>0</v>
      </c>
      <c r="K50" s="16">
        <f t="shared" si="6"/>
        <v>31154.149999999998</v>
      </c>
      <c r="L50" s="16">
        <f t="shared" si="11"/>
        <v>10453.084999999999</v>
      </c>
      <c r="M50" s="17">
        <v>0.5</v>
      </c>
      <c r="N50" s="1">
        <v>1</v>
      </c>
      <c r="O50" s="18">
        <f t="shared" si="12"/>
        <v>0.33552785102466282</v>
      </c>
    </row>
    <row r="51" spans="2:15" ht="15" customHeight="1">
      <c r="B51" s="1">
        <f t="shared" si="13"/>
        <v>4</v>
      </c>
      <c r="C51" s="22"/>
      <c r="D51" s="22"/>
      <c r="F51" s="2" t="s">
        <v>18</v>
      </c>
      <c r="G51" s="16">
        <v>20906.37</v>
      </c>
      <c r="H51" s="16">
        <v>3417.98</v>
      </c>
      <c r="I51" s="16">
        <v>6080</v>
      </c>
      <c r="J51" s="16">
        <v>0</v>
      </c>
      <c r="K51" s="16">
        <f t="shared" si="6"/>
        <v>30404.35</v>
      </c>
      <c r="L51" s="16">
        <f t="shared" si="11"/>
        <v>20906.37</v>
      </c>
      <c r="M51" s="17">
        <v>1</v>
      </c>
      <c r="N51" s="1">
        <v>1</v>
      </c>
      <c r="O51" s="18">
        <f t="shared" si="12"/>
        <v>0.68761114774695065</v>
      </c>
    </row>
    <row r="52" spans="2:15" ht="15" customHeight="1">
      <c r="B52" s="1">
        <f t="shared" si="13"/>
        <v>5</v>
      </c>
      <c r="C52" s="6"/>
      <c r="D52" s="6"/>
      <c r="F52" s="2" t="s">
        <v>59</v>
      </c>
      <c r="G52" s="16">
        <v>20906.169999999998</v>
      </c>
      <c r="H52" s="16">
        <v>3417.98</v>
      </c>
      <c r="I52" s="16">
        <v>6830</v>
      </c>
      <c r="J52" s="16">
        <v>0</v>
      </c>
      <c r="K52" s="16">
        <f t="shared" si="6"/>
        <v>31154.149999999998</v>
      </c>
      <c r="L52" s="16">
        <f t="shared" si="11"/>
        <v>20906.169999999998</v>
      </c>
      <c r="M52" s="17">
        <v>1</v>
      </c>
      <c r="N52" s="1">
        <v>1</v>
      </c>
      <c r="O52" s="18">
        <f t="shared" si="12"/>
        <v>0.67105570204932563</v>
      </c>
    </row>
    <row r="53" spans="2:15" ht="15" customHeight="1">
      <c r="B53" s="1">
        <f t="shared" si="13"/>
        <v>6</v>
      </c>
      <c r="C53" s="22"/>
      <c r="D53" s="22"/>
      <c r="F53" s="2" t="s">
        <v>17</v>
      </c>
      <c r="G53" s="16">
        <v>20906.37</v>
      </c>
      <c r="H53" s="16">
        <v>3417.98</v>
      </c>
      <c r="I53" s="16">
        <v>6080</v>
      </c>
      <c r="J53" s="16">
        <v>0</v>
      </c>
      <c r="K53" s="16">
        <f t="shared" si="6"/>
        <v>30404.35</v>
      </c>
      <c r="L53" s="16">
        <f t="shared" si="11"/>
        <v>10453.184999999999</v>
      </c>
      <c r="M53" s="17">
        <v>0.5</v>
      </c>
      <c r="N53" s="1">
        <v>1</v>
      </c>
      <c r="O53" s="18">
        <f t="shared" si="12"/>
        <v>0.34380557387347532</v>
      </c>
    </row>
    <row r="54" spans="2:15" ht="15" customHeight="1">
      <c r="B54" s="1">
        <f t="shared" si="13"/>
        <v>7</v>
      </c>
      <c r="C54" s="22"/>
      <c r="D54" s="22"/>
      <c r="F54" s="2" t="s">
        <v>17</v>
      </c>
      <c r="G54" s="16">
        <v>20906.37</v>
      </c>
      <c r="H54" s="16">
        <v>3417.98</v>
      </c>
      <c r="I54" s="16">
        <v>6080</v>
      </c>
      <c r="J54" s="16">
        <v>0</v>
      </c>
      <c r="K54" s="16">
        <f t="shared" si="6"/>
        <v>30404.35</v>
      </c>
      <c r="L54" s="16">
        <f t="shared" si="11"/>
        <v>20906.37</v>
      </c>
      <c r="M54" s="17">
        <v>1</v>
      </c>
      <c r="N54" s="1">
        <v>1</v>
      </c>
      <c r="O54" s="18">
        <f t="shared" si="12"/>
        <v>0.68761114774695065</v>
      </c>
    </row>
    <row r="55" spans="2:15" ht="15" customHeight="1">
      <c r="B55" s="1">
        <f t="shared" si="13"/>
        <v>8</v>
      </c>
      <c r="C55" s="22"/>
      <c r="D55" s="22"/>
      <c r="F55" s="2" t="s">
        <v>18</v>
      </c>
      <c r="G55" s="16">
        <v>20906.37</v>
      </c>
      <c r="H55" s="16">
        <v>3417.98</v>
      </c>
      <c r="I55" s="16">
        <v>6080</v>
      </c>
      <c r="J55" s="16">
        <v>0</v>
      </c>
      <c r="K55" s="16">
        <f t="shared" si="6"/>
        <v>30404.35</v>
      </c>
      <c r="L55" s="16">
        <f t="shared" si="11"/>
        <v>20906.37</v>
      </c>
      <c r="M55" s="17">
        <v>1</v>
      </c>
      <c r="N55" s="1">
        <v>1</v>
      </c>
      <c r="O55" s="18">
        <f t="shared" si="12"/>
        <v>0.68761114774695065</v>
      </c>
    </row>
    <row r="56" spans="2:15" ht="15" customHeight="1">
      <c r="B56" s="1">
        <f t="shared" si="13"/>
        <v>9</v>
      </c>
      <c r="C56" s="23"/>
      <c r="D56" s="23"/>
      <c r="F56" s="24" t="s">
        <v>20</v>
      </c>
      <c r="G56" s="16">
        <v>20906.37</v>
      </c>
      <c r="H56" s="16">
        <v>3417.98</v>
      </c>
      <c r="I56" s="16">
        <v>10530</v>
      </c>
      <c r="J56" s="16">
        <v>0</v>
      </c>
      <c r="K56" s="16">
        <f t="shared" si="6"/>
        <v>34854.35</v>
      </c>
      <c r="L56" s="16">
        <f t="shared" si="11"/>
        <v>20906.37</v>
      </c>
      <c r="M56" s="26">
        <v>1</v>
      </c>
      <c r="N56" s="1">
        <v>1</v>
      </c>
      <c r="O56" s="18">
        <f t="shared" si="12"/>
        <v>0.59982096926208639</v>
      </c>
    </row>
    <row r="57" spans="2:15" ht="15" customHeight="1">
      <c r="B57" s="1">
        <f t="shared" si="13"/>
        <v>10</v>
      </c>
      <c r="C57" s="6"/>
      <c r="D57" s="6"/>
      <c r="F57" s="2" t="s">
        <v>59</v>
      </c>
      <c r="G57" s="16">
        <v>20906.169999999998</v>
      </c>
      <c r="H57" s="16">
        <v>3417.98</v>
      </c>
      <c r="I57" s="16">
        <v>6830</v>
      </c>
      <c r="J57" s="16">
        <v>0</v>
      </c>
      <c r="K57" s="16">
        <f t="shared" si="6"/>
        <v>31154.149999999998</v>
      </c>
      <c r="L57" s="16">
        <f t="shared" si="11"/>
        <v>20906.169999999998</v>
      </c>
      <c r="M57" s="17">
        <v>1</v>
      </c>
      <c r="N57" s="1">
        <v>1</v>
      </c>
      <c r="O57" s="18">
        <f t="shared" si="12"/>
        <v>0.67105570204932563</v>
      </c>
    </row>
    <row r="58" spans="2:15" ht="15" customHeight="1">
      <c r="B58" s="1">
        <f t="shared" si="13"/>
        <v>11</v>
      </c>
      <c r="C58" s="22"/>
      <c r="D58" s="22"/>
      <c r="F58" s="2" t="s">
        <v>17</v>
      </c>
      <c r="G58" s="16">
        <v>20906.37</v>
      </c>
      <c r="H58" s="16">
        <v>3417.98</v>
      </c>
      <c r="I58" s="16">
        <v>6080</v>
      </c>
      <c r="J58" s="16">
        <v>0</v>
      </c>
      <c r="K58" s="16">
        <f t="shared" si="6"/>
        <v>30404.35</v>
      </c>
      <c r="L58" s="16">
        <f t="shared" si="11"/>
        <v>20906.37</v>
      </c>
      <c r="M58" s="17">
        <v>1</v>
      </c>
      <c r="N58" s="1">
        <v>1</v>
      </c>
      <c r="O58" s="18">
        <f t="shared" si="12"/>
        <v>0.68761114774695065</v>
      </c>
    </row>
    <row r="59" spans="2:15" ht="15" customHeight="1">
      <c r="B59" s="1">
        <f t="shared" si="13"/>
        <v>12</v>
      </c>
      <c r="C59" s="23"/>
      <c r="D59" s="23"/>
      <c r="F59" s="24" t="s">
        <v>20</v>
      </c>
      <c r="G59" s="16">
        <v>20906.37</v>
      </c>
      <c r="H59" s="16">
        <v>3417.98</v>
      </c>
      <c r="I59" s="16">
        <v>10530</v>
      </c>
      <c r="J59" s="16">
        <v>0</v>
      </c>
      <c r="K59" s="16">
        <f t="shared" si="6"/>
        <v>34854.35</v>
      </c>
      <c r="L59" s="16">
        <f t="shared" si="11"/>
        <v>20906.37</v>
      </c>
      <c r="M59" s="26">
        <v>1</v>
      </c>
      <c r="N59" s="1">
        <v>1</v>
      </c>
      <c r="O59" s="18">
        <f t="shared" si="12"/>
        <v>0.59982096926208639</v>
      </c>
    </row>
    <row r="60" spans="2:15" ht="15" customHeight="1">
      <c r="B60" s="1">
        <f t="shared" si="13"/>
        <v>13</v>
      </c>
      <c r="C60" s="6"/>
      <c r="D60" s="6"/>
      <c r="F60" s="2" t="s">
        <v>59</v>
      </c>
      <c r="G60" s="16">
        <v>20906.169999999998</v>
      </c>
      <c r="H60" s="16">
        <v>3417.98</v>
      </c>
      <c r="I60" s="16">
        <v>6830</v>
      </c>
      <c r="J60" s="16">
        <v>0</v>
      </c>
      <c r="K60" s="16">
        <f t="shared" si="6"/>
        <v>31154.149999999998</v>
      </c>
      <c r="L60" s="16">
        <f t="shared" si="11"/>
        <v>10453.084999999999</v>
      </c>
      <c r="M60" s="17">
        <v>0.5</v>
      </c>
      <c r="N60" s="1">
        <v>1</v>
      </c>
      <c r="O60" s="18">
        <f t="shared" si="12"/>
        <v>0.33552785102466282</v>
      </c>
    </row>
    <row r="61" spans="2:15" ht="15" customHeight="1">
      <c r="B61" s="1">
        <f t="shared" si="13"/>
        <v>14</v>
      </c>
      <c r="C61" s="6"/>
      <c r="D61" s="6"/>
      <c r="F61" s="2" t="s">
        <v>59</v>
      </c>
      <c r="G61" s="16">
        <v>20906.169999999998</v>
      </c>
      <c r="H61" s="16">
        <v>3417.98</v>
      </c>
      <c r="I61" s="16">
        <v>6830</v>
      </c>
      <c r="J61" s="16">
        <v>0</v>
      </c>
      <c r="K61" s="16">
        <f t="shared" si="6"/>
        <v>31154.149999999998</v>
      </c>
      <c r="L61" s="16">
        <f t="shared" si="11"/>
        <v>20906.169999999998</v>
      </c>
      <c r="M61" s="17">
        <v>1</v>
      </c>
      <c r="N61" s="1">
        <v>1</v>
      </c>
      <c r="O61" s="18">
        <f t="shared" si="12"/>
        <v>0.67105570204932563</v>
      </c>
    </row>
    <row r="62" spans="2:15" ht="15" customHeight="1">
      <c r="B62" s="1">
        <f t="shared" si="13"/>
        <v>15</v>
      </c>
      <c r="C62" s="6"/>
      <c r="D62" s="6"/>
      <c r="F62" s="2" t="s">
        <v>20</v>
      </c>
      <c r="G62" s="16">
        <v>20906.37</v>
      </c>
      <c r="H62" s="16">
        <v>3417.98</v>
      </c>
      <c r="I62" s="16">
        <v>10530</v>
      </c>
      <c r="J62" s="16">
        <v>0</v>
      </c>
      <c r="K62" s="16">
        <f t="shared" si="6"/>
        <v>34854.35</v>
      </c>
      <c r="L62" s="16">
        <f t="shared" si="11"/>
        <v>20906.37</v>
      </c>
      <c r="M62" s="17">
        <v>1</v>
      </c>
      <c r="N62" s="1">
        <v>1</v>
      </c>
      <c r="O62" s="18">
        <f t="shared" si="12"/>
        <v>0.59982096926208639</v>
      </c>
    </row>
    <row r="63" spans="2:15" ht="15" customHeight="1">
      <c r="B63" s="1">
        <f t="shared" si="13"/>
        <v>16</v>
      </c>
      <c r="C63" s="22"/>
      <c r="D63" s="22"/>
      <c r="F63" s="2" t="s">
        <v>18</v>
      </c>
      <c r="G63" s="16">
        <v>20906.37</v>
      </c>
      <c r="H63" s="16">
        <v>3417.98</v>
      </c>
      <c r="I63" s="16">
        <v>6080</v>
      </c>
      <c r="J63" s="16">
        <v>0</v>
      </c>
      <c r="K63" s="16">
        <f t="shared" si="6"/>
        <v>30404.35</v>
      </c>
      <c r="L63" s="16">
        <f t="shared" si="11"/>
        <v>20906.37</v>
      </c>
      <c r="M63" s="17">
        <v>1</v>
      </c>
      <c r="N63" s="1">
        <v>1</v>
      </c>
      <c r="O63" s="18">
        <f t="shared" si="12"/>
        <v>0.68761114774695065</v>
      </c>
    </row>
    <row r="64" spans="2:15" ht="15" customHeight="1">
      <c r="B64" s="1">
        <f t="shared" si="13"/>
        <v>17</v>
      </c>
      <c r="C64" s="22"/>
      <c r="D64" s="22"/>
      <c r="F64" s="2" t="s">
        <v>18</v>
      </c>
      <c r="G64" s="16">
        <v>20906.37</v>
      </c>
      <c r="H64" s="16">
        <v>3417.98</v>
      </c>
      <c r="I64" s="16">
        <v>6080</v>
      </c>
      <c r="J64" s="16">
        <v>0</v>
      </c>
      <c r="K64" s="16">
        <f t="shared" si="6"/>
        <v>30404.35</v>
      </c>
      <c r="L64" s="16">
        <f t="shared" si="11"/>
        <v>10453.184999999999</v>
      </c>
      <c r="M64" s="17">
        <v>0.5</v>
      </c>
      <c r="N64" s="1">
        <v>1</v>
      </c>
      <c r="O64" s="18">
        <f t="shared" si="12"/>
        <v>0.34380557387347532</v>
      </c>
    </row>
    <row r="65" spans="1:15" ht="15" customHeight="1">
      <c r="B65" s="1">
        <f t="shared" si="13"/>
        <v>18</v>
      </c>
      <c r="C65" s="6"/>
      <c r="D65" s="6"/>
      <c r="F65" s="2" t="s">
        <v>59</v>
      </c>
      <c r="G65" s="16">
        <v>20906.169999999998</v>
      </c>
      <c r="H65" s="16">
        <v>3417.98</v>
      </c>
      <c r="I65" s="16">
        <v>6830</v>
      </c>
      <c r="J65" s="16">
        <v>0</v>
      </c>
      <c r="K65" s="16">
        <f t="shared" si="6"/>
        <v>31154.149999999998</v>
      </c>
      <c r="L65" s="16">
        <f t="shared" si="11"/>
        <v>20906.169999999998</v>
      </c>
      <c r="M65" s="17">
        <v>1</v>
      </c>
      <c r="N65" s="1">
        <v>1</v>
      </c>
      <c r="O65" s="18">
        <f t="shared" si="12"/>
        <v>0.67105570204932563</v>
      </c>
    </row>
    <row r="66" spans="1:15" ht="15" customHeight="1">
      <c r="B66" s="1">
        <f t="shared" si="13"/>
        <v>19</v>
      </c>
      <c r="C66" s="22"/>
      <c r="D66" s="22"/>
      <c r="F66" s="2" t="s">
        <v>17</v>
      </c>
      <c r="G66" s="16">
        <v>20906.37</v>
      </c>
      <c r="H66" s="16">
        <v>3417.98</v>
      </c>
      <c r="I66" s="16">
        <v>6080</v>
      </c>
      <c r="J66" s="16">
        <v>0</v>
      </c>
      <c r="K66" s="16">
        <f t="shared" si="6"/>
        <v>30404.35</v>
      </c>
      <c r="L66" s="16">
        <f t="shared" si="11"/>
        <v>10453.184999999999</v>
      </c>
      <c r="M66" s="17">
        <v>0.5</v>
      </c>
      <c r="N66" s="1">
        <v>1</v>
      </c>
      <c r="O66" s="18">
        <f t="shared" si="12"/>
        <v>0.34380557387347532</v>
      </c>
    </row>
    <row r="67" spans="1:15" ht="15" customHeight="1">
      <c r="B67" s="1">
        <f t="shared" si="13"/>
        <v>20</v>
      </c>
      <c r="C67" s="22"/>
      <c r="D67" s="22"/>
      <c r="F67" s="2" t="s">
        <v>17</v>
      </c>
      <c r="G67" s="16">
        <v>20906.37</v>
      </c>
      <c r="H67" s="16">
        <v>3417.98</v>
      </c>
      <c r="I67" s="16">
        <v>6080</v>
      </c>
      <c r="J67" s="16">
        <v>0</v>
      </c>
      <c r="K67" s="16">
        <f t="shared" si="6"/>
        <v>30404.35</v>
      </c>
      <c r="L67" s="16">
        <f t="shared" si="11"/>
        <v>20906.37</v>
      </c>
      <c r="M67" s="17">
        <v>1</v>
      </c>
      <c r="N67" s="1">
        <v>1</v>
      </c>
      <c r="O67" s="18">
        <f t="shared" si="12"/>
        <v>0.68761114774695065</v>
      </c>
    </row>
    <row r="68" spans="1:15" ht="15" customHeight="1">
      <c r="B68" s="1">
        <f t="shared" si="13"/>
        <v>21</v>
      </c>
      <c r="C68" s="22"/>
      <c r="D68" s="22"/>
      <c r="F68" s="2" t="s">
        <v>17</v>
      </c>
      <c r="G68" s="16">
        <v>20906.37</v>
      </c>
      <c r="H68" s="16">
        <v>3417.98</v>
      </c>
      <c r="I68" s="16">
        <v>6080</v>
      </c>
      <c r="J68" s="16">
        <v>0</v>
      </c>
      <c r="K68" s="16">
        <f t="shared" si="6"/>
        <v>30404.35</v>
      </c>
      <c r="L68" s="16">
        <f t="shared" si="11"/>
        <v>10453.184999999999</v>
      </c>
      <c r="M68" s="17">
        <v>0.5</v>
      </c>
      <c r="N68" s="1">
        <v>1</v>
      </c>
      <c r="O68" s="18">
        <f t="shared" si="12"/>
        <v>0.34380557387347532</v>
      </c>
    </row>
    <row r="69" spans="1:15" ht="15" customHeight="1">
      <c r="B69" s="1">
        <f t="shared" si="13"/>
        <v>22</v>
      </c>
      <c r="C69" s="22"/>
      <c r="D69" s="22"/>
      <c r="F69" s="2" t="s">
        <v>18</v>
      </c>
      <c r="G69" s="16">
        <v>20906.37</v>
      </c>
      <c r="H69" s="16">
        <v>3417.98</v>
      </c>
      <c r="I69" s="16">
        <v>6080</v>
      </c>
      <c r="J69" s="16">
        <v>0</v>
      </c>
      <c r="K69" s="16">
        <f t="shared" si="6"/>
        <v>30404.35</v>
      </c>
      <c r="L69" s="16">
        <f t="shared" si="11"/>
        <v>20906.37</v>
      </c>
      <c r="M69" s="17">
        <v>1</v>
      </c>
      <c r="N69" s="1">
        <v>1</v>
      </c>
      <c r="O69" s="18">
        <f t="shared" si="12"/>
        <v>0.68761114774695065</v>
      </c>
    </row>
    <row r="70" spans="1:15" ht="15" customHeight="1">
      <c r="B70" s="1">
        <f t="shared" si="13"/>
        <v>23</v>
      </c>
      <c r="C70" s="25"/>
      <c r="D70" s="25"/>
      <c r="F70" s="24" t="s">
        <v>20</v>
      </c>
      <c r="G70" s="16">
        <v>20906.37</v>
      </c>
      <c r="H70" s="16">
        <v>3417.98</v>
      </c>
      <c r="I70" s="16">
        <v>10530</v>
      </c>
      <c r="J70" s="16">
        <v>0</v>
      </c>
      <c r="K70" s="16">
        <f t="shared" si="6"/>
        <v>34854.35</v>
      </c>
      <c r="L70" s="16">
        <f t="shared" si="11"/>
        <v>10453.184999999999</v>
      </c>
      <c r="M70" s="26">
        <v>0.5</v>
      </c>
      <c r="N70" s="1">
        <v>1</v>
      </c>
      <c r="O70" s="18">
        <f t="shared" si="12"/>
        <v>0.29991048463104319</v>
      </c>
    </row>
    <row r="71" spans="1:15" ht="15" customHeight="1">
      <c r="B71" s="1">
        <f t="shared" si="13"/>
        <v>24</v>
      </c>
      <c r="C71" s="6"/>
      <c r="D71" s="6"/>
      <c r="F71" s="2" t="s">
        <v>59</v>
      </c>
      <c r="G71" s="16">
        <v>20906.169999999998</v>
      </c>
      <c r="H71" s="16">
        <v>3417.98</v>
      </c>
      <c r="I71" s="16">
        <v>6830</v>
      </c>
      <c r="J71" s="16">
        <v>0</v>
      </c>
      <c r="K71" s="16">
        <f t="shared" si="6"/>
        <v>31154.149999999998</v>
      </c>
      <c r="L71" s="16">
        <f t="shared" si="11"/>
        <v>20906.169999999998</v>
      </c>
      <c r="M71" s="17">
        <v>1</v>
      </c>
      <c r="N71" s="1">
        <v>1</v>
      </c>
      <c r="O71" s="18">
        <f t="shared" si="12"/>
        <v>0.67105570204932563</v>
      </c>
    </row>
    <row r="72" spans="1:15" ht="15" customHeight="1">
      <c r="B72" s="1">
        <f t="shared" si="13"/>
        <v>25</v>
      </c>
      <c r="C72" s="6"/>
      <c r="D72" s="6"/>
      <c r="F72" s="2" t="s">
        <v>59</v>
      </c>
      <c r="G72" s="16">
        <v>20906.169999999998</v>
      </c>
      <c r="H72" s="16">
        <v>3417.98</v>
      </c>
      <c r="I72" s="16">
        <v>6830</v>
      </c>
      <c r="J72" s="16">
        <v>0</v>
      </c>
      <c r="K72" s="16">
        <f t="shared" si="6"/>
        <v>31154.149999999998</v>
      </c>
      <c r="L72" s="16">
        <f t="shared" si="11"/>
        <v>10453.084999999999</v>
      </c>
      <c r="M72" s="17">
        <v>0.5</v>
      </c>
      <c r="N72" s="1">
        <v>1</v>
      </c>
      <c r="O72" s="18">
        <f t="shared" si="12"/>
        <v>0.33552785102466282</v>
      </c>
    </row>
    <row r="73" spans="1:15" s="3" customFormat="1" ht="18" customHeight="1">
      <c r="A73" s="29" t="s">
        <v>26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3">
        <f>SUM(N48:N72)</f>
        <v>25</v>
      </c>
      <c r="O73" s="21">
        <f>SUM(O48:O72)</f>
        <v>13.681152507080903</v>
      </c>
    </row>
    <row r="74" spans="1:15" ht="15" customHeight="1">
      <c r="A74" s="30" t="s">
        <v>35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</row>
    <row r="75" spans="1:15" ht="15" customHeight="1">
      <c r="A75" s="3" t="s">
        <v>56</v>
      </c>
      <c r="B75" s="1">
        <v>1</v>
      </c>
      <c r="C75" s="6"/>
      <c r="D75" s="6"/>
      <c r="F75" s="2" t="s">
        <v>63</v>
      </c>
      <c r="G75" s="16">
        <v>20906.37</v>
      </c>
      <c r="H75" s="16">
        <v>3417.98</v>
      </c>
      <c r="I75" s="16">
        <v>11605</v>
      </c>
      <c r="J75" s="16">
        <v>0</v>
      </c>
      <c r="K75" s="16">
        <f t="shared" ref="K75:K97" si="14">SUM(G75:J75)</f>
        <v>35929.35</v>
      </c>
      <c r="L75" s="16">
        <f>M75*(G75+H75)</f>
        <v>24324.35</v>
      </c>
      <c r="M75" s="17">
        <v>1</v>
      </c>
      <c r="N75" s="1">
        <v>1</v>
      </c>
      <c r="O75" s="18">
        <f t="shared" ref="O75:O85" si="15">L75/K75</f>
        <v>0.67700501122341483</v>
      </c>
    </row>
    <row r="76" spans="1:15" ht="15" customHeight="1">
      <c r="B76" s="1">
        <f>+B75+1</f>
        <v>2</v>
      </c>
      <c r="C76" s="6"/>
      <c r="D76" s="6"/>
      <c r="F76" s="2" t="s">
        <v>64</v>
      </c>
      <c r="G76" s="16">
        <v>20906.37</v>
      </c>
      <c r="H76" s="16">
        <v>3417.98</v>
      </c>
      <c r="I76" s="16">
        <v>7275</v>
      </c>
      <c r="J76" s="16">
        <v>0</v>
      </c>
      <c r="K76" s="16">
        <f t="shared" si="14"/>
        <v>31599.35</v>
      </c>
      <c r="L76" s="16">
        <f t="shared" ref="L76" si="16">M76*G76</f>
        <v>20906.37</v>
      </c>
      <c r="M76" s="17">
        <v>1</v>
      </c>
      <c r="N76" s="1">
        <v>1</v>
      </c>
      <c r="O76" s="18">
        <f t="shared" si="15"/>
        <v>0.66160759635878585</v>
      </c>
    </row>
    <row r="77" spans="1:15" ht="15" customHeight="1">
      <c r="B77" s="1">
        <f t="shared" ref="B77:B85" si="17">+B76+1</f>
        <v>3</v>
      </c>
      <c r="C77" s="6"/>
      <c r="D77" s="6"/>
      <c r="F77" s="2" t="s">
        <v>64</v>
      </c>
      <c r="G77" s="16">
        <v>20906.37</v>
      </c>
      <c r="H77" s="16">
        <v>3417.98</v>
      </c>
      <c r="I77" s="16">
        <v>7275</v>
      </c>
      <c r="J77" s="16">
        <v>0</v>
      </c>
      <c r="K77" s="16">
        <f t="shared" si="14"/>
        <v>31599.35</v>
      </c>
      <c r="L77" s="16">
        <f t="shared" ref="L77:L85" si="18">M77*(G77+H77)</f>
        <v>24324.35</v>
      </c>
      <c r="M77" s="17">
        <v>1</v>
      </c>
      <c r="N77" s="1">
        <v>1</v>
      </c>
      <c r="O77" s="18">
        <f t="shared" si="15"/>
        <v>0.76977374534602772</v>
      </c>
    </row>
    <row r="78" spans="1:15" ht="15" customHeight="1">
      <c r="B78" s="1">
        <f t="shared" si="17"/>
        <v>4</v>
      </c>
      <c r="C78" s="6"/>
      <c r="D78" s="6"/>
      <c r="F78" s="2" t="s">
        <v>63</v>
      </c>
      <c r="G78" s="16">
        <v>20906.37</v>
      </c>
      <c r="H78" s="16">
        <v>3417.98</v>
      </c>
      <c r="I78" s="16">
        <v>11605</v>
      </c>
      <c r="J78" s="16">
        <v>0</v>
      </c>
      <c r="K78" s="16">
        <f t="shared" si="14"/>
        <v>35929.35</v>
      </c>
      <c r="L78" s="16">
        <f t="shared" si="18"/>
        <v>24324.35</v>
      </c>
      <c r="M78" s="17">
        <v>1</v>
      </c>
      <c r="N78" s="1">
        <v>1</v>
      </c>
      <c r="O78" s="18">
        <f t="shared" si="15"/>
        <v>0.67700501122341483</v>
      </c>
    </row>
    <row r="79" spans="1:15" ht="15" customHeight="1">
      <c r="B79" s="1">
        <f t="shared" si="17"/>
        <v>5</v>
      </c>
      <c r="C79" s="6"/>
      <c r="D79" s="6"/>
      <c r="F79" s="2" t="s">
        <v>63</v>
      </c>
      <c r="G79" s="16">
        <v>20906.37</v>
      </c>
      <c r="H79" s="16">
        <v>3417.98</v>
      </c>
      <c r="I79" s="16">
        <v>11605</v>
      </c>
      <c r="J79" s="16">
        <v>0</v>
      </c>
      <c r="K79" s="16">
        <f t="shared" si="14"/>
        <v>35929.35</v>
      </c>
      <c r="L79" s="16">
        <f t="shared" si="18"/>
        <v>24324.35</v>
      </c>
      <c r="M79" s="17">
        <v>1</v>
      </c>
      <c r="N79" s="1">
        <v>1</v>
      </c>
      <c r="O79" s="18">
        <f t="shared" si="15"/>
        <v>0.67700501122341483</v>
      </c>
    </row>
    <row r="80" spans="1:15" ht="15" customHeight="1">
      <c r="B80" s="1">
        <f t="shared" si="17"/>
        <v>6</v>
      </c>
      <c r="C80" s="6"/>
      <c r="D80" s="6"/>
      <c r="F80" s="2" t="s">
        <v>63</v>
      </c>
      <c r="G80" s="16">
        <v>20906.37</v>
      </c>
      <c r="H80" s="16">
        <v>3417.98</v>
      </c>
      <c r="I80" s="16">
        <v>11605</v>
      </c>
      <c r="J80" s="16">
        <v>0</v>
      </c>
      <c r="K80" s="16">
        <f t="shared" si="14"/>
        <v>35929.35</v>
      </c>
      <c r="L80" s="16">
        <f t="shared" si="18"/>
        <v>24324.35</v>
      </c>
      <c r="M80" s="17">
        <v>1</v>
      </c>
      <c r="N80" s="1">
        <v>1</v>
      </c>
      <c r="O80" s="18">
        <f t="shared" si="15"/>
        <v>0.67700501122341483</v>
      </c>
    </row>
    <row r="81" spans="1:15" ht="15" customHeight="1">
      <c r="B81" s="1">
        <f t="shared" si="17"/>
        <v>7</v>
      </c>
      <c r="C81" s="6"/>
      <c r="D81" s="6"/>
      <c r="F81" s="2" t="s">
        <v>63</v>
      </c>
      <c r="G81" s="16">
        <v>20906.37</v>
      </c>
      <c r="H81" s="16">
        <v>3417.98</v>
      </c>
      <c r="I81" s="16">
        <v>11605</v>
      </c>
      <c r="J81" s="16">
        <v>0</v>
      </c>
      <c r="K81" s="16">
        <f t="shared" si="14"/>
        <v>35929.35</v>
      </c>
      <c r="L81" s="16">
        <f t="shared" si="18"/>
        <v>24324.35</v>
      </c>
      <c r="M81" s="17">
        <v>1</v>
      </c>
      <c r="N81" s="1">
        <v>1</v>
      </c>
      <c r="O81" s="18">
        <f t="shared" si="15"/>
        <v>0.67700501122341483</v>
      </c>
    </row>
    <row r="82" spans="1:15" ht="15" customHeight="1">
      <c r="B82" s="1">
        <f t="shared" si="17"/>
        <v>8</v>
      </c>
      <c r="C82" s="6"/>
      <c r="D82" s="6"/>
      <c r="F82" s="2" t="s">
        <v>63</v>
      </c>
      <c r="G82" s="16">
        <v>20906.37</v>
      </c>
      <c r="H82" s="16">
        <v>3417.98</v>
      </c>
      <c r="I82" s="16">
        <v>11605</v>
      </c>
      <c r="J82" s="16">
        <v>0</v>
      </c>
      <c r="K82" s="16">
        <f t="shared" si="14"/>
        <v>35929.35</v>
      </c>
      <c r="L82" s="16">
        <f t="shared" si="18"/>
        <v>24324.35</v>
      </c>
      <c r="M82" s="17">
        <v>1</v>
      </c>
      <c r="N82" s="1">
        <v>1</v>
      </c>
      <c r="O82" s="18">
        <f t="shared" si="15"/>
        <v>0.67700501122341483</v>
      </c>
    </row>
    <row r="83" spans="1:15" ht="15" customHeight="1">
      <c r="B83" s="1">
        <f t="shared" si="17"/>
        <v>9</v>
      </c>
      <c r="C83" s="6"/>
      <c r="D83" s="6"/>
      <c r="F83" s="2" t="s">
        <v>64</v>
      </c>
      <c r="G83" s="16">
        <v>20906.37</v>
      </c>
      <c r="H83" s="16">
        <v>3417.98</v>
      </c>
      <c r="I83" s="16">
        <v>7275</v>
      </c>
      <c r="J83" s="16">
        <v>0</v>
      </c>
      <c r="K83" s="16">
        <f t="shared" si="14"/>
        <v>31599.35</v>
      </c>
      <c r="L83" s="16">
        <f t="shared" si="18"/>
        <v>24324.35</v>
      </c>
      <c r="M83" s="17">
        <v>1</v>
      </c>
      <c r="N83" s="1">
        <v>1</v>
      </c>
      <c r="O83" s="18">
        <f t="shared" si="15"/>
        <v>0.76977374534602772</v>
      </c>
    </row>
    <row r="84" spans="1:15" ht="15" customHeight="1">
      <c r="B84" s="1">
        <f t="shared" si="17"/>
        <v>10</v>
      </c>
      <c r="C84" s="6"/>
      <c r="D84" s="6"/>
      <c r="F84" s="2" t="s">
        <v>64</v>
      </c>
      <c r="G84" s="16">
        <v>20906.37</v>
      </c>
      <c r="H84" s="16">
        <v>3417.98</v>
      </c>
      <c r="I84" s="16">
        <v>7275</v>
      </c>
      <c r="J84" s="16">
        <v>0</v>
      </c>
      <c r="K84" s="16">
        <f t="shared" si="14"/>
        <v>31599.35</v>
      </c>
      <c r="L84" s="16">
        <f t="shared" si="18"/>
        <v>24324.35</v>
      </c>
      <c r="M84" s="17">
        <v>1</v>
      </c>
      <c r="N84" s="1">
        <v>1</v>
      </c>
      <c r="O84" s="18">
        <f t="shared" si="15"/>
        <v>0.76977374534602772</v>
      </c>
    </row>
    <row r="85" spans="1:15" ht="15" customHeight="1">
      <c r="B85" s="1">
        <f t="shared" si="17"/>
        <v>11</v>
      </c>
      <c r="C85" s="6"/>
      <c r="D85" s="6"/>
      <c r="F85" s="2" t="s">
        <v>64</v>
      </c>
      <c r="G85" s="16">
        <v>20906.37</v>
      </c>
      <c r="H85" s="16">
        <v>3417.98</v>
      </c>
      <c r="I85" s="16">
        <v>7275</v>
      </c>
      <c r="J85" s="16">
        <v>0</v>
      </c>
      <c r="K85" s="16">
        <f t="shared" si="14"/>
        <v>31599.35</v>
      </c>
      <c r="L85" s="16">
        <f t="shared" si="18"/>
        <v>24324.35</v>
      </c>
      <c r="M85" s="17">
        <v>1</v>
      </c>
      <c r="N85" s="1">
        <v>1</v>
      </c>
      <c r="O85" s="18">
        <f t="shared" si="15"/>
        <v>0.76977374534602772</v>
      </c>
    </row>
    <row r="86" spans="1:15" s="3" customFormat="1" ht="18" customHeight="1">
      <c r="A86" s="29" t="s">
        <v>26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3">
        <f>SUM(N75:N85)</f>
        <v>11</v>
      </c>
      <c r="O86" s="21">
        <f>SUM(O75:O85)</f>
        <v>7.8027326450833838</v>
      </c>
    </row>
    <row r="87" spans="1:15" ht="15" customHeight="1">
      <c r="A87" s="3" t="s">
        <v>58</v>
      </c>
      <c r="B87" s="1">
        <v>1</v>
      </c>
      <c r="C87" s="6"/>
      <c r="D87" s="6"/>
      <c r="F87" s="2" t="s">
        <v>64</v>
      </c>
      <c r="G87" s="16">
        <v>20906.37</v>
      </c>
      <c r="H87" s="16">
        <v>3417.98</v>
      </c>
      <c r="I87" s="16">
        <v>7275</v>
      </c>
      <c r="J87" s="16">
        <v>0</v>
      </c>
      <c r="K87" s="16">
        <f t="shared" si="14"/>
        <v>31599.35</v>
      </c>
      <c r="L87" s="16">
        <v>5000</v>
      </c>
    </row>
    <row r="88" spans="1:15" ht="15" customHeight="1">
      <c r="B88" s="1">
        <f>+B87+1</f>
        <v>2</v>
      </c>
      <c r="C88" s="6"/>
      <c r="D88" s="6"/>
      <c r="F88" s="2" t="s">
        <v>64</v>
      </c>
      <c r="G88" s="16">
        <v>20906.37</v>
      </c>
      <c r="H88" s="16">
        <v>3417.98</v>
      </c>
      <c r="I88" s="16">
        <v>7275</v>
      </c>
      <c r="J88" s="16">
        <v>0</v>
      </c>
      <c r="K88" s="16">
        <f t="shared" si="14"/>
        <v>31599.35</v>
      </c>
      <c r="L88" s="16">
        <v>5000</v>
      </c>
      <c r="N88" s="1">
        <v>1</v>
      </c>
      <c r="O88" s="18">
        <f t="shared" ref="O88:O97" si="19">L88/K88</f>
        <v>0.15823110285496381</v>
      </c>
    </row>
    <row r="89" spans="1:15" ht="15" customHeight="1">
      <c r="B89" s="1">
        <f t="shared" ref="B89:B97" si="20">+B88+1</f>
        <v>3</v>
      </c>
      <c r="C89" s="6"/>
      <c r="D89" s="6"/>
      <c r="F89" s="2" t="s">
        <v>63</v>
      </c>
      <c r="G89" s="16">
        <v>20906.37</v>
      </c>
      <c r="H89" s="16">
        <v>3417.98</v>
      </c>
      <c r="I89" s="16">
        <v>11605</v>
      </c>
      <c r="J89" s="16">
        <v>0</v>
      </c>
      <c r="K89" s="16">
        <f t="shared" si="14"/>
        <v>35929.35</v>
      </c>
      <c r="L89" s="16">
        <v>5000</v>
      </c>
      <c r="N89" s="1">
        <v>1</v>
      </c>
      <c r="O89" s="18">
        <f t="shared" si="19"/>
        <v>0.13916199430270795</v>
      </c>
    </row>
    <row r="90" spans="1:15" ht="15" customHeight="1">
      <c r="B90" s="1">
        <f t="shared" si="20"/>
        <v>4</v>
      </c>
      <c r="C90" s="6"/>
      <c r="D90" s="6"/>
      <c r="F90" s="2" t="s">
        <v>63</v>
      </c>
      <c r="G90" s="16">
        <v>20906.37</v>
      </c>
      <c r="H90" s="16">
        <v>3417.98</v>
      </c>
      <c r="I90" s="16">
        <v>11605</v>
      </c>
      <c r="J90" s="16">
        <v>0</v>
      </c>
      <c r="K90" s="16">
        <f t="shared" si="14"/>
        <v>35929.35</v>
      </c>
      <c r="L90" s="16">
        <v>5000</v>
      </c>
      <c r="N90" s="1">
        <v>1</v>
      </c>
      <c r="O90" s="18">
        <f t="shared" si="19"/>
        <v>0.13916199430270795</v>
      </c>
    </row>
    <row r="91" spans="1:15" ht="15" customHeight="1">
      <c r="B91" s="1">
        <f t="shared" si="20"/>
        <v>5</v>
      </c>
      <c r="C91" s="6"/>
      <c r="D91" s="6"/>
      <c r="F91" s="2" t="s">
        <v>64</v>
      </c>
      <c r="G91" s="16">
        <v>20906.37</v>
      </c>
      <c r="H91" s="16">
        <v>3417.98</v>
      </c>
      <c r="I91" s="16">
        <v>7275</v>
      </c>
      <c r="J91" s="16">
        <v>0</v>
      </c>
      <c r="K91" s="16">
        <f t="shared" si="14"/>
        <v>31599.35</v>
      </c>
      <c r="L91" s="16">
        <v>5000</v>
      </c>
      <c r="N91" s="1">
        <v>1</v>
      </c>
      <c r="O91" s="18">
        <f t="shared" si="19"/>
        <v>0.15823110285496381</v>
      </c>
    </row>
    <row r="92" spans="1:15" ht="15" customHeight="1">
      <c r="B92" s="1">
        <f t="shared" si="20"/>
        <v>6</v>
      </c>
      <c r="C92" s="6"/>
      <c r="D92" s="6"/>
      <c r="F92" s="2" t="s">
        <v>64</v>
      </c>
      <c r="G92" s="16">
        <v>20906.37</v>
      </c>
      <c r="H92" s="16">
        <v>3417.98</v>
      </c>
      <c r="I92" s="16">
        <v>7275</v>
      </c>
      <c r="J92" s="16">
        <v>0</v>
      </c>
      <c r="K92" s="16">
        <f t="shared" si="14"/>
        <v>31599.35</v>
      </c>
      <c r="L92" s="16">
        <v>5000</v>
      </c>
      <c r="N92" s="1">
        <v>1</v>
      </c>
      <c r="O92" s="18">
        <f t="shared" si="19"/>
        <v>0.15823110285496381</v>
      </c>
    </row>
    <row r="93" spans="1:15" ht="15" customHeight="1">
      <c r="B93" s="1">
        <f t="shared" si="20"/>
        <v>7</v>
      </c>
      <c r="C93" s="6"/>
      <c r="D93" s="6"/>
      <c r="F93" s="2" t="s">
        <v>64</v>
      </c>
      <c r="G93" s="16">
        <v>20906.37</v>
      </c>
      <c r="H93" s="16">
        <v>3417.98</v>
      </c>
      <c r="I93" s="16">
        <v>7275</v>
      </c>
      <c r="J93" s="16">
        <v>0</v>
      </c>
      <c r="K93" s="16">
        <f t="shared" si="14"/>
        <v>31599.35</v>
      </c>
      <c r="L93" s="16">
        <v>5000</v>
      </c>
      <c r="N93" s="1">
        <v>1</v>
      </c>
      <c r="O93" s="18">
        <f t="shared" si="19"/>
        <v>0.15823110285496381</v>
      </c>
    </row>
    <row r="94" spans="1:15" ht="15" customHeight="1">
      <c r="B94" s="1">
        <f t="shared" si="20"/>
        <v>8</v>
      </c>
      <c r="C94" s="6"/>
      <c r="D94" s="6"/>
      <c r="F94" s="2" t="s">
        <v>64</v>
      </c>
      <c r="G94" s="16">
        <v>20906.37</v>
      </c>
      <c r="H94" s="16">
        <v>3417.98</v>
      </c>
      <c r="I94" s="16">
        <v>7275</v>
      </c>
      <c r="J94" s="16">
        <v>0</v>
      </c>
      <c r="K94" s="16">
        <f t="shared" si="14"/>
        <v>31599.35</v>
      </c>
      <c r="L94" s="16">
        <v>5000</v>
      </c>
      <c r="N94" s="1">
        <v>1</v>
      </c>
      <c r="O94" s="18">
        <f t="shared" si="19"/>
        <v>0.15823110285496381</v>
      </c>
    </row>
    <row r="95" spans="1:15" ht="15" customHeight="1">
      <c r="B95" s="1">
        <f t="shared" si="20"/>
        <v>9</v>
      </c>
      <c r="C95" s="6"/>
      <c r="D95" s="6"/>
      <c r="F95" s="2" t="s">
        <v>63</v>
      </c>
      <c r="G95" s="16">
        <v>20906.37</v>
      </c>
      <c r="H95" s="16">
        <v>3417.98</v>
      </c>
      <c r="I95" s="16">
        <v>11605</v>
      </c>
      <c r="J95" s="16">
        <v>0</v>
      </c>
      <c r="K95" s="16">
        <f t="shared" si="14"/>
        <v>35929.35</v>
      </c>
      <c r="L95" s="16">
        <f>K95</f>
        <v>35929.35</v>
      </c>
      <c r="N95" s="1">
        <v>1</v>
      </c>
      <c r="O95" s="18">
        <f t="shared" si="19"/>
        <v>1</v>
      </c>
    </row>
    <row r="96" spans="1:15" ht="15" customHeight="1">
      <c r="B96" s="1">
        <f t="shared" si="20"/>
        <v>10</v>
      </c>
      <c r="C96" s="6"/>
      <c r="D96" s="6"/>
      <c r="F96" s="2" t="s">
        <v>63</v>
      </c>
      <c r="G96" s="16">
        <v>20906.37</v>
      </c>
      <c r="H96" s="16">
        <v>3417.98</v>
      </c>
      <c r="I96" s="16">
        <v>11605</v>
      </c>
      <c r="J96" s="16">
        <v>0</v>
      </c>
      <c r="K96" s="16">
        <f t="shared" si="14"/>
        <v>35929.35</v>
      </c>
      <c r="L96" s="16">
        <f>K96</f>
        <v>35929.35</v>
      </c>
      <c r="N96" s="1">
        <v>1</v>
      </c>
      <c r="O96" s="18">
        <f t="shared" si="19"/>
        <v>1</v>
      </c>
    </row>
    <row r="97" spans="1:15" ht="15" customHeight="1">
      <c r="B97" s="1">
        <f t="shared" si="20"/>
        <v>11</v>
      </c>
      <c r="C97" s="6"/>
      <c r="D97" s="6"/>
      <c r="F97" s="2" t="s">
        <v>63</v>
      </c>
      <c r="G97" s="16">
        <v>20906.37</v>
      </c>
      <c r="H97" s="16">
        <v>3417.98</v>
      </c>
      <c r="I97" s="16">
        <v>11605</v>
      </c>
      <c r="J97" s="16">
        <v>0</v>
      </c>
      <c r="K97" s="16">
        <f t="shared" si="14"/>
        <v>35929.35</v>
      </c>
      <c r="L97" s="16">
        <v>5000</v>
      </c>
      <c r="N97" s="1">
        <v>1</v>
      </c>
      <c r="O97" s="18">
        <f t="shared" si="19"/>
        <v>0.13916199430270795</v>
      </c>
    </row>
    <row r="98" spans="1:15" s="3" customFormat="1" ht="18" customHeight="1">
      <c r="A98" s="29" t="s">
        <v>26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3">
        <f>SUM(N87:N97)</f>
        <v>10</v>
      </c>
      <c r="O98" s="21">
        <f>SUM(O87:O97)</f>
        <v>3.2086414971829424</v>
      </c>
    </row>
    <row r="99" spans="1:15" ht="15" customHeight="1">
      <c r="A99" s="3" t="s">
        <v>62</v>
      </c>
      <c r="B99" s="1">
        <v>1</v>
      </c>
      <c r="C99" s="6"/>
      <c r="D99" s="6"/>
      <c r="F99" s="2" t="s">
        <v>63</v>
      </c>
      <c r="G99" s="16">
        <v>20906.37</v>
      </c>
      <c r="H99" s="16">
        <v>3417.98</v>
      </c>
      <c r="I99" s="16">
        <v>11605</v>
      </c>
      <c r="J99" s="16">
        <v>0</v>
      </c>
      <c r="K99" s="16">
        <f t="shared" ref="K99" si="21">SUM(G99:J99)</f>
        <v>35929.35</v>
      </c>
      <c r="L99" s="16">
        <f t="shared" ref="L99:L105" si="22">M99*G99</f>
        <v>10453.184999999999</v>
      </c>
      <c r="M99" s="17">
        <v>0.5</v>
      </c>
      <c r="N99" s="1">
        <v>1</v>
      </c>
      <c r="O99" s="18">
        <f t="shared" ref="O99" si="23">L99/K99</f>
        <v>0.29093721428303043</v>
      </c>
    </row>
    <row r="100" spans="1:15" ht="15" customHeight="1">
      <c r="B100" s="1">
        <f>+B99+1</f>
        <v>2</v>
      </c>
      <c r="C100" s="6"/>
      <c r="D100" s="6"/>
      <c r="F100" s="2" t="s">
        <v>63</v>
      </c>
      <c r="G100" s="16">
        <v>20906.37</v>
      </c>
      <c r="H100" s="16">
        <v>3417.98</v>
      </c>
      <c r="I100" s="16">
        <v>11605</v>
      </c>
      <c r="J100" s="16">
        <v>0</v>
      </c>
      <c r="K100" s="16">
        <f t="shared" ref="K100:K105" si="24">SUM(G100:J100)</f>
        <v>35929.35</v>
      </c>
      <c r="L100" s="16">
        <f t="shared" si="22"/>
        <v>10453.184999999999</v>
      </c>
      <c r="M100" s="17">
        <v>0.5</v>
      </c>
      <c r="N100" s="1">
        <v>1</v>
      </c>
      <c r="O100" s="18">
        <f t="shared" ref="O100:O105" si="25">L100/K100</f>
        <v>0.29093721428303043</v>
      </c>
    </row>
    <row r="101" spans="1:15" ht="15" customHeight="1">
      <c r="B101" s="1">
        <f t="shared" ref="B101:B105" si="26">+B100+1</f>
        <v>3</v>
      </c>
      <c r="C101" s="6"/>
      <c r="D101" s="6"/>
      <c r="F101" s="2" t="s">
        <v>63</v>
      </c>
      <c r="G101" s="16">
        <v>20906.37</v>
      </c>
      <c r="H101" s="16">
        <v>3417.98</v>
      </c>
      <c r="I101" s="16">
        <v>11605</v>
      </c>
      <c r="J101" s="16">
        <v>0</v>
      </c>
      <c r="K101" s="16">
        <f t="shared" si="24"/>
        <v>35929.35</v>
      </c>
      <c r="L101" s="16">
        <f t="shared" si="22"/>
        <v>20906.37</v>
      </c>
      <c r="M101" s="17">
        <v>1</v>
      </c>
      <c r="N101" s="1">
        <v>1</v>
      </c>
      <c r="O101" s="18">
        <f t="shared" si="25"/>
        <v>0.58187442856606086</v>
      </c>
    </row>
    <row r="102" spans="1:15" ht="15" customHeight="1">
      <c r="B102" s="1">
        <f t="shared" si="26"/>
        <v>4</v>
      </c>
      <c r="C102" s="6"/>
      <c r="D102" s="6"/>
      <c r="F102" s="2" t="s">
        <v>63</v>
      </c>
      <c r="G102" s="16">
        <v>20906.37</v>
      </c>
      <c r="H102" s="16">
        <v>3417.98</v>
      </c>
      <c r="I102" s="16">
        <v>11605</v>
      </c>
      <c r="J102" s="16">
        <v>0</v>
      </c>
      <c r="K102" s="16">
        <f t="shared" si="24"/>
        <v>35929.35</v>
      </c>
      <c r="L102" s="16">
        <f t="shared" si="22"/>
        <v>20906.37</v>
      </c>
      <c r="M102" s="17">
        <v>1</v>
      </c>
      <c r="N102" s="1">
        <v>1</v>
      </c>
      <c r="O102" s="18">
        <f t="shared" si="25"/>
        <v>0.58187442856606086</v>
      </c>
    </row>
    <row r="103" spans="1:15" ht="15" customHeight="1">
      <c r="B103" s="1">
        <f t="shared" si="26"/>
        <v>5</v>
      </c>
      <c r="C103" s="22"/>
      <c r="D103" s="22"/>
      <c r="F103" s="2" t="s">
        <v>64</v>
      </c>
      <c r="G103" s="16">
        <v>20906.37</v>
      </c>
      <c r="H103" s="16">
        <v>3417.98</v>
      </c>
      <c r="I103" s="16">
        <v>7275</v>
      </c>
      <c r="J103" s="16">
        <v>0</v>
      </c>
      <c r="K103" s="16">
        <f t="shared" si="24"/>
        <v>31599.35</v>
      </c>
      <c r="L103" s="16">
        <f t="shared" si="22"/>
        <v>20906.37</v>
      </c>
      <c r="M103" s="17">
        <v>1</v>
      </c>
      <c r="N103" s="1">
        <v>1</v>
      </c>
      <c r="O103" s="18">
        <f t="shared" si="25"/>
        <v>0.66160759635878585</v>
      </c>
    </row>
    <row r="104" spans="1:15" ht="15" customHeight="1">
      <c r="B104" s="1">
        <f t="shared" si="26"/>
        <v>6</v>
      </c>
      <c r="C104" s="22"/>
      <c r="D104" s="22"/>
      <c r="F104" s="2" t="s">
        <v>63</v>
      </c>
      <c r="G104" s="16">
        <v>20906.37</v>
      </c>
      <c r="H104" s="16">
        <v>3417.98</v>
      </c>
      <c r="I104" s="16">
        <v>11605</v>
      </c>
      <c r="J104" s="16">
        <v>0</v>
      </c>
      <c r="K104" s="16">
        <f t="shared" si="24"/>
        <v>35929.35</v>
      </c>
      <c r="L104" s="16">
        <f t="shared" si="22"/>
        <v>10453.184999999999</v>
      </c>
      <c r="M104" s="17">
        <v>0.5</v>
      </c>
      <c r="N104" s="1">
        <v>1</v>
      </c>
      <c r="O104" s="18">
        <f t="shared" si="25"/>
        <v>0.29093721428303043</v>
      </c>
    </row>
    <row r="105" spans="1:15" ht="15" customHeight="1">
      <c r="B105" s="1">
        <f t="shared" si="26"/>
        <v>7</v>
      </c>
      <c r="C105" s="22"/>
      <c r="D105" s="22"/>
      <c r="F105" s="2" t="s">
        <v>64</v>
      </c>
      <c r="G105" s="16">
        <v>20906.37</v>
      </c>
      <c r="H105" s="16">
        <v>3417.98</v>
      </c>
      <c r="I105" s="16">
        <v>7275</v>
      </c>
      <c r="J105" s="16">
        <v>0</v>
      </c>
      <c r="K105" s="16">
        <f t="shared" si="24"/>
        <v>31599.35</v>
      </c>
      <c r="L105" s="16">
        <f t="shared" si="22"/>
        <v>10453.184999999999</v>
      </c>
      <c r="M105" s="17">
        <v>0.5</v>
      </c>
      <c r="N105" s="1">
        <v>1</v>
      </c>
      <c r="O105" s="18">
        <f t="shared" si="25"/>
        <v>0.33080379817939293</v>
      </c>
    </row>
    <row r="106" spans="1:15" s="3" customFormat="1" ht="18" customHeight="1">
      <c r="A106" s="29" t="s">
        <v>26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">
        <f>SUM(N99:N105)</f>
        <v>7</v>
      </c>
      <c r="O106" s="21">
        <f>SUM(O99:O105)</f>
        <v>3.0289718945193917</v>
      </c>
    </row>
    <row r="107" spans="1:15" ht="15" customHeight="1">
      <c r="A107" s="30" t="s">
        <v>65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</row>
    <row r="108" spans="1:15" ht="15" customHeight="1">
      <c r="A108" s="3" t="s">
        <v>56</v>
      </c>
      <c r="B108" s="1">
        <v>1</v>
      </c>
      <c r="F108" s="1" t="s">
        <v>40</v>
      </c>
      <c r="G108" s="16">
        <f>G129</f>
        <v>21978</v>
      </c>
      <c r="H108" s="16">
        <f t="shared" ref="H108:I108" si="27">H129</f>
        <v>5584.7999999999993</v>
      </c>
      <c r="I108" s="16">
        <f t="shared" si="27"/>
        <v>11370</v>
      </c>
      <c r="J108" s="16">
        <v>500</v>
      </c>
      <c r="K108" s="16">
        <f t="shared" ref="K108:K111" si="28">SUM(G108:J108)</f>
        <v>39432.800000000003</v>
      </c>
      <c r="L108" s="16">
        <f>M108*(G108+H108)</f>
        <v>27562.799999999999</v>
      </c>
      <c r="M108" s="17">
        <v>1</v>
      </c>
      <c r="N108" s="1">
        <v>1</v>
      </c>
      <c r="O108" s="18">
        <f t="shared" ref="O108:O111" si="29">L108/K108</f>
        <v>0.69898155849952315</v>
      </c>
    </row>
    <row r="109" spans="1:15" ht="15" customHeight="1">
      <c r="B109" s="1">
        <v>2</v>
      </c>
      <c r="F109" s="1" t="s">
        <v>13</v>
      </c>
      <c r="G109" s="16">
        <f t="shared" ref="G109:I109" si="30">G130</f>
        <v>6300</v>
      </c>
      <c r="H109" s="16">
        <f t="shared" si="30"/>
        <v>1861.6</v>
      </c>
      <c r="I109" s="16">
        <f t="shared" si="30"/>
        <v>3240</v>
      </c>
      <c r="J109" s="16">
        <v>500</v>
      </c>
      <c r="K109" s="16">
        <f t="shared" si="28"/>
        <v>11901.6</v>
      </c>
      <c r="L109" s="16">
        <f t="shared" ref="L109:L111" si="31">M109*(G109+H109)</f>
        <v>8161.6</v>
      </c>
      <c r="M109" s="17">
        <v>1</v>
      </c>
      <c r="N109" s="1">
        <v>1</v>
      </c>
      <c r="O109" s="18">
        <f t="shared" si="29"/>
        <v>0.6857565369362103</v>
      </c>
    </row>
    <row r="110" spans="1:15" ht="15" customHeight="1">
      <c r="B110" s="1">
        <v>3</v>
      </c>
      <c r="F110" s="1" t="s">
        <v>47</v>
      </c>
      <c r="G110" s="16">
        <f t="shared" ref="G110:I110" si="32">G131</f>
        <v>1662</v>
      </c>
      <c r="H110" s="16">
        <f t="shared" si="32"/>
        <v>1861.6</v>
      </c>
      <c r="I110" s="16">
        <f t="shared" si="32"/>
        <v>7890</v>
      </c>
      <c r="J110" s="16">
        <v>500</v>
      </c>
      <c r="K110" s="16">
        <f t="shared" si="28"/>
        <v>11913.6</v>
      </c>
      <c r="L110" s="16">
        <f t="shared" si="31"/>
        <v>3523.6</v>
      </c>
      <c r="M110" s="17">
        <v>1</v>
      </c>
      <c r="N110" s="1">
        <v>1</v>
      </c>
      <c r="O110" s="18">
        <f t="shared" si="29"/>
        <v>0.29576282567821649</v>
      </c>
    </row>
    <row r="111" spans="1:15" ht="15" customHeight="1">
      <c r="B111" s="1">
        <v>4</v>
      </c>
      <c r="F111" s="1" t="s">
        <v>46</v>
      </c>
      <c r="G111" s="16">
        <f t="shared" ref="G111:I111" si="33">G132</f>
        <v>831</v>
      </c>
      <c r="H111" s="16">
        <f t="shared" si="33"/>
        <v>1861.6</v>
      </c>
      <c r="I111" s="16">
        <f t="shared" si="33"/>
        <v>7890</v>
      </c>
      <c r="J111" s="16">
        <v>500</v>
      </c>
      <c r="K111" s="16">
        <f t="shared" si="28"/>
        <v>11082.6</v>
      </c>
      <c r="L111" s="16">
        <f t="shared" si="31"/>
        <v>2692.6</v>
      </c>
      <c r="M111" s="17">
        <v>1</v>
      </c>
      <c r="N111" s="1">
        <v>1</v>
      </c>
      <c r="O111" s="18">
        <f t="shared" si="29"/>
        <v>0.2429574287622038</v>
      </c>
    </row>
    <row r="112" spans="1:15" s="3" customFormat="1" ht="18" customHeight="1">
      <c r="A112" s="29" t="s">
        <v>26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3">
        <f>SUM(N108:N111)</f>
        <v>4</v>
      </c>
      <c r="O112" s="21">
        <f>SUM(O108:O111)</f>
        <v>1.9234583498761539</v>
      </c>
    </row>
    <row r="113" spans="1:15" ht="15" hidden="1" customHeight="1">
      <c r="C113" s="3" t="s">
        <v>73</v>
      </c>
      <c r="O113" s="18"/>
    </row>
    <row r="114" spans="1:15" ht="15" hidden="1" customHeight="1">
      <c r="A114" s="3"/>
      <c r="C114" s="1" t="s">
        <v>32</v>
      </c>
      <c r="D114" s="1" t="s">
        <v>66</v>
      </c>
      <c r="F114" s="1" t="s">
        <v>40</v>
      </c>
      <c r="G114" s="16">
        <f>333*21.5</f>
        <v>7159.5</v>
      </c>
      <c r="H114" s="16">
        <v>1861.6</v>
      </c>
      <c r="I114" s="16">
        <v>3790</v>
      </c>
      <c r="J114" s="16">
        <v>500</v>
      </c>
      <c r="K114" s="16">
        <f t="shared" ref="K114:K117" si="34">SUM(G114:J114)</f>
        <v>13311.1</v>
      </c>
      <c r="N114" s="1">
        <v>1</v>
      </c>
      <c r="O114" s="18">
        <f t="shared" ref="O114:O117" si="35">L114/K114</f>
        <v>0</v>
      </c>
    </row>
    <row r="115" spans="1:15" ht="15" hidden="1" customHeight="1">
      <c r="C115" s="1" t="s">
        <v>27</v>
      </c>
      <c r="D115" s="1" t="s">
        <v>67</v>
      </c>
      <c r="F115" s="1" t="s">
        <v>13</v>
      </c>
      <c r="G115" s="16">
        <f>300*21</f>
        <v>6300</v>
      </c>
      <c r="H115" s="16">
        <v>1861.6</v>
      </c>
      <c r="I115" s="16">
        <v>3240</v>
      </c>
      <c r="J115" s="16">
        <v>500</v>
      </c>
      <c r="K115" s="16">
        <f t="shared" si="34"/>
        <v>11901.6</v>
      </c>
      <c r="N115" s="1">
        <v>1</v>
      </c>
      <c r="O115" s="18">
        <f t="shared" si="35"/>
        <v>0</v>
      </c>
    </row>
    <row r="116" spans="1:15" ht="15" hidden="1" customHeight="1">
      <c r="C116" s="1" t="s">
        <v>68</v>
      </c>
      <c r="D116" s="1" t="s">
        <v>69</v>
      </c>
      <c r="F116" s="1" t="s">
        <v>47</v>
      </c>
      <c r="G116" s="16">
        <f>277*6</f>
        <v>1662</v>
      </c>
      <c r="H116" s="16">
        <v>1861.6</v>
      </c>
      <c r="I116" s="16">
        <v>7890</v>
      </c>
      <c r="J116" s="16">
        <v>500</v>
      </c>
      <c r="K116" s="16">
        <f t="shared" si="34"/>
        <v>11913.6</v>
      </c>
      <c r="N116" s="1">
        <v>1</v>
      </c>
      <c r="O116" s="18">
        <f t="shared" si="35"/>
        <v>0</v>
      </c>
    </row>
    <row r="117" spans="1:15" ht="15" hidden="1" customHeight="1">
      <c r="C117" s="1" t="s">
        <v>55</v>
      </c>
      <c r="D117" s="1" t="s">
        <v>70</v>
      </c>
      <c r="F117" s="1" t="s">
        <v>46</v>
      </c>
      <c r="G117" s="16">
        <f>277*3</f>
        <v>831</v>
      </c>
      <c r="H117" s="16">
        <v>1861.6</v>
      </c>
      <c r="I117" s="16">
        <v>7890</v>
      </c>
      <c r="J117" s="16">
        <v>500</v>
      </c>
      <c r="K117" s="16">
        <f t="shared" si="34"/>
        <v>11082.6</v>
      </c>
      <c r="N117" s="1">
        <v>1</v>
      </c>
      <c r="O117" s="18">
        <f t="shared" si="35"/>
        <v>0</v>
      </c>
    </row>
    <row r="118" spans="1:15" ht="15" hidden="1" customHeight="1">
      <c r="C118" s="3" t="s">
        <v>72</v>
      </c>
    </row>
    <row r="119" spans="1:15" ht="15" hidden="1" customHeight="1">
      <c r="C119" s="1" t="s">
        <v>32</v>
      </c>
      <c r="D119" s="1" t="s">
        <v>66</v>
      </c>
      <c r="F119" s="1" t="s">
        <v>40</v>
      </c>
      <c r="G119" s="16">
        <f>333*21.5</f>
        <v>7159.5</v>
      </c>
      <c r="H119" s="16">
        <v>1861.6</v>
      </c>
      <c r="I119" s="16">
        <v>3790</v>
      </c>
      <c r="J119" s="16">
        <v>0</v>
      </c>
    </row>
    <row r="120" spans="1:15" ht="15" hidden="1" customHeight="1">
      <c r="C120" s="1" t="s">
        <v>27</v>
      </c>
      <c r="D120" s="1" t="s">
        <v>67</v>
      </c>
      <c r="F120" s="1" t="s">
        <v>13</v>
      </c>
      <c r="G120" s="16">
        <v>0</v>
      </c>
      <c r="H120" s="16">
        <v>0</v>
      </c>
      <c r="I120" s="16">
        <v>0</v>
      </c>
      <c r="J120" s="16">
        <v>500</v>
      </c>
    </row>
    <row r="121" spans="1:15" ht="15" hidden="1" customHeight="1">
      <c r="C121" s="1" t="s">
        <v>68</v>
      </c>
      <c r="D121" s="1" t="s">
        <v>69</v>
      </c>
      <c r="F121" s="1" t="s">
        <v>47</v>
      </c>
      <c r="G121" s="16">
        <v>0</v>
      </c>
      <c r="H121" s="16">
        <v>0</v>
      </c>
      <c r="I121" s="16">
        <v>0</v>
      </c>
      <c r="J121" s="16">
        <v>0</v>
      </c>
    </row>
    <row r="122" spans="1:15" ht="15" hidden="1" customHeight="1">
      <c r="C122" s="1" t="s">
        <v>55</v>
      </c>
      <c r="D122" s="1" t="s">
        <v>70</v>
      </c>
      <c r="F122" s="1" t="s">
        <v>46</v>
      </c>
      <c r="G122" s="16">
        <v>0</v>
      </c>
      <c r="H122" s="16">
        <v>0</v>
      </c>
      <c r="I122" s="16">
        <v>0</v>
      </c>
      <c r="J122" s="16">
        <v>500</v>
      </c>
    </row>
    <row r="123" spans="1:15" ht="15" hidden="1" customHeight="1">
      <c r="C123" s="3" t="s">
        <v>71</v>
      </c>
    </row>
    <row r="124" spans="1:15" ht="15" hidden="1" customHeight="1">
      <c r="C124" s="1" t="s">
        <v>32</v>
      </c>
      <c r="D124" s="1" t="s">
        <v>66</v>
      </c>
      <c r="F124" s="1" t="s">
        <v>40</v>
      </c>
      <c r="G124" s="16">
        <f>333*23</f>
        <v>7659</v>
      </c>
      <c r="H124" s="16">
        <v>1861.6</v>
      </c>
      <c r="I124" s="16">
        <v>3790</v>
      </c>
      <c r="J124" s="16">
        <v>0</v>
      </c>
    </row>
    <row r="125" spans="1:15" ht="15" hidden="1" customHeight="1">
      <c r="C125" s="1" t="s">
        <v>27</v>
      </c>
      <c r="D125" s="1" t="s">
        <v>67</v>
      </c>
      <c r="F125" s="1" t="s">
        <v>13</v>
      </c>
      <c r="G125" s="16">
        <v>0</v>
      </c>
      <c r="H125" s="16">
        <v>0</v>
      </c>
      <c r="I125" s="16">
        <v>0</v>
      </c>
      <c r="J125" s="16">
        <v>500</v>
      </c>
    </row>
    <row r="126" spans="1:15" ht="15" hidden="1" customHeight="1">
      <c r="C126" s="1" t="s">
        <v>68</v>
      </c>
      <c r="D126" s="1" t="s">
        <v>69</v>
      </c>
      <c r="F126" s="1" t="s">
        <v>47</v>
      </c>
      <c r="G126" s="16">
        <v>0</v>
      </c>
      <c r="H126" s="16">
        <v>0</v>
      </c>
      <c r="I126" s="16">
        <v>0</v>
      </c>
      <c r="J126" s="16">
        <v>0</v>
      </c>
    </row>
    <row r="127" spans="1:15" ht="15" hidden="1" customHeight="1">
      <c r="C127" s="1" t="s">
        <v>55</v>
      </c>
      <c r="D127" s="1" t="s">
        <v>70</v>
      </c>
      <c r="F127" s="1" t="s">
        <v>46</v>
      </c>
      <c r="G127" s="16">
        <v>0</v>
      </c>
      <c r="H127" s="16">
        <v>0</v>
      </c>
      <c r="I127" s="16">
        <v>0</v>
      </c>
      <c r="J127" s="16">
        <v>500</v>
      </c>
    </row>
    <row r="128" spans="1:15" ht="15" hidden="1" customHeight="1">
      <c r="C128" s="3" t="s">
        <v>26</v>
      </c>
    </row>
    <row r="129" spans="1:15" ht="15" hidden="1" customHeight="1">
      <c r="C129" s="1" t="s">
        <v>32</v>
      </c>
      <c r="D129" s="1" t="s">
        <v>66</v>
      </c>
      <c r="F129" s="1" t="s">
        <v>40</v>
      </c>
      <c r="G129" s="16">
        <f>+G124+G119+G114</f>
        <v>21978</v>
      </c>
      <c r="H129" s="16">
        <f t="shared" ref="H129:J129" si="36">+H124+H119+H114</f>
        <v>5584.7999999999993</v>
      </c>
      <c r="I129" s="16">
        <f t="shared" si="36"/>
        <v>11370</v>
      </c>
      <c r="J129" s="16">
        <f t="shared" si="36"/>
        <v>500</v>
      </c>
    </row>
    <row r="130" spans="1:15" ht="15" hidden="1" customHeight="1">
      <c r="C130" s="1" t="s">
        <v>27</v>
      </c>
      <c r="D130" s="1" t="s">
        <v>67</v>
      </c>
      <c r="F130" s="1" t="s">
        <v>13</v>
      </c>
      <c r="G130" s="16">
        <f t="shared" ref="G130:J130" si="37">+G125+G120+G115</f>
        <v>6300</v>
      </c>
      <c r="H130" s="16">
        <f t="shared" si="37"/>
        <v>1861.6</v>
      </c>
      <c r="I130" s="16">
        <f t="shared" si="37"/>
        <v>3240</v>
      </c>
      <c r="J130" s="16">
        <f t="shared" si="37"/>
        <v>1500</v>
      </c>
    </row>
    <row r="131" spans="1:15" ht="15" hidden="1" customHeight="1">
      <c r="C131" s="1" t="s">
        <v>68</v>
      </c>
      <c r="D131" s="1" t="s">
        <v>69</v>
      </c>
      <c r="F131" s="1" t="s">
        <v>47</v>
      </c>
      <c r="G131" s="16">
        <f t="shared" ref="G131:J131" si="38">+G126+G121+G116</f>
        <v>1662</v>
      </c>
      <c r="H131" s="16">
        <f t="shared" si="38"/>
        <v>1861.6</v>
      </c>
      <c r="I131" s="16">
        <f t="shared" si="38"/>
        <v>7890</v>
      </c>
      <c r="J131" s="16">
        <f t="shared" si="38"/>
        <v>500</v>
      </c>
    </row>
    <row r="132" spans="1:15" ht="15" hidden="1" customHeight="1">
      <c r="C132" s="1" t="s">
        <v>55</v>
      </c>
      <c r="D132" s="1" t="s">
        <v>70</v>
      </c>
      <c r="F132" s="1" t="s">
        <v>46</v>
      </c>
      <c r="G132" s="16">
        <f t="shared" ref="G132:J132" si="39">+G127+G122+G117</f>
        <v>831</v>
      </c>
      <c r="H132" s="16">
        <f t="shared" si="39"/>
        <v>1861.6</v>
      </c>
      <c r="I132" s="16">
        <f t="shared" si="39"/>
        <v>7890</v>
      </c>
      <c r="J132" s="16">
        <f t="shared" si="39"/>
        <v>1500</v>
      </c>
    </row>
    <row r="133" spans="1:15" ht="15" customHeight="1">
      <c r="A133" s="3" t="s">
        <v>58</v>
      </c>
      <c r="B133" s="1">
        <v>1</v>
      </c>
      <c r="C133" s="6"/>
      <c r="D133" s="6"/>
      <c r="F133" s="28" t="s">
        <v>40</v>
      </c>
      <c r="G133" s="16">
        <f>+G147+G160+G173</f>
        <v>21978</v>
      </c>
      <c r="H133" s="16">
        <f t="shared" ref="H133:J133" si="40">+H147+H160+H173</f>
        <v>5584.7999999999993</v>
      </c>
      <c r="I133" s="16">
        <f t="shared" si="40"/>
        <v>11370</v>
      </c>
      <c r="J133" s="16">
        <f t="shared" si="40"/>
        <v>500</v>
      </c>
      <c r="K133" s="16">
        <f t="shared" ref="K133:K143" si="41">SUM(G133:J133)</f>
        <v>39432.800000000003</v>
      </c>
      <c r="L133" s="27">
        <v>15000</v>
      </c>
      <c r="M133" s="27"/>
      <c r="N133" s="1">
        <v>1</v>
      </c>
      <c r="O133" s="18">
        <f t="shared" ref="O133:O143" si="42">L133/K133</f>
        <v>0.3803939867318577</v>
      </c>
    </row>
    <row r="134" spans="1:15" ht="15" customHeight="1">
      <c r="B134" s="1">
        <f>+B133+1</f>
        <v>2</v>
      </c>
      <c r="C134" s="6"/>
      <c r="D134" s="6"/>
      <c r="F134" s="28" t="s">
        <v>11</v>
      </c>
      <c r="G134" s="16">
        <f t="shared" ref="G134:J134" si="43">+G148+G161+G174</f>
        <v>18315</v>
      </c>
      <c r="H134" s="16">
        <f t="shared" si="43"/>
        <v>5584.7999999999993</v>
      </c>
      <c r="I134" s="16">
        <f t="shared" si="43"/>
        <v>9720</v>
      </c>
      <c r="J134" s="16">
        <f t="shared" si="43"/>
        <v>5400</v>
      </c>
      <c r="K134" s="16">
        <f t="shared" si="41"/>
        <v>39019.800000000003</v>
      </c>
      <c r="L134" s="27">
        <v>15000</v>
      </c>
      <c r="M134" s="27"/>
      <c r="N134" s="1">
        <v>1</v>
      </c>
      <c r="O134" s="18">
        <f t="shared" si="42"/>
        <v>0.38442021742807497</v>
      </c>
    </row>
    <row r="135" spans="1:15" ht="15" customHeight="1">
      <c r="B135" s="1">
        <f t="shared" ref="B135:B143" si="44">+B134+1</f>
        <v>3</v>
      </c>
      <c r="C135" s="6"/>
      <c r="D135" s="6"/>
      <c r="F135" s="28" t="s">
        <v>41</v>
      </c>
      <c r="G135" s="16">
        <f t="shared" ref="G135:J135" si="45">+G149+G162+G175</f>
        <v>9200</v>
      </c>
      <c r="H135" s="16">
        <f t="shared" si="45"/>
        <v>5584.7999999999993</v>
      </c>
      <c r="I135" s="16">
        <f t="shared" si="45"/>
        <v>23670</v>
      </c>
      <c r="J135" s="16">
        <f t="shared" si="45"/>
        <v>1500</v>
      </c>
      <c r="K135" s="16">
        <f t="shared" si="41"/>
        <v>39954.800000000003</v>
      </c>
      <c r="L135" s="27">
        <v>15000</v>
      </c>
      <c r="M135" s="27"/>
      <c r="N135" s="1">
        <v>1</v>
      </c>
      <c r="O135" s="18">
        <f t="shared" si="42"/>
        <v>0.37542422937919845</v>
      </c>
    </row>
    <row r="136" spans="1:15" ht="15" customHeight="1">
      <c r="B136" s="1">
        <f t="shared" si="44"/>
        <v>4</v>
      </c>
      <c r="C136" s="6"/>
      <c r="D136" s="6"/>
      <c r="F136" s="28" t="s">
        <v>11</v>
      </c>
      <c r="G136" s="16">
        <f t="shared" ref="G136:J136" si="46">+G150+G163+G176</f>
        <v>19980</v>
      </c>
      <c r="H136" s="16">
        <f t="shared" si="46"/>
        <v>5584.7999999999993</v>
      </c>
      <c r="I136" s="16">
        <f t="shared" si="46"/>
        <v>9720</v>
      </c>
      <c r="J136" s="16">
        <f t="shared" si="46"/>
        <v>5400</v>
      </c>
      <c r="K136" s="16">
        <f t="shared" si="41"/>
        <v>40684.800000000003</v>
      </c>
      <c r="L136" s="27">
        <f>K136</f>
        <v>40684.800000000003</v>
      </c>
      <c r="M136" s="27"/>
      <c r="N136" s="1">
        <v>1</v>
      </c>
      <c r="O136" s="18">
        <f t="shared" si="42"/>
        <v>1</v>
      </c>
    </row>
    <row r="137" spans="1:15" ht="15" customHeight="1">
      <c r="B137" s="1">
        <f t="shared" si="44"/>
        <v>5</v>
      </c>
      <c r="C137" s="6"/>
      <c r="D137" s="6"/>
      <c r="F137" s="28" t="s">
        <v>16</v>
      </c>
      <c r="G137" s="16">
        <f t="shared" ref="G137:J137" si="47">+G151+G164+G177</f>
        <v>18981</v>
      </c>
      <c r="H137" s="16">
        <f t="shared" si="47"/>
        <v>5584.7999999999993</v>
      </c>
      <c r="I137" s="16">
        <f t="shared" si="47"/>
        <v>11370</v>
      </c>
      <c r="J137" s="16">
        <f t="shared" si="47"/>
        <v>2000</v>
      </c>
      <c r="K137" s="16">
        <f t="shared" si="41"/>
        <v>37935.800000000003</v>
      </c>
      <c r="L137" s="27">
        <v>15000</v>
      </c>
      <c r="M137" s="27"/>
      <c r="N137" s="1">
        <v>1</v>
      </c>
      <c r="O137" s="18">
        <f t="shared" si="42"/>
        <v>0.39540486822473753</v>
      </c>
    </row>
    <row r="138" spans="1:15" ht="15" customHeight="1">
      <c r="B138" s="1">
        <f t="shared" si="44"/>
        <v>6</v>
      </c>
      <c r="C138" s="6"/>
      <c r="D138" s="6"/>
      <c r="F138" s="28" t="s">
        <v>74</v>
      </c>
      <c r="G138" s="16">
        <f t="shared" ref="G138:J138" si="48">+G152+G165+G178</f>
        <v>4200</v>
      </c>
      <c r="H138" s="16">
        <f t="shared" si="48"/>
        <v>3723.2</v>
      </c>
      <c r="I138" s="16">
        <f t="shared" si="48"/>
        <v>7580</v>
      </c>
      <c r="J138" s="16">
        <f t="shared" si="48"/>
        <v>1000</v>
      </c>
      <c r="K138" s="16">
        <f t="shared" si="41"/>
        <v>16503.2</v>
      </c>
      <c r="L138" s="27">
        <v>15000</v>
      </c>
      <c r="M138" s="27"/>
      <c r="N138" s="1">
        <v>1</v>
      </c>
      <c r="O138" s="18">
        <f t="shared" si="42"/>
        <v>0.90891463473750544</v>
      </c>
    </row>
    <row r="139" spans="1:15" ht="15" customHeight="1">
      <c r="B139" s="1">
        <f t="shared" si="44"/>
        <v>7</v>
      </c>
      <c r="C139" s="6"/>
      <c r="D139" s="6"/>
      <c r="F139" s="28" t="s">
        <v>16</v>
      </c>
      <c r="G139" s="16">
        <f t="shared" ref="G139:J139" si="49">+G153+G166+G179</f>
        <v>19314</v>
      </c>
      <c r="H139" s="16">
        <f t="shared" si="49"/>
        <v>5584.7999999999993</v>
      </c>
      <c r="I139" s="16">
        <f t="shared" si="49"/>
        <v>11370</v>
      </c>
      <c r="J139" s="16">
        <f t="shared" si="49"/>
        <v>2250</v>
      </c>
      <c r="K139" s="16">
        <f t="shared" si="41"/>
        <v>38518.800000000003</v>
      </c>
      <c r="L139" s="27">
        <v>15000</v>
      </c>
      <c r="M139" s="27"/>
      <c r="N139" s="1">
        <v>1</v>
      </c>
      <c r="O139" s="18">
        <f t="shared" si="42"/>
        <v>0.3894202311598492</v>
      </c>
    </row>
    <row r="140" spans="1:15" ht="15" customHeight="1">
      <c r="B140" s="1">
        <f t="shared" si="44"/>
        <v>8</v>
      </c>
      <c r="C140" s="6"/>
      <c r="D140" s="6"/>
      <c r="F140" s="28" t="s">
        <v>14</v>
      </c>
      <c r="G140" s="16">
        <f t="shared" ref="G140:J140" si="50">+G154+G167+G180</f>
        <v>18981</v>
      </c>
      <c r="H140" s="16">
        <f t="shared" si="50"/>
        <v>5584.7999999999993</v>
      </c>
      <c r="I140" s="16">
        <f t="shared" si="50"/>
        <v>11370</v>
      </c>
      <c r="J140" s="16">
        <f t="shared" si="50"/>
        <v>2700</v>
      </c>
      <c r="K140" s="16">
        <f t="shared" si="41"/>
        <v>38635.800000000003</v>
      </c>
      <c r="L140" s="27">
        <f>K140</f>
        <v>38635.800000000003</v>
      </c>
      <c r="M140" s="27"/>
      <c r="N140" s="1">
        <v>1</v>
      </c>
      <c r="O140" s="18">
        <f t="shared" si="42"/>
        <v>1</v>
      </c>
    </row>
    <row r="141" spans="1:15" ht="15" customHeight="1">
      <c r="B141" s="1">
        <f t="shared" si="44"/>
        <v>9</v>
      </c>
      <c r="C141" s="6"/>
      <c r="D141" s="6"/>
      <c r="F141" s="28" t="s">
        <v>37</v>
      </c>
      <c r="G141" s="16">
        <f t="shared" ref="G141:J141" si="51">+G155+G168+G181</f>
        <v>11700</v>
      </c>
      <c r="H141" s="16">
        <f t="shared" si="51"/>
        <v>5584.7999999999993</v>
      </c>
      <c r="I141" s="16">
        <f t="shared" si="51"/>
        <v>9720</v>
      </c>
      <c r="J141" s="16">
        <f t="shared" si="51"/>
        <v>500</v>
      </c>
      <c r="K141" s="16">
        <f t="shared" si="41"/>
        <v>27504.799999999999</v>
      </c>
      <c r="L141" s="27">
        <v>15000</v>
      </c>
      <c r="M141" s="27"/>
      <c r="N141" s="1">
        <v>1</v>
      </c>
      <c r="O141" s="18">
        <f t="shared" si="42"/>
        <v>0.54535935545795644</v>
      </c>
    </row>
    <row r="142" spans="1:15" ht="15" customHeight="1">
      <c r="B142" s="1">
        <f t="shared" si="44"/>
        <v>10</v>
      </c>
      <c r="C142" s="6"/>
      <c r="D142" s="6"/>
      <c r="F142" s="28" t="s">
        <v>38</v>
      </c>
      <c r="G142" s="16">
        <f t="shared" ref="G142:J142" si="52">+G156+G169+G182</f>
        <v>18648</v>
      </c>
      <c r="H142" s="16">
        <f t="shared" si="52"/>
        <v>5584.7999999999993</v>
      </c>
      <c r="I142" s="16">
        <f t="shared" si="52"/>
        <v>9720</v>
      </c>
      <c r="J142" s="16">
        <f t="shared" si="52"/>
        <v>2700</v>
      </c>
      <c r="K142" s="16">
        <f t="shared" si="41"/>
        <v>36652.800000000003</v>
      </c>
      <c r="L142" s="27">
        <v>15000</v>
      </c>
      <c r="M142" s="27"/>
      <c r="N142" s="1">
        <v>1</v>
      </c>
      <c r="O142" s="18">
        <f t="shared" si="42"/>
        <v>0.40924567836563641</v>
      </c>
    </row>
    <row r="143" spans="1:15" ht="15" customHeight="1">
      <c r="B143" s="1">
        <f t="shared" si="44"/>
        <v>11</v>
      </c>
      <c r="C143" s="6"/>
      <c r="D143" s="6"/>
      <c r="F143" s="28" t="s">
        <v>13</v>
      </c>
      <c r="G143" s="16">
        <f t="shared" ref="G143:J143" si="53">+G157+G170+G183</f>
        <v>18300</v>
      </c>
      <c r="H143" s="16">
        <f t="shared" si="53"/>
        <v>5584.7999999999993</v>
      </c>
      <c r="I143" s="16">
        <f t="shared" si="53"/>
        <v>9720</v>
      </c>
      <c r="J143" s="16">
        <f t="shared" si="53"/>
        <v>1500</v>
      </c>
      <c r="K143" s="16">
        <f t="shared" si="41"/>
        <v>35104.800000000003</v>
      </c>
      <c r="L143" s="27">
        <v>15000</v>
      </c>
      <c r="M143" s="27"/>
      <c r="N143" s="1">
        <v>1</v>
      </c>
      <c r="O143" s="18">
        <f t="shared" si="42"/>
        <v>0.42729199425719555</v>
      </c>
    </row>
    <row r="144" spans="1:15" s="3" customFormat="1" ht="18" customHeight="1">
      <c r="A144" s="29" t="s">
        <v>26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3">
        <f>SUM(N133:N143)</f>
        <v>11</v>
      </c>
      <c r="O144" s="21">
        <f>SUM(O133:O143)</f>
        <v>6.2158751957420133</v>
      </c>
    </row>
    <row r="145" spans="3:12" ht="15" customHeight="1">
      <c r="L145" s="1"/>
    </row>
    <row r="146" spans="3:12" ht="15" hidden="1" customHeight="1">
      <c r="C146" s="3" t="s">
        <v>73</v>
      </c>
    </row>
    <row r="147" spans="3:12" ht="15" hidden="1" customHeight="1">
      <c r="C147" s="6" t="s">
        <v>83</v>
      </c>
      <c r="D147" s="6" t="s">
        <v>75</v>
      </c>
      <c r="F147" s="28" t="s">
        <v>40</v>
      </c>
      <c r="G147" s="16">
        <f>333*21.5</f>
        <v>7159.5</v>
      </c>
      <c r="H147" s="16">
        <v>1861.6</v>
      </c>
      <c r="I147" s="16">
        <v>3790</v>
      </c>
      <c r="J147" s="16">
        <v>500</v>
      </c>
    </row>
    <row r="148" spans="3:12" ht="15" hidden="1" customHeight="1">
      <c r="C148" s="6" t="s">
        <v>50</v>
      </c>
      <c r="D148" s="6" t="s">
        <v>76</v>
      </c>
      <c r="F148" s="28" t="s">
        <v>11</v>
      </c>
      <c r="G148" s="16">
        <f>333*19</f>
        <v>6327</v>
      </c>
      <c r="H148" s="16">
        <v>1861.6</v>
      </c>
      <c r="I148" s="16">
        <v>3240</v>
      </c>
      <c r="J148" s="16">
        <v>1800</v>
      </c>
    </row>
    <row r="149" spans="3:12" ht="15" hidden="1" customHeight="1">
      <c r="C149" s="6" t="s">
        <v>84</v>
      </c>
      <c r="D149" s="6" t="s">
        <v>42</v>
      </c>
      <c r="F149" s="28" t="s">
        <v>41</v>
      </c>
      <c r="G149" s="16">
        <f>400*12</f>
        <v>4800</v>
      </c>
      <c r="H149" s="16">
        <v>1861.6</v>
      </c>
      <c r="I149" s="16">
        <v>7890</v>
      </c>
      <c r="J149" s="16">
        <v>500</v>
      </c>
    </row>
    <row r="150" spans="3:12" ht="15" hidden="1" customHeight="1">
      <c r="C150" s="6" t="s">
        <v>85</v>
      </c>
      <c r="D150" s="6" t="s">
        <v>77</v>
      </c>
      <c r="F150" s="28" t="s">
        <v>11</v>
      </c>
      <c r="G150" s="16">
        <f>333*19</f>
        <v>6327</v>
      </c>
      <c r="H150" s="16">
        <v>1861.6</v>
      </c>
      <c r="I150" s="16">
        <v>3240</v>
      </c>
      <c r="J150" s="16">
        <v>1800</v>
      </c>
    </row>
    <row r="151" spans="3:12" ht="15" hidden="1" customHeight="1">
      <c r="C151" s="6" t="s">
        <v>86</v>
      </c>
      <c r="D151" s="6" t="s">
        <v>78</v>
      </c>
      <c r="F151" s="28" t="s">
        <v>16</v>
      </c>
      <c r="G151" s="16">
        <f>333*18.5</f>
        <v>6160.5</v>
      </c>
      <c r="H151" s="16">
        <v>1861.6</v>
      </c>
      <c r="I151" s="16">
        <v>3790</v>
      </c>
      <c r="J151" s="16">
        <v>500</v>
      </c>
    </row>
    <row r="152" spans="3:12" ht="15" hidden="1" customHeight="1">
      <c r="C152" s="6" t="s">
        <v>87</v>
      </c>
      <c r="D152" s="6" t="s">
        <v>79</v>
      </c>
      <c r="F152" s="28" t="s">
        <v>74</v>
      </c>
      <c r="G152" s="16">
        <f>350*12</f>
        <v>4200</v>
      </c>
      <c r="H152" s="16">
        <v>1861.6</v>
      </c>
      <c r="I152" s="16">
        <v>3790</v>
      </c>
      <c r="J152" s="16">
        <v>500</v>
      </c>
    </row>
    <row r="153" spans="3:12" ht="15" hidden="1" customHeight="1">
      <c r="C153" s="6" t="s">
        <v>52</v>
      </c>
      <c r="D153" s="6" t="s">
        <v>48</v>
      </c>
      <c r="F153" s="28" t="s">
        <v>16</v>
      </c>
      <c r="G153" s="16">
        <f>333*18</f>
        <v>5994</v>
      </c>
      <c r="H153" s="16">
        <v>1861.6</v>
      </c>
      <c r="I153" s="16">
        <v>3790</v>
      </c>
      <c r="J153" s="16">
        <v>750</v>
      </c>
    </row>
    <row r="154" spans="3:12" ht="15" hidden="1" customHeight="1">
      <c r="C154" s="6" t="s">
        <v>88</v>
      </c>
      <c r="D154" s="6" t="s">
        <v>80</v>
      </c>
      <c r="F154" s="28" t="s">
        <v>14</v>
      </c>
      <c r="G154" s="16">
        <f>333*17</f>
        <v>5661</v>
      </c>
      <c r="H154" s="16">
        <v>1861.6</v>
      </c>
      <c r="I154" s="16">
        <v>3790</v>
      </c>
      <c r="J154" s="16">
        <v>900</v>
      </c>
    </row>
    <row r="155" spans="3:12" ht="15" hidden="1" customHeight="1">
      <c r="C155" s="6" t="s">
        <v>89</v>
      </c>
      <c r="D155" s="6" t="s">
        <v>81</v>
      </c>
      <c r="F155" s="28" t="s">
        <v>37</v>
      </c>
      <c r="G155" s="16">
        <f>300*15</f>
        <v>4500</v>
      </c>
      <c r="H155" s="16">
        <v>1861.6</v>
      </c>
      <c r="I155" s="16">
        <v>3240</v>
      </c>
      <c r="J155" s="16">
        <v>500</v>
      </c>
    </row>
    <row r="156" spans="3:12" ht="15" hidden="1" customHeight="1">
      <c r="C156" s="6" t="s">
        <v>53</v>
      </c>
      <c r="D156" s="6" t="s">
        <v>82</v>
      </c>
      <c r="F156" s="28" t="s">
        <v>38</v>
      </c>
      <c r="G156" s="16">
        <f>333*19</f>
        <v>6327</v>
      </c>
      <c r="H156" s="16">
        <v>1861.6</v>
      </c>
      <c r="I156" s="16">
        <v>3240</v>
      </c>
      <c r="J156" s="16">
        <v>900</v>
      </c>
    </row>
    <row r="157" spans="3:12" ht="15" hidden="1" customHeight="1">
      <c r="C157" s="6" t="s">
        <v>54</v>
      </c>
      <c r="D157" s="6" t="s">
        <v>49</v>
      </c>
      <c r="F157" s="28" t="s">
        <v>13</v>
      </c>
      <c r="G157" s="16">
        <f>300*21</f>
        <v>6300</v>
      </c>
      <c r="H157" s="16">
        <v>1861.6</v>
      </c>
      <c r="I157" s="16">
        <v>3240</v>
      </c>
      <c r="J157" s="16">
        <v>500</v>
      </c>
    </row>
    <row r="158" spans="3:12" ht="15" hidden="1" customHeight="1"/>
    <row r="159" spans="3:12" ht="15" hidden="1" customHeight="1">
      <c r="C159" s="3" t="s">
        <v>72</v>
      </c>
    </row>
    <row r="160" spans="3:12" ht="15" hidden="1" customHeight="1">
      <c r="C160" s="6" t="s">
        <v>83</v>
      </c>
      <c r="D160" s="6" t="s">
        <v>75</v>
      </c>
      <c r="F160" s="28" t="s">
        <v>40</v>
      </c>
      <c r="G160" s="16">
        <f>333*21.5</f>
        <v>7159.5</v>
      </c>
      <c r="H160" s="16">
        <v>1861.6</v>
      </c>
      <c r="I160" s="16">
        <v>3790</v>
      </c>
      <c r="J160" s="16">
        <v>0</v>
      </c>
    </row>
    <row r="161" spans="3:10" ht="15" hidden="1" customHeight="1">
      <c r="C161" s="6" t="s">
        <v>50</v>
      </c>
      <c r="D161" s="6" t="s">
        <v>76</v>
      </c>
      <c r="F161" s="28" t="s">
        <v>11</v>
      </c>
      <c r="G161" s="16">
        <f>333*19</f>
        <v>6327</v>
      </c>
      <c r="H161" s="16">
        <v>1861.6</v>
      </c>
      <c r="I161" s="16">
        <v>3240</v>
      </c>
      <c r="J161" s="16">
        <v>1800</v>
      </c>
    </row>
    <row r="162" spans="3:10" ht="15" hidden="1" customHeight="1">
      <c r="C162" s="6" t="s">
        <v>84</v>
      </c>
      <c r="D162" s="6" t="s">
        <v>42</v>
      </c>
      <c r="F162" s="28" t="s">
        <v>41</v>
      </c>
      <c r="G162" s="16">
        <f>400*6</f>
        <v>2400</v>
      </c>
      <c r="H162" s="16">
        <v>1861.6</v>
      </c>
      <c r="I162" s="16">
        <v>7890</v>
      </c>
      <c r="J162" s="16">
        <v>500</v>
      </c>
    </row>
    <row r="163" spans="3:10" ht="15" hidden="1" customHeight="1">
      <c r="C163" s="6" t="s">
        <v>85</v>
      </c>
      <c r="D163" s="6" t="s">
        <v>77</v>
      </c>
      <c r="F163" s="28" t="s">
        <v>11</v>
      </c>
      <c r="G163" s="16">
        <f>333*19</f>
        <v>6327</v>
      </c>
      <c r="H163" s="16">
        <v>1861.6</v>
      </c>
      <c r="I163" s="16">
        <v>3240</v>
      </c>
      <c r="J163" s="16">
        <v>1800</v>
      </c>
    </row>
    <row r="164" spans="3:10" ht="15" hidden="1" customHeight="1">
      <c r="C164" s="6" t="s">
        <v>86</v>
      </c>
      <c r="D164" s="6" t="s">
        <v>78</v>
      </c>
      <c r="F164" s="28" t="s">
        <v>16</v>
      </c>
      <c r="G164" s="16">
        <f>333*18.5</f>
        <v>6160.5</v>
      </c>
      <c r="H164" s="16">
        <v>1861.6</v>
      </c>
      <c r="I164" s="16">
        <v>3790</v>
      </c>
      <c r="J164" s="16">
        <v>750</v>
      </c>
    </row>
    <row r="165" spans="3:10" ht="15" hidden="1" customHeight="1">
      <c r="C165" s="6" t="s">
        <v>87</v>
      </c>
      <c r="D165" s="6" t="s">
        <v>79</v>
      </c>
      <c r="F165" s="28" t="s">
        <v>74</v>
      </c>
      <c r="G165" s="16">
        <v>0</v>
      </c>
      <c r="H165" s="16">
        <v>0</v>
      </c>
      <c r="I165" s="16">
        <v>0</v>
      </c>
      <c r="J165" s="16">
        <v>0</v>
      </c>
    </row>
    <row r="166" spans="3:10" ht="15" hidden="1" customHeight="1">
      <c r="C166" s="6" t="s">
        <v>52</v>
      </c>
      <c r="D166" s="6" t="s">
        <v>48</v>
      </c>
      <c r="F166" s="28" t="s">
        <v>16</v>
      </c>
      <c r="G166" s="16">
        <f>333*20</f>
        <v>6660</v>
      </c>
      <c r="H166" s="16">
        <v>1861.6</v>
      </c>
      <c r="I166" s="16">
        <v>3790</v>
      </c>
      <c r="J166" s="16">
        <v>750</v>
      </c>
    </row>
    <row r="167" spans="3:10" ht="15" hidden="1" customHeight="1">
      <c r="C167" s="6" t="s">
        <v>88</v>
      </c>
      <c r="D167" s="6" t="s">
        <v>80</v>
      </c>
      <c r="F167" s="28" t="s">
        <v>14</v>
      </c>
      <c r="G167" s="16">
        <f>333*22</f>
        <v>7326</v>
      </c>
      <c r="H167" s="16">
        <v>1861.6</v>
      </c>
      <c r="I167" s="16">
        <v>3790</v>
      </c>
      <c r="J167" s="16">
        <v>900</v>
      </c>
    </row>
    <row r="168" spans="3:10" ht="15" hidden="1" customHeight="1">
      <c r="C168" s="6" t="s">
        <v>89</v>
      </c>
      <c r="D168" s="6" t="s">
        <v>81</v>
      </c>
      <c r="F168" s="28" t="s">
        <v>37</v>
      </c>
      <c r="G168" s="16">
        <f>300*15</f>
        <v>4500</v>
      </c>
      <c r="H168" s="16">
        <v>1861.6</v>
      </c>
      <c r="I168" s="16">
        <v>3240</v>
      </c>
      <c r="J168" s="16">
        <v>0</v>
      </c>
    </row>
    <row r="169" spans="3:10" ht="15" hidden="1" customHeight="1">
      <c r="C169" s="6" t="s">
        <v>53</v>
      </c>
      <c r="D169" s="6" t="s">
        <v>82</v>
      </c>
      <c r="F169" s="28" t="s">
        <v>38</v>
      </c>
      <c r="G169" s="16">
        <f>333*15</f>
        <v>4995</v>
      </c>
      <c r="H169" s="16">
        <v>1861.6</v>
      </c>
      <c r="I169" s="16">
        <v>3240</v>
      </c>
      <c r="J169" s="16">
        <v>900</v>
      </c>
    </row>
    <row r="170" spans="3:10" ht="15" hidden="1" customHeight="1">
      <c r="C170" s="6" t="s">
        <v>54</v>
      </c>
      <c r="D170" s="6" t="s">
        <v>49</v>
      </c>
      <c r="F170" s="28" t="s">
        <v>13</v>
      </c>
      <c r="G170" s="16">
        <f>300*21</f>
        <v>6300</v>
      </c>
      <c r="H170" s="16">
        <v>1861.6</v>
      </c>
      <c r="I170" s="16">
        <v>3240</v>
      </c>
      <c r="J170" s="16">
        <v>500</v>
      </c>
    </row>
    <row r="171" spans="3:10" ht="15" hidden="1" customHeight="1"/>
    <row r="172" spans="3:10" ht="15" hidden="1" customHeight="1">
      <c r="C172" s="3" t="s">
        <v>71</v>
      </c>
    </row>
    <row r="173" spans="3:10" ht="15" hidden="1" customHeight="1">
      <c r="C173" s="6" t="s">
        <v>83</v>
      </c>
      <c r="D173" s="6" t="s">
        <v>75</v>
      </c>
      <c r="F173" s="28" t="s">
        <v>40</v>
      </c>
      <c r="G173" s="16">
        <f>333*23</f>
        <v>7659</v>
      </c>
      <c r="H173" s="16">
        <v>1861.6</v>
      </c>
      <c r="I173" s="16">
        <v>3790</v>
      </c>
      <c r="J173" s="16">
        <v>0</v>
      </c>
    </row>
    <row r="174" spans="3:10" ht="15" hidden="1" customHeight="1">
      <c r="C174" s="6" t="s">
        <v>50</v>
      </c>
      <c r="D174" s="6" t="s">
        <v>76</v>
      </c>
      <c r="F174" s="28" t="s">
        <v>11</v>
      </c>
      <c r="G174" s="16">
        <f>333*17</f>
        <v>5661</v>
      </c>
      <c r="H174" s="16">
        <v>1861.6</v>
      </c>
      <c r="I174" s="16">
        <v>3240</v>
      </c>
      <c r="J174" s="16">
        <v>1800</v>
      </c>
    </row>
    <row r="175" spans="3:10" ht="15" hidden="1" customHeight="1">
      <c r="C175" s="6" t="s">
        <v>84</v>
      </c>
      <c r="D175" s="6" t="s">
        <v>42</v>
      </c>
      <c r="F175" s="28" t="s">
        <v>41</v>
      </c>
      <c r="G175" s="16">
        <f>400*5</f>
        <v>2000</v>
      </c>
      <c r="H175" s="16">
        <v>1861.6</v>
      </c>
      <c r="I175" s="16">
        <v>7890</v>
      </c>
      <c r="J175" s="16">
        <v>500</v>
      </c>
    </row>
    <row r="176" spans="3:10" ht="15" hidden="1" customHeight="1">
      <c r="C176" s="6" t="s">
        <v>85</v>
      </c>
      <c r="D176" s="6" t="s">
        <v>77</v>
      </c>
      <c r="F176" s="28" t="s">
        <v>11</v>
      </c>
      <c r="G176" s="16">
        <f>333*22</f>
        <v>7326</v>
      </c>
      <c r="H176" s="16">
        <v>1861.6</v>
      </c>
      <c r="I176" s="16">
        <v>3240</v>
      </c>
      <c r="J176" s="16">
        <v>1800</v>
      </c>
    </row>
    <row r="177" spans="1:15" ht="15" hidden="1" customHeight="1">
      <c r="C177" s="6" t="s">
        <v>86</v>
      </c>
      <c r="D177" s="6" t="s">
        <v>78</v>
      </c>
      <c r="F177" s="28" t="s">
        <v>16</v>
      </c>
      <c r="G177" s="16">
        <f>333*20</f>
        <v>6660</v>
      </c>
      <c r="H177" s="16">
        <v>1861.6</v>
      </c>
      <c r="I177" s="16">
        <v>3790</v>
      </c>
      <c r="J177" s="16">
        <v>750</v>
      </c>
    </row>
    <row r="178" spans="1:15" ht="15" hidden="1" customHeight="1">
      <c r="C178" s="6" t="s">
        <v>87</v>
      </c>
      <c r="D178" s="6" t="s">
        <v>79</v>
      </c>
      <c r="F178" s="28" t="s">
        <v>74</v>
      </c>
      <c r="G178" s="16">
        <v>0</v>
      </c>
      <c r="H178" s="16">
        <v>1861.6</v>
      </c>
      <c r="I178" s="16">
        <v>3790</v>
      </c>
      <c r="J178" s="16">
        <v>500</v>
      </c>
    </row>
    <row r="179" spans="1:15" ht="15" hidden="1" customHeight="1">
      <c r="C179" s="6" t="s">
        <v>52</v>
      </c>
      <c r="D179" s="6" t="s">
        <v>48</v>
      </c>
      <c r="F179" s="28" t="s">
        <v>16</v>
      </c>
      <c r="G179" s="16">
        <f>333*20</f>
        <v>6660</v>
      </c>
      <c r="H179" s="16">
        <v>1861.6</v>
      </c>
      <c r="I179" s="16">
        <v>3790</v>
      </c>
      <c r="J179" s="16">
        <v>750</v>
      </c>
    </row>
    <row r="180" spans="1:15" ht="15" hidden="1" customHeight="1">
      <c r="C180" s="6" t="s">
        <v>88</v>
      </c>
      <c r="D180" s="6" t="s">
        <v>80</v>
      </c>
      <c r="F180" s="28" t="s">
        <v>14</v>
      </c>
      <c r="G180" s="16">
        <f>333*18</f>
        <v>5994</v>
      </c>
      <c r="H180" s="16">
        <v>1861.6</v>
      </c>
      <c r="I180" s="16">
        <v>3790</v>
      </c>
      <c r="J180" s="16">
        <v>900</v>
      </c>
    </row>
    <row r="181" spans="1:15" ht="15" hidden="1" customHeight="1">
      <c r="C181" s="6" t="s">
        <v>89</v>
      </c>
      <c r="D181" s="6" t="s">
        <v>81</v>
      </c>
      <c r="F181" s="28" t="s">
        <v>37</v>
      </c>
      <c r="G181" s="16">
        <f>300*9</f>
        <v>2700</v>
      </c>
      <c r="H181" s="16">
        <v>1861.6</v>
      </c>
      <c r="I181" s="16">
        <v>3240</v>
      </c>
      <c r="J181" s="16">
        <v>0</v>
      </c>
    </row>
    <row r="182" spans="1:15" ht="15" hidden="1" customHeight="1">
      <c r="C182" s="6" t="s">
        <v>53</v>
      </c>
      <c r="D182" s="6" t="s">
        <v>82</v>
      </c>
      <c r="F182" s="28" t="s">
        <v>38</v>
      </c>
      <c r="G182" s="16">
        <f>333*22</f>
        <v>7326</v>
      </c>
      <c r="H182" s="16">
        <v>1861.6</v>
      </c>
      <c r="I182" s="16">
        <v>3240</v>
      </c>
      <c r="J182" s="16">
        <v>900</v>
      </c>
    </row>
    <row r="183" spans="1:15" ht="15" hidden="1" customHeight="1">
      <c r="C183" s="6" t="s">
        <v>54</v>
      </c>
      <c r="D183" s="6" t="s">
        <v>49</v>
      </c>
      <c r="F183" s="28" t="s">
        <v>13</v>
      </c>
      <c r="G183" s="16">
        <f>300*19</f>
        <v>5700</v>
      </c>
      <c r="H183" s="16">
        <v>1861.6</v>
      </c>
      <c r="I183" s="16">
        <v>3240</v>
      </c>
      <c r="J183" s="16">
        <v>500</v>
      </c>
    </row>
    <row r="184" spans="1:15" ht="15" customHeight="1">
      <c r="A184" s="3" t="s">
        <v>90</v>
      </c>
      <c r="B184" s="1">
        <v>1</v>
      </c>
      <c r="F184" s="1" t="s">
        <v>43</v>
      </c>
      <c r="G184" s="16">
        <f>+G191+G198+G205</f>
        <v>11400</v>
      </c>
      <c r="H184" s="16">
        <f t="shared" ref="H184:J184" si="54">+H191+H198+H205</f>
        <v>5584.7999999999993</v>
      </c>
      <c r="I184" s="16">
        <f t="shared" si="54"/>
        <v>9720</v>
      </c>
      <c r="J184" s="16">
        <f t="shared" si="54"/>
        <v>1500</v>
      </c>
      <c r="K184" s="16">
        <f t="shared" ref="K184:K188" si="55">SUM(G184:J184)</f>
        <v>28204.799999999999</v>
      </c>
      <c r="L184" s="16">
        <f>G184</f>
        <v>11400</v>
      </c>
      <c r="M184" s="1" t="s">
        <v>97</v>
      </c>
      <c r="N184" s="1">
        <v>1</v>
      </c>
      <c r="O184" s="18">
        <f t="shared" ref="O184:O188" si="56">L184/K184</f>
        <v>0.40418652144315864</v>
      </c>
    </row>
    <row r="185" spans="1:15" ht="15" customHeight="1">
      <c r="B185" s="1">
        <v>2</v>
      </c>
      <c r="F185" s="1" t="s">
        <v>15</v>
      </c>
      <c r="G185" s="16">
        <f t="shared" ref="G185:J185" si="57">+G192+G199+G206</f>
        <v>14400</v>
      </c>
      <c r="H185" s="16">
        <f t="shared" si="57"/>
        <v>5584.7999999999993</v>
      </c>
      <c r="I185" s="16">
        <f t="shared" si="57"/>
        <v>9720</v>
      </c>
      <c r="J185" s="16">
        <f t="shared" si="57"/>
        <v>3600</v>
      </c>
      <c r="K185" s="16">
        <f t="shared" si="55"/>
        <v>33304.800000000003</v>
      </c>
      <c r="L185" s="16">
        <f t="shared" ref="L185:L188" si="58">G185</f>
        <v>14400</v>
      </c>
      <c r="M185" s="1" t="s">
        <v>97</v>
      </c>
      <c r="N185" s="1">
        <v>1</v>
      </c>
      <c r="O185" s="18">
        <f t="shared" si="56"/>
        <v>0.43237010881314403</v>
      </c>
    </row>
    <row r="186" spans="1:15" ht="15" customHeight="1">
      <c r="B186" s="1">
        <v>3</v>
      </c>
      <c r="F186" s="1" t="s">
        <v>11</v>
      </c>
      <c r="G186" s="16">
        <f t="shared" ref="G186:J186" si="59">+G193+G200+G207</f>
        <v>19980</v>
      </c>
      <c r="H186" s="16">
        <f t="shared" si="59"/>
        <v>5584.7999999999993</v>
      </c>
      <c r="I186" s="16">
        <f t="shared" si="59"/>
        <v>9720</v>
      </c>
      <c r="J186" s="16">
        <f t="shared" si="59"/>
        <v>4500</v>
      </c>
      <c r="K186" s="16">
        <f t="shared" si="55"/>
        <v>39784.800000000003</v>
      </c>
      <c r="L186" s="16">
        <f t="shared" si="58"/>
        <v>19980</v>
      </c>
      <c r="M186" s="1" t="s">
        <v>97</v>
      </c>
      <c r="N186" s="1">
        <v>1</v>
      </c>
      <c r="O186" s="18">
        <f t="shared" si="56"/>
        <v>0.50220184593110928</v>
      </c>
    </row>
    <row r="187" spans="1:15" ht="15" customHeight="1">
      <c r="B187" s="1">
        <v>4</v>
      </c>
      <c r="F187" s="1" t="s">
        <v>96</v>
      </c>
      <c r="G187" s="16">
        <f t="shared" ref="G187:J187" si="60">+G194+G201+G208</f>
        <v>18981</v>
      </c>
      <c r="H187" s="16">
        <f t="shared" si="60"/>
        <v>5584.7999999999993</v>
      </c>
      <c r="I187" s="16">
        <f t="shared" si="60"/>
        <v>11370</v>
      </c>
      <c r="J187" s="16">
        <f t="shared" si="60"/>
        <v>2250</v>
      </c>
      <c r="K187" s="16">
        <f t="shared" si="55"/>
        <v>38185.800000000003</v>
      </c>
      <c r="L187" s="16">
        <f t="shared" si="58"/>
        <v>18981</v>
      </c>
      <c r="M187" s="1" t="s">
        <v>97</v>
      </c>
      <c r="N187" s="1">
        <v>1</v>
      </c>
      <c r="O187" s="18">
        <f t="shared" si="56"/>
        <v>0.49706959131404865</v>
      </c>
    </row>
    <row r="188" spans="1:15" ht="15" customHeight="1">
      <c r="B188" s="1">
        <v>5</v>
      </c>
      <c r="F188" s="1" t="s">
        <v>40</v>
      </c>
      <c r="G188" s="16">
        <f t="shared" ref="G188:J188" si="61">+G195+G202+G209</f>
        <v>21978</v>
      </c>
      <c r="H188" s="16">
        <f t="shared" si="61"/>
        <v>5584.7999999999993</v>
      </c>
      <c r="I188" s="16">
        <f t="shared" si="61"/>
        <v>11370</v>
      </c>
      <c r="J188" s="16">
        <f t="shared" si="61"/>
        <v>500</v>
      </c>
      <c r="K188" s="16">
        <f t="shared" si="55"/>
        <v>39432.800000000003</v>
      </c>
      <c r="L188" s="16">
        <f t="shared" si="58"/>
        <v>21978</v>
      </c>
      <c r="M188" s="1" t="s">
        <v>97</v>
      </c>
      <c r="N188" s="1">
        <v>1</v>
      </c>
      <c r="O188" s="18">
        <f t="shared" si="56"/>
        <v>0.5573532693595179</v>
      </c>
    </row>
    <row r="189" spans="1:15" s="3" customFormat="1" ht="18" customHeight="1">
      <c r="A189" s="29" t="s">
        <v>26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3">
        <f>SUM(N184:N188)</f>
        <v>5</v>
      </c>
      <c r="O189" s="21">
        <f>SUM(O184:O188)</f>
        <v>2.3931813368609784</v>
      </c>
    </row>
    <row r="190" spans="1:15" ht="15" hidden="1" customHeight="1">
      <c r="C190" s="3" t="s">
        <v>73</v>
      </c>
    </row>
    <row r="191" spans="1:15" ht="15" hidden="1" customHeight="1">
      <c r="C191" s="1" t="s">
        <v>44</v>
      </c>
      <c r="D191" s="1" t="s">
        <v>91</v>
      </c>
      <c r="F191" s="1" t="s">
        <v>43</v>
      </c>
      <c r="G191" s="16">
        <f>300*18</f>
        <v>5400</v>
      </c>
      <c r="H191" s="16">
        <v>1861.6</v>
      </c>
      <c r="I191" s="16">
        <v>3240</v>
      </c>
      <c r="J191" s="16">
        <v>500</v>
      </c>
    </row>
    <row r="192" spans="1:15" ht="15" hidden="1" customHeight="1">
      <c r="C192" s="1" t="s">
        <v>45</v>
      </c>
      <c r="D192" s="1" t="s">
        <v>92</v>
      </c>
      <c r="F192" s="1" t="s">
        <v>15</v>
      </c>
      <c r="G192" s="16">
        <f>300*17</f>
        <v>5100</v>
      </c>
      <c r="H192" s="16">
        <v>1861.6</v>
      </c>
      <c r="I192" s="16">
        <v>3240</v>
      </c>
      <c r="J192" s="16">
        <v>1800</v>
      </c>
    </row>
    <row r="193" spans="3:10" ht="15" hidden="1" customHeight="1">
      <c r="C193" s="1" t="s">
        <v>39</v>
      </c>
      <c r="D193" s="1" t="s">
        <v>93</v>
      </c>
      <c r="F193" s="1" t="s">
        <v>11</v>
      </c>
      <c r="G193" s="16">
        <f>333*19</f>
        <v>6327</v>
      </c>
      <c r="H193" s="16">
        <v>1861.6</v>
      </c>
      <c r="I193" s="16">
        <v>3240</v>
      </c>
      <c r="J193" s="16">
        <v>900</v>
      </c>
    </row>
    <row r="194" spans="3:10" ht="15" hidden="1" customHeight="1">
      <c r="C194" s="1" t="s">
        <v>31</v>
      </c>
      <c r="D194" s="1" t="s">
        <v>94</v>
      </c>
      <c r="F194" s="1" t="s">
        <v>16</v>
      </c>
      <c r="G194" s="16">
        <f>333*18.5</f>
        <v>6160.5</v>
      </c>
      <c r="H194" s="16">
        <v>1861.6</v>
      </c>
      <c r="I194" s="16">
        <v>3790</v>
      </c>
      <c r="J194" s="16">
        <v>750</v>
      </c>
    </row>
    <row r="195" spans="3:10" ht="15" hidden="1" customHeight="1">
      <c r="C195" s="1" t="s">
        <v>28</v>
      </c>
      <c r="D195" s="1" t="s">
        <v>95</v>
      </c>
      <c r="F195" s="1" t="s">
        <v>40</v>
      </c>
      <c r="G195" s="16">
        <f>333*21.5</f>
        <v>7159.5</v>
      </c>
      <c r="H195" s="16">
        <v>1861.6</v>
      </c>
      <c r="I195" s="16">
        <v>3790</v>
      </c>
      <c r="J195" s="16">
        <v>500</v>
      </c>
    </row>
    <row r="196" spans="3:10" ht="15" hidden="1" customHeight="1"/>
    <row r="197" spans="3:10" ht="15" hidden="1" customHeight="1">
      <c r="C197" s="3" t="s">
        <v>72</v>
      </c>
    </row>
    <row r="198" spans="3:10" ht="15" hidden="1" customHeight="1">
      <c r="C198" s="1" t="s">
        <v>44</v>
      </c>
      <c r="D198" s="1" t="s">
        <v>91</v>
      </c>
      <c r="F198" s="1" t="s">
        <v>43</v>
      </c>
      <c r="G198" s="16">
        <f>300*9</f>
        <v>2700</v>
      </c>
      <c r="H198" s="16">
        <v>1861.6</v>
      </c>
      <c r="I198" s="16">
        <v>3240</v>
      </c>
      <c r="J198" s="16">
        <v>500</v>
      </c>
    </row>
    <row r="199" spans="3:10" ht="15" hidden="1" customHeight="1">
      <c r="C199" s="1" t="s">
        <v>45</v>
      </c>
      <c r="D199" s="1" t="s">
        <v>92</v>
      </c>
      <c r="F199" s="1" t="s">
        <v>15</v>
      </c>
      <c r="G199" s="16">
        <f>300*17</f>
        <v>5100</v>
      </c>
      <c r="H199" s="16">
        <v>1861.6</v>
      </c>
      <c r="I199" s="16">
        <v>3240</v>
      </c>
      <c r="J199" s="16">
        <v>900</v>
      </c>
    </row>
    <row r="200" spans="3:10" ht="15" hidden="1" customHeight="1">
      <c r="C200" s="1" t="s">
        <v>39</v>
      </c>
      <c r="D200" s="1" t="s">
        <v>93</v>
      </c>
      <c r="F200" s="1" t="s">
        <v>11</v>
      </c>
      <c r="G200" s="16">
        <f>333*19</f>
        <v>6327</v>
      </c>
      <c r="H200" s="16">
        <v>1861.6</v>
      </c>
      <c r="I200" s="16">
        <v>3240</v>
      </c>
      <c r="J200" s="16">
        <v>1800</v>
      </c>
    </row>
    <row r="201" spans="3:10" ht="15" hidden="1" customHeight="1">
      <c r="C201" s="1" t="s">
        <v>31</v>
      </c>
      <c r="D201" s="1" t="s">
        <v>94</v>
      </c>
      <c r="F201" s="1" t="s">
        <v>16</v>
      </c>
      <c r="G201" s="16">
        <f>333*18.5</f>
        <v>6160.5</v>
      </c>
      <c r="H201" s="16">
        <v>1861.6</v>
      </c>
      <c r="I201" s="16">
        <v>3790</v>
      </c>
      <c r="J201" s="16">
        <v>750</v>
      </c>
    </row>
    <row r="202" spans="3:10" ht="15" hidden="1" customHeight="1">
      <c r="C202" s="1" t="s">
        <v>28</v>
      </c>
      <c r="D202" s="1" t="s">
        <v>95</v>
      </c>
      <c r="F202" s="1" t="s">
        <v>40</v>
      </c>
      <c r="G202" s="16">
        <f>333*21.5</f>
        <v>7159.5</v>
      </c>
      <c r="H202" s="16">
        <v>1861.6</v>
      </c>
      <c r="I202" s="16">
        <v>3790</v>
      </c>
      <c r="J202" s="16">
        <v>0</v>
      </c>
    </row>
    <row r="203" spans="3:10" ht="15" hidden="1" customHeight="1"/>
    <row r="204" spans="3:10" ht="15" hidden="1" customHeight="1">
      <c r="C204" s="3" t="s">
        <v>71</v>
      </c>
    </row>
    <row r="205" spans="3:10" ht="15" hidden="1" customHeight="1">
      <c r="C205" s="1" t="s">
        <v>44</v>
      </c>
      <c r="D205" s="1" t="s">
        <v>91</v>
      </c>
      <c r="F205" s="1" t="s">
        <v>43</v>
      </c>
      <c r="G205" s="16">
        <f>300*11</f>
        <v>3300</v>
      </c>
      <c r="H205" s="16">
        <v>1861.6</v>
      </c>
      <c r="I205" s="16">
        <v>3240</v>
      </c>
      <c r="J205" s="16">
        <v>500</v>
      </c>
    </row>
    <row r="206" spans="3:10" ht="15" hidden="1" customHeight="1">
      <c r="C206" s="1" t="s">
        <v>45</v>
      </c>
      <c r="D206" s="1" t="s">
        <v>92</v>
      </c>
      <c r="F206" s="1" t="s">
        <v>15</v>
      </c>
      <c r="G206" s="16">
        <f>300*14</f>
        <v>4200</v>
      </c>
      <c r="H206" s="16">
        <v>1861.6</v>
      </c>
      <c r="I206" s="16">
        <v>3240</v>
      </c>
      <c r="J206" s="16">
        <v>900</v>
      </c>
    </row>
    <row r="207" spans="3:10" ht="15" hidden="1" customHeight="1">
      <c r="C207" s="1" t="s">
        <v>39</v>
      </c>
      <c r="D207" s="1" t="s">
        <v>93</v>
      </c>
      <c r="F207" s="1" t="s">
        <v>11</v>
      </c>
      <c r="G207" s="16">
        <f>333*22</f>
        <v>7326</v>
      </c>
      <c r="H207" s="16">
        <v>1861.6</v>
      </c>
      <c r="I207" s="16">
        <v>3240</v>
      </c>
      <c r="J207" s="16">
        <v>1800</v>
      </c>
    </row>
    <row r="208" spans="3:10" ht="15" hidden="1" customHeight="1">
      <c r="C208" s="1" t="s">
        <v>31</v>
      </c>
      <c r="D208" s="1" t="s">
        <v>94</v>
      </c>
      <c r="F208" s="1" t="s">
        <v>16</v>
      </c>
      <c r="G208" s="16">
        <f>333*20</f>
        <v>6660</v>
      </c>
      <c r="H208" s="16">
        <v>1861.6</v>
      </c>
      <c r="I208" s="16">
        <v>3790</v>
      </c>
      <c r="J208" s="16">
        <v>750</v>
      </c>
    </row>
    <row r="209" spans="1:15" ht="15" hidden="1" customHeight="1">
      <c r="C209" s="1" t="s">
        <v>28</v>
      </c>
      <c r="D209" s="1" t="s">
        <v>95</v>
      </c>
      <c r="F209" s="1" t="s">
        <v>40</v>
      </c>
      <c r="G209" s="16">
        <f>333*23</f>
        <v>7659</v>
      </c>
      <c r="H209" s="16">
        <v>1861.6</v>
      </c>
      <c r="I209" s="16">
        <v>3790</v>
      </c>
      <c r="J209" s="16">
        <v>0</v>
      </c>
    </row>
    <row r="210" spans="1:15" ht="15" customHeight="1">
      <c r="A210" s="3" t="s">
        <v>107</v>
      </c>
      <c r="B210" s="1">
        <v>1</v>
      </c>
      <c r="C210" s="6"/>
      <c r="D210" s="6"/>
      <c r="F210" s="28" t="s">
        <v>12</v>
      </c>
      <c r="G210" s="16">
        <f>+G217+G224+G231</f>
        <v>14652</v>
      </c>
      <c r="H210" s="16">
        <f t="shared" ref="H210:J210" si="62">+H217+H224+H231</f>
        <v>5584.7999999999993</v>
      </c>
      <c r="I210" s="16">
        <f t="shared" si="62"/>
        <v>9720</v>
      </c>
      <c r="J210" s="16">
        <f t="shared" si="62"/>
        <v>1500</v>
      </c>
      <c r="K210" s="16">
        <f t="shared" ref="K210:K214" si="63">SUM(G210:J210)</f>
        <v>31456.799999999999</v>
      </c>
      <c r="L210" s="27">
        <v>30000</v>
      </c>
      <c r="N210" s="1">
        <v>1</v>
      </c>
      <c r="O210" s="18">
        <f t="shared" ref="O210:O214" si="64">L210/K210</f>
        <v>0.95368886854352641</v>
      </c>
    </row>
    <row r="211" spans="1:15" ht="15" customHeight="1">
      <c r="B211" s="1">
        <v>2</v>
      </c>
      <c r="C211" s="6"/>
      <c r="D211" s="6"/>
      <c r="F211" s="28" t="s">
        <v>40</v>
      </c>
      <c r="G211" s="16">
        <f t="shared" ref="G211:J211" si="65">+G218+G225+G232</f>
        <v>21978</v>
      </c>
      <c r="H211" s="16">
        <f t="shared" si="65"/>
        <v>5584.7999999999993</v>
      </c>
      <c r="I211" s="16">
        <f t="shared" si="65"/>
        <v>11370</v>
      </c>
      <c r="J211" s="16">
        <f t="shared" si="65"/>
        <v>500</v>
      </c>
      <c r="K211" s="16">
        <f t="shared" si="63"/>
        <v>39432.800000000003</v>
      </c>
      <c r="L211" s="27">
        <v>15000</v>
      </c>
      <c r="N211" s="1">
        <v>1</v>
      </c>
      <c r="O211" s="18">
        <f t="shared" si="64"/>
        <v>0.3803939867318577</v>
      </c>
    </row>
    <row r="212" spans="1:15" ht="15" customHeight="1">
      <c r="B212" s="1">
        <v>3</v>
      </c>
      <c r="C212" s="6"/>
      <c r="D212" s="6"/>
      <c r="F212" s="28" t="s">
        <v>16</v>
      </c>
      <c r="G212" s="16">
        <f t="shared" ref="G212:J212" si="66">+G219+G226+G233</f>
        <v>18981</v>
      </c>
      <c r="H212" s="16">
        <f t="shared" si="66"/>
        <v>5584.7999999999993</v>
      </c>
      <c r="I212" s="16">
        <f t="shared" si="66"/>
        <v>11370</v>
      </c>
      <c r="J212" s="16">
        <f t="shared" si="66"/>
        <v>2250</v>
      </c>
      <c r="K212" s="16">
        <f t="shared" si="63"/>
        <v>38185.800000000003</v>
      </c>
      <c r="L212" s="27">
        <v>15000</v>
      </c>
      <c r="N212" s="1">
        <v>1</v>
      </c>
      <c r="O212" s="18">
        <f t="shared" si="64"/>
        <v>0.3928161777414641</v>
      </c>
    </row>
    <row r="213" spans="1:15" ht="15" customHeight="1">
      <c r="B213" s="1">
        <v>4</v>
      </c>
      <c r="C213" s="6"/>
      <c r="D213" s="6"/>
      <c r="F213" s="28" t="s">
        <v>40</v>
      </c>
      <c r="G213" s="16">
        <f t="shared" ref="G213:J213" si="67">+G220+G227+G234</f>
        <v>21978</v>
      </c>
      <c r="H213" s="16">
        <f t="shared" si="67"/>
        <v>5584.7999999999993</v>
      </c>
      <c r="I213" s="16">
        <f t="shared" si="67"/>
        <v>11370</v>
      </c>
      <c r="J213" s="16">
        <f t="shared" si="67"/>
        <v>500</v>
      </c>
      <c r="K213" s="16">
        <f t="shared" si="63"/>
        <v>39432.800000000003</v>
      </c>
      <c r="L213" s="27">
        <v>15000</v>
      </c>
      <c r="N213" s="1">
        <v>1</v>
      </c>
      <c r="O213" s="18">
        <f t="shared" si="64"/>
        <v>0.3803939867318577</v>
      </c>
    </row>
    <row r="214" spans="1:15" ht="15" customHeight="1">
      <c r="B214" s="1">
        <v>5</v>
      </c>
      <c r="C214" s="6"/>
      <c r="D214" s="6"/>
      <c r="F214" s="28" t="s">
        <v>25</v>
      </c>
      <c r="G214" s="16">
        <f t="shared" ref="G214:J214" si="68">+G221+G228+G235</f>
        <v>18981</v>
      </c>
      <c r="H214" s="16">
        <f t="shared" si="68"/>
        <v>5584.7999999999993</v>
      </c>
      <c r="I214" s="16">
        <f t="shared" si="68"/>
        <v>11370</v>
      </c>
      <c r="J214" s="16">
        <f t="shared" si="68"/>
        <v>1500</v>
      </c>
      <c r="K214" s="16">
        <f t="shared" si="63"/>
        <v>37435.800000000003</v>
      </c>
      <c r="L214" s="27">
        <v>15000</v>
      </c>
      <c r="N214" s="1">
        <v>1</v>
      </c>
      <c r="O214" s="18">
        <f t="shared" si="64"/>
        <v>0.40068597438815251</v>
      </c>
    </row>
    <row r="215" spans="1:15" s="3" customFormat="1" ht="18" customHeight="1">
      <c r="A215" s="29" t="s">
        <v>26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3">
        <f>SUM(N210:N214)</f>
        <v>5</v>
      </c>
      <c r="O215" s="21">
        <f>SUM(O210:O214)</f>
        <v>2.5079789941368582</v>
      </c>
    </row>
    <row r="216" spans="1:15" ht="15" hidden="1" customHeight="1">
      <c r="C216" s="3" t="s">
        <v>73</v>
      </c>
    </row>
    <row r="217" spans="1:15" ht="15" hidden="1" customHeight="1">
      <c r="C217" s="6" t="s">
        <v>103</v>
      </c>
      <c r="D217" s="6" t="s">
        <v>98</v>
      </c>
      <c r="F217" s="28" t="s">
        <v>12</v>
      </c>
      <c r="G217" s="16">
        <f>333*21</f>
        <v>6993</v>
      </c>
      <c r="H217" s="16">
        <v>1861.6</v>
      </c>
      <c r="I217" s="16">
        <v>3240</v>
      </c>
      <c r="J217" s="16">
        <v>500</v>
      </c>
    </row>
    <row r="218" spans="1:15" ht="15" hidden="1" customHeight="1">
      <c r="C218" s="6" t="s">
        <v>104</v>
      </c>
      <c r="D218" s="6" t="s">
        <v>99</v>
      </c>
      <c r="F218" s="28" t="s">
        <v>40</v>
      </c>
      <c r="G218" s="16">
        <f>333*21.5</f>
        <v>7159.5</v>
      </c>
      <c r="H218" s="16">
        <v>1861.6</v>
      </c>
      <c r="I218" s="16">
        <v>3790</v>
      </c>
      <c r="J218" s="16">
        <v>500</v>
      </c>
    </row>
    <row r="219" spans="1:15" ht="15" hidden="1" customHeight="1">
      <c r="C219" s="6" t="s">
        <v>51</v>
      </c>
      <c r="D219" s="6" t="s">
        <v>100</v>
      </c>
      <c r="F219" s="28" t="s">
        <v>16</v>
      </c>
      <c r="G219" s="16">
        <f>333*18.5</f>
        <v>6160.5</v>
      </c>
      <c r="H219" s="16">
        <v>1861.6</v>
      </c>
      <c r="I219" s="16">
        <v>3790</v>
      </c>
      <c r="J219" s="16">
        <v>750</v>
      </c>
    </row>
    <row r="220" spans="1:15" ht="15" hidden="1" customHeight="1">
      <c r="C220" s="6" t="s">
        <v>105</v>
      </c>
      <c r="D220" s="6" t="s">
        <v>101</v>
      </c>
      <c r="F220" s="28" t="s">
        <v>40</v>
      </c>
      <c r="G220" s="16">
        <f>333*21.5</f>
        <v>7159.5</v>
      </c>
      <c r="H220" s="16">
        <v>1861.6</v>
      </c>
      <c r="I220" s="16">
        <v>3790</v>
      </c>
      <c r="J220" s="16">
        <v>500</v>
      </c>
    </row>
    <row r="221" spans="1:15" ht="15" hidden="1" customHeight="1">
      <c r="C221" s="6" t="s">
        <v>106</v>
      </c>
      <c r="D221" s="6" t="s">
        <v>102</v>
      </c>
      <c r="F221" s="28" t="s">
        <v>25</v>
      </c>
      <c r="G221" s="16">
        <f>333*18.5</f>
        <v>6160.5</v>
      </c>
      <c r="H221" s="16">
        <v>1861.6</v>
      </c>
      <c r="I221" s="16">
        <v>3790</v>
      </c>
      <c r="J221" s="16">
        <v>500</v>
      </c>
    </row>
    <row r="222" spans="1:15" ht="15" hidden="1" customHeight="1"/>
    <row r="223" spans="1:15" ht="15" hidden="1" customHeight="1">
      <c r="C223" s="3" t="s">
        <v>72</v>
      </c>
    </row>
    <row r="224" spans="1:15" ht="15" hidden="1" customHeight="1">
      <c r="C224" s="6" t="s">
        <v>103</v>
      </c>
      <c r="D224" s="6" t="s">
        <v>98</v>
      </c>
      <c r="F224" s="28" t="s">
        <v>12</v>
      </c>
      <c r="G224" s="16">
        <f>333*18</f>
        <v>5994</v>
      </c>
      <c r="H224" s="16">
        <v>1861.6</v>
      </c>
      <c r="I224" s="16">
        <v>3240</v>
      </c>
      <c r="J224" s="16">
        <v>500</v>
      </c>
    </row>
    <row r="225" spans="3:10" ht="15" hidden="1" customHeight="1">
      <c r="C225" s="6" t="s">
        <v>104</v>
      </c>
      <c r="D225" s="6" t="s">
        <v>99</v>
      </c>
      <c r="F225" s="28" t="s">
        <v>40</v>
      </c>
      <c r="G225" s="16">
        <f>333*21.5</f>
        <v>7159.5</v>
      </c>
      <c r="H225" s="16">
        <v>1861.6</v>
      </c>
      <c r="I225" s="16">
        <v>3790</v>
      </c>
      <c r="J225" s="16">
        <v>0</v>
      </c>
    </row>
    <row r="226" spans="3:10" ht="15" hidden="1" customHeight="1">
      <c r="C226" s="6" t="s">
        <v>51</v>
      </c>
      <c r="D226" s="6" t="s">
        <v>100</v>
      </c>
      <c r="F226" s="28" t="s">
        <v>16</v>
      </c>
      <c r="G226" s="16">
        <f>333*18.5</f>
        <v>6160.5</v>
      </c>
      <c r="H226" s="16">
        <v>1861.6</v>
      </c>
      <c r="I226" s="16">
        <v>3790</v>
      </c>
      <c r="J226" s="16">
        <v>750</v>
      </c>
    </row>
    <row r="227" spans="3:10" ht="15" hidden="1" customHeight="1">
      <c r="C227" s="6" t="s">
        <v>105</v>
      </c>
      <c r="D227" s="6" t="s">
        <v>101</v>
      </c>
      <c r="F227" s="28" t="s">
        <v>40</v>
      </c>
      <c r="G227" s="16">
        <f>333*21.5</f>
        <v>7159.5</v>
      </c>
      <c r="H227" s="16">
        <v>1861.6</v>
      </c>
      <c r="I227" s="16">
        <v>3790</v>
      </c>
      <c r="J227" s="16">
        <v>0</v>
      </c>
    </row>
    <row r="228" spans="3:10" ht="15" hidden="1" customHeight="1">
      <c r="C228" s="6" t="s">
        <v>106</v>
      </c>
      <c r="D228" s="6" t="s">
        <v>102</v>
      </c>
      <c r="F228" s="28" t="s">
        <v>25</v>
      </c>
      <c r="G228" s="16">
        <f>333*18.5</f>
        <v>6160.5</v>
      </c>
      <c r="H228" s="16">
        <v>1861.6</v>
      </c>
      <c r="I228" s="16">
        <v>3790</v>
      </c>
      <c r="J228" s="16">
        <v>500</v>
      </c>
    </row>
    <row r="229" spans="3:10" ht="15" hidden="1" customHeight="1"/>
    <row r="230" spans="3:10" ht="15" hidden="1" customHeight="1">
      <c r="C230" s="3" t="s">
        <v>71</v>
      </c>
    </row>
    <row r="231" spans="3:10" ht="15" hidden="1" customHeight="1">
      <c r="C231" s="6" t="s">
        <v>103</v>
      </c>
      <c r="D231" s="6" t="s">
        <v>98</v>
      </c>
      <c r="F231" s="28" t="s">
        <v>12</v>
      </c>
      <c r="G231" s="16">
        <f>333*5</f>
        <v>1665</v>
      </c>
      <c r="H231" s="16">
        <v>1861.6</v>
      </c>
      <c r="I231" s="16">
        <v>3240</v>
      </c>
      <c r="J231" s="16">
        <v>500</v>
      </c>
    </row>
    <row r="232" spans="3:10" ht="15" hidden="1" customHeight="1">
      <c r="C232" s="6" t="s">
        <v>104</v>
      </c>
      <c r="D232" s="6" t="s">
        <v>99</v>
      </c>
      <c r="F232" s="28" t="s">
        <v>40</v>
      </c>
      <c r="G232" s="16">
        <f>333*23</f>
        <v>7659</v>
      </c>
      <c r="H232" s="16">
        <v>1861.6</v>
      </c>
      <c r="I232" s="16">
        <v>3790</v>
      </c>
      <c r="J232" s="16">
        <v>0</v>
      </c>
    </row>
    <row r="233" spans="3:10" ht="15" hidden="1" customHeight="1">
      <c r="C233" s="6" t="s">
        <v>51</v>
      </c>
      <c r="D233" s="6" t="s">
        <v>100</v>
      </c>
      <c r="F233" s="28" t="s">
        <v>16</v>
      </c>
      <c r="G233" s="16">
        <f>333*20</f>
        <v>6660</v>
      </c>
      <c r="H233" s="16">
        <v>1861.6</v>
      </c>
      <c r="I233" s="16">
        <v>3790</v>
      </c>
      <c r="J233" s="16">
        <v>750</v>
      </c>
    </row>
    <row r="234" spans="3:10" ht="15" hidden="1" customHeight="1">
      <c r="C234" s="6" t="s">
        <v>105</v>
      </c>
      <c r="D234" s="6" t="s">
        <v>101</v>
      </c>
      <c r="F234" s="28" t="s">
        <v>40</v>
      </c>
      <c r="G234" s="16">
        <f>333*23</f>
        <v>7659</v>
      </c>
      <c r="H234" s="16">
        <v>1861.6</v>
      </c>
      <c r="I234" s="16">
        <v>3790</v>
      </c>
      <c r="J234" s="16">
        <v>0</v>
      </c>
    </row>
    <row r="235" spans="3:10" ht="15" hidden="1" customHeight="1">
      <c r="C235" s="6" t="s">
        <v>106</v>
      </c>
      <c r="D235" s="6" t="s">
        <v>102</v>
      </c>
      <c r="F235" s="28" t="s">
        <v>25</v>
      </c>
      <c r="G235" s="16">
        <f>333*20</f>
        <v>6660</v>
      </c>
      <c r="H235" s="16">
        <v>1861.6</v>
      </c>
      <c r="I235" s="16">
        <v>3790</v>
      </c>
      <c r="J235" s="16">
        <v>500</v>
      </c>
    </row>
  </sheetData>
  <mergeCells count="18">
    <mergeCell ref="A2:O2"/>
    <mergeCell ref="A3:O3"/>
    <mergeCell ref="B4:E4"/>
    <mergeCell ref="A18:M18"/>
    <mergeCell ref="A23:M23"/>
    <mergeCell ref="A25:O25"/>
    <mergeCell ref="A41:M41"/>
    <mergeCell ref="A47:M47"/>
    <mergeCell ref="A73:M73"/>
    <mergeCell ref="A74:O74"/>
    <mergeCell ref="A144:M144"/>
    <mergeCell ref="A189:M189"/>
    <mergeCell ref="A215:M215"/>
    <mergeCell ref="A86:M86"/>
    <mergeCell ref="A98:M98"/>
    <mergeCell ref="A106:M106"/>
    <mergeCell ref="A107:O107"/>
    <mergeCell ref="A112:M1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INTERNALLY FUNDED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</dc:creator>
  <cp:lastModifiedBy>Alistair Ybañez</cp:lastModifiedBy>
  <cp:lastPrinted>2025-10-16T07:35:12Z</cp:lastPrinted>
  <dcterms:created xsi:type="dcterms:W3CDTF">2023-10-13T01:10:00Z</dcterms:created>
  <dcterms:modified xsi:type="dcterms:W3CDTF">2026-06-17T13:32:59Z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894341A7874B448783905F2F74A5ACAC_12</vt:lpwstr>
  </property>
  <property fmtid="{D5CDD505-2E9C-101B-9397-08002B2CF9AE}" pid="3" name="KSOProductBuildVer">
    <vt:lpwstr>1033-12.2.0.17119</vt:lpwstr>
  </property>
</Properties>
</file>