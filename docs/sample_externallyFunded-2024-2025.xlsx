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wenzy\Downloads\"/>
    </mc:Choice>
  </mc:AlternateContent>
  <xr:revisionPtr revIDLastSave="0" documentId="13_ncr:1_{669EAA7A-DEEE-464D-BB4A-2D77564D411A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EXTERNALLY FUND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39" i="1" l="1"/>
  <c r="M639" i="1" s="1"/>
  <c r="K640" i="1"/>
  <c r="M640" i="1" s="1"/>
  <c r="K641" i="1"/>
  <c r="M641" i="1"/>
  <c r="K642" i="1"/>
  <c r="M642" i="1"/>
  <c r="K643" i="1"/>
  <c r="M643" i="1"/>
  <c r="K644" i="1"/>
  <c r="M644" i="1"/>
  <c r="K645" i="1"/>
  <c r="M645" i="1"/>
  <c r="K646" i="1"/>
  <c r="M646" i="1"/>
  <c r="K647" i="1"/>
  <c r="M647" i="1"/>
  <c r="K648" i="1"/>
  <c r="M648" i="1"/>
  <c r="K649" i="1"/>
  <c r="M649" i="1" s="1"/>
  <c r="K650" i="1"/>
  <c r="M650" i="1" s="1"/>
  <c r="K651" i="1"/>
  <c r="M651" i="1"/>
  <c r="K652" i="1"/>
  <c r="M652" i="1"/>
  <c r="K653" i="1"/>
  <c r="M653" i="1"/>
  <c r="K654" i="1"/>
  <c r="M654" i="1"/>
  <c r="K655" i="1"/>
  <c r="M655" i="1"/>
  <c r="K656" i="1"/>
  <c r="M656" i="1"/>
  <c r="K657" i="1"/>
  <c r="M657" i="1"/>
  <c r="K658" i="1"/>
  <c r="M658" i="1"/>
  <c r="K659" i="1"/>
  <c r="M659" i="1" s="1"/>
  <c r="K660" i="1"/>
  <c r="M660" i="1" s="1"/>
  <c r="K661" i="1"/>
  <c r="M661" i="1"/>
  <c r="K662" i="1"/>
  <c r="M662" i="1"/>
  <c r="K663" i="1"/>
  <c r="M663" i="1" s="1"/>
  <c r="K664" i="1"/>
  <c r="M664" i="1"/>
  <c r="K665" i="1"/>
  <c r="M665" i="1"/>
  <c r="K666" i="1"/>
  <c r="M666" i="1"/>
  <c r="K667" i="1"/>
  <c r="M667" i="1"/>
  <c r="K668" i="1"/>
  <c r="M668" i="1"/>
  <c r="K669" i="1"/>
  <c r="M669" i="1" s="1"/>
  <c r="K670" i="1"/>
  <c r="M670" i="1" s="1"/>
  <c r="K671" i="1"/>
  <c r="M671" i="1"/>
  <c r="K672" i="1"/>
  <c r="M672" i="1"/>
  <c r="K673" i="1"/>
  <c r="M673" i="1"/>
  <c r="K674" i="1"/>
  <c r="M674" i="1"/>
  <c r="K675" i="1"/>
  <c r="M675" i="1"/>
  <c r="K676" i="1"/>
  <c r="M676" i="1"/>
  <c r="K677" i="1"/>
  <c r="M677" i="1"/>
  <c r="K678" i="1"/>
  <c r="M678" i="1"/>
  <c r="K679" i="1"/>
  <c r="M679" i="1" s="1"/>
  <c r="K680" i="1"/>
  <c r="M680" i="1" s="1"/>
  <c r="K681" i="1"/>
  <c r="M681" i="1"/>
  <c r="K682" i="1"/>
  <c r="M682" i="1"/>
  <c r="K683" i="1"/>
  <c r="M683" i="1"/>
  <c r="K684" i="1"/>
  <c r="M684" i="1"/>
  <c r="K685" i="1"/>
  <c r="M685" i="1"/>
  <c r="K686" i="1"/>
  <c r="M686" i="1"/>
  <c r="K687" i="1"/>
  <c r="M687" i="1"/>
  <c r="K688" i="1"/>
  <c r="M688" i="1"/>
  <c r="K689" i="1"/>
  <c r="M689" i="1" s="1"/>
  <c r="K690" i="1"/>
  <c r="M690" i="1" s="1"/>
  <c r="K691" i="1"/>
  <c r="M691" i="1"/>
  <c r="K692" i="1"/>
  <c r="M692" i="1"/>
  <c r="K693" i="1"/>
  <c r="M693" i="1"/>
  <c r="K694" i="1"/>
  <c r="M694" i="1"/>
  <c r="K695" i="1"/>
  <c r="M695" i="1"/>
  <c r="K696" i="1"/>
  <c r="M696" i="1"/>
  <c r="K697" i="1"/>
  <c r="M697" i="1"/>
  <c r="K698" i="1"/>
  <c r="M698" i="1"/>
  <c r="K699" i="1"/>
  <c r="M699" i="1" s="1"/>
  <c r="K700" i="1"/>
  <c r="M700" i="1" s="1"/>
  <c r="K701" i="1"/>
  <c r="M701" i="1"/>
  <c r="K702" i="1"/>
  <c r="M702" i="1"/>
  <c r="K703" i="1"/>
  <c r="M703" i="1"/>
  <c r="K704" i="1"/>
  <c r="M704" i="1"/>
  <c r="K705" i="1"/>
  <c r="M705" i="1"/>
  <c r="K706" i="1"/>
  <c r="M706" i="1"/>
  <c r="K707" i="1"/>
  <c r="M707" i="1"/>
  <c r="K708" i="1"/>
  <c r="M708" i="1"/>
  <c r="K709" i="1"/>
  <c r="M709" i="1" s="1"/>
  <c r="K710" i="1"/>
  <c r="M710" i="1" s="1"/>
  <c r="K711" i="1"/>
  <c r="M711" i="1"/>
  <c r="K712" i="1"/>
  <c r="M712" i="1"/>
  <c r="K713" i="1"/>
  <c r="M713" i="1"/>
  <c r="K714" i="1"/>
  <c r="M714" i="1"/>
  <c r="K715" i="1"/>
  <c r="M715" i="1"/>
  <c r="K716" i="1"/>
  <c r="M716" i="1"/>
  <c r="K717" i="1"/>
  <c r="M717" i="1"/>
  <c r="K718" i="1"/>
  <c r="M718" i="1"/>
  <c r="K719" i="1"/>
  <c r="M719" i="1" s="1"/>
  <c r="K720" i="1"/>
  <c r="M720" i="1" s="1"/>
  <c r="K721" i="1"/>
  <c r="M721" i="1"/>
  <c r="K722" i="1"/>
  <c r="M722" i="1"/>
  <c r="K723" i="1"/>
  <c r="M723" i="1"/>
  <c r="K724" i="1"/>
  <c r="M724" i="1"/>
  <c r="K725" i="1"/>
  <c r="M725" i="1"/>
  <c r="K726" i="1"/>
  <c r="M726" i="1"/>
  <c r="K727" i="1"/>
  <c r="M727" i="1"/>
  <c r="K728" i="1"/>
  <c r="M728" i="1"/>
  <c r="K729" i="1"/>
  <c r="M729" i="1" s="1"/>
  <c r="K730" i="1"/>
  <c r="M730" i="1" s="1"/>
  <c r="K731" i="1"/>
  <c r="M731" i="1"/>
  <c r="K732" i="1"/>
  <c r="M732" i="1"/>
  <c r="K733" i="1"/>
  <c r="M733" i="1"/>
  <c r="K734" i="1"/>
  <c r="M734" i="1"/>
  <c r="K735" i="1"/>
  <c r="M735" i="1"/>
  <c r="K736" i="1"/>
  <c r="M736" i="1"/>
  <c r="K737" i="1"/>
  <c r="M737" i="1"/>
  <c r="K738" i="1"/>
  <c r="M738" i="1"/>
  <c r="K739" i="1"/>
  <c r="M739" i="1" s="1"/>
  <c r="K740" i="1"/>
  <c r="M740" i="1" s="1"/>
  <c r="K741" i="1"/>
  <c r="M741" i="1"/>
  <c r="K742" i="1"/>
  <c r="M742" i="1"/>
  <c r="K743" i="1"/>
  <c r="M743" i="1"/>
  <c r="K744" i="1"/>
  <c r="M744" i="1"/>
  <c r="K745" i="1"/>
  <c r="M745" i="1"/>
  <c r="K746" i="1"/>
  <c r="M746" i="1"/>
  <c r="K747" i="1"/>
  <c r="M747" i="1"/>
  <c r="K748" i="1"/>
  <c r="M748" i="1"/>
  <c r="K749" i="1"/>
  <c r="M749" i="1" s="1"/>
  <c r="K750" i="1"/>
  <c r="M750" i="1" s="1"/>
  <c r="K751" i="1"/>
  <c r="M751" i="1"/>
  <c r="K752" i="1"/>
  <c r="M752" i="1"/>
  <c r="K753" i="1"/>
  <c r="M753" i="1"/>
  <c r="K754" i="1"/>
  <c r="M754" i="1"/>
  <c r="K755" i="1"/>
  <c r="M755" i="1"/>
  <c r="K756" i="1"/>
  <c r="M756" i="1"/>
  <c r="K757" i="1"/>
  <c r="M757" i="1"/>
  <c r="K758" i="1"/>
  <c r="M758" i="1"/>
  <c r="K759" i="1"/>
  <c r="M759" i="1" s="1"/>
  <c r="K760" i="1"/>
  <c r="M760" i="1" s="1"/>
  <c r="K761" i="1"/>
  <c r="M761" i="1"/>
  <c r="K762" i="1"/>
  <c r="M762" i="1"/>
  <c r="K763" i="1"/>
  <c r="M763" i="1"/>
  <c r="K764" i="1"/>
  <c r="M764" i="1"/>
  <c r="K765" i="1"/>
  <c r="M765" i="1"/>
  <c r="K766" i="1"/>
  <c r="M766" i="1"/>
  <c r="K767" i="1"/>
  <c r="M767" i="1"/>
  <c r="K768" i="1"/>
  <c r="M768" i="1"/>
  <c r="K769" i="1"/>
  <c r="M769" i="1" s="1"/>
  <c r="K770" i="1"/>
  <c r="M770" i="1" s="1"/>
  <c r="K771" i="1"/>
  <c r="M771" i="1"/>
  <c r="K772" i="1"/>
  <c r="M772" i="1"/>
  <c r="K773" i="1"/>
  <c r="M773" i="1"/>
  <c r="K774" i="1"/>
  <c r="M774" i="1"/>
  <c r="K775" i="1"/>
  <c r="M775" i="1"/>
  <c r="K776" i="1"/>
  <c r="M776" i="1"/>
  <c r="K777" i="1"/>
  <c r="M777" i="1"/>
  <c r="K778" i="1"/>
  <c r="M778" i="1"/>
  <c r="K779" i="1"/>
  <c r="M779" i="1" s="1"/>
  <c r="K780" i="1"/>
  <c r="M780" i="1" s="1"/>
  <c r="K781" i="1"/>
  <c r="M781" i="1"/>
  <c r="K782" i="1"/>
  <c r="M782" i="1"/>
  <c r="K783" i="1"/>
  <c r="M783" i="1"/>
  <c r="K784" i="1"/>
  <c r="M784" i="1"/>
  <c r="K785" i="1"/>
  <c r="M785" i="1"/>
  <c r="K786" i="1"/>
  <c r="M786" i="1"/>
  <c r="K787" i="1"/>
  <c r="M787" i="1"/>
  <c r="K788" i="1"/>
  <c r="M788" i="1"/>
  <c r="K789" i="1"/>
  <c r="M789" i="1" s="1"/>
  <c r="K790" i="1"/>
  <c r="M790" i="1" s="1"/>
  <c r="K791" i="1"/>
  <c r="M791" i="1"/>
  <c r="K792" i="1"/>
  <c r="M792" i="1"/>
  <c r="K793" i="1"/>
  <c r="M793" i="1"/>
  <c r="K794" i="1"/>
  <c r="M794" i="1"/>
  <c r="K795" i="1"/>
  <c r="M795" i="1"/>
  <c r="K796" i="1"/>
  <c r="M796" i="1"/>
  <c r="K797" i="1"/>
  <c r="M797" i="1"/>
  <c r="K798" i="1"/>
  <c r="M798" i="1"/>
  <c r="K799" i="1"/>
  <c r="M799" i="1" s="1"/>
  <c r="K800" i="1"/>
  <c r="M800" i="1" s="1"/>
  <c r="K801" i="1"/>
  <c r="M801" i="1"/>
  <c r="K802" i="1"/>
  <c r="M802" i="1"/>
  <c r="K803" i="1"/>
  <c r="M803" i="1"/>
  <c r="K804" i="1"/>
  <c r="M804" i="1"/>
  <c r="K805" i="1"/>
  <c r="M805" i="1"/>
  <c r="K806" i="1"/>
  <c r="M806" i="1"/>
  <c r="K807" i="1"/>
  <c r="M807" i="1"/>
  <c r="K808" i="1"/>
  <c r="M808" i="1"/>
  <c r="K809" i="1"/>
  <c r="M809" i="1" s="1"/>
  <c r="K810" i="1"/>
  <c r="M810" i="1" s="1"/>
  <c r="K811" i="1"/>
  <c r="M811" i="1"/>
  <c r="K812" i="1"/>
  <c r="M812" i="1"/>
  <c r="K813" i="1"/>
  <c r="M813" i="1"/>
  <c r="K814" i="1"/>
  <c r="M814" i="1"/>
  <c r="K815" i="1"/>
  <c r="M815" i="1"/>
  <c r="K816" i="1"/>
  <c r="M816" i="1"/>
  <c r="K817" i="1"/>
  <c r="M817" i="1"/>
  <c r="K818" i="1"/>
  <c r="M818" i="1"/>
  <c r="K819" i="1"/>
  <c r="M819" i="1" s="1"/>
  <c r="K820" i="1"/>
  <c r="M820" i="1" s="1"/>
  <c r="K821" i="1"/>
  <c r="M821" i="1"/>
  <c r="K822" i="1"/>
  <c r="M822" i="1"/>
  <c r="K823" i="1"/>
  <c r="M823" i="1"/>
  <c r="K824" i="1"/>
  <c r="M824" i="1"/>
  <c r="K825" i="1"/>
  <c r="M825" i="1"/>
  <c r="K826" i="1"/>
  <c r="M826" i="1"/>
  <c r="K827" i="1"/>
  <c r="M827" i="1"/>
  <c r="K828" i="1"/>
  <c r="M828" i="1"/>
  <c r="K829" i="1"/>
  <c r="M829" i="1" s="1"/>
  <c r="K830" i="1"/>
  <c r="M830" i="1" s="1"/>
  <c r="K831" i="1"/>
  <c r="M831" i="1"/>
  <c r="K832" i="1"/>
  <c r="M832" i="1"/>
  <c r="K833" i="1"/>
  <c r="M833" i="1"/>
  <c r="K834" i="1"/>
  <c r="M834" i="1"/>
  <c r="K835" i="1"/>
  <c r="M835" i="1"/>
  <c r="K836" i="1"/>
  <c r="M836" i="1"/>
  <c r="K837" i="1"/>
  <c r="M837" i="1"/>
  <c r="K838" i="1"/>
  <c r="M838" i="1"/>
  <c r="K839" i="1"/>
  <c r="M839" i="1" s="1"/>
  <c r="K840" i="1"/>
  <c r="M840" i="1" s="1"/>
  <c r="K841" i="1"/>
  <c r="M841" i="1"/>
  <c r="K842" i="1"/>
  <c r="M842" i="1"/>
  <c r="K843" i="1"/>
  <c r="M843" i="1"/>
  <c r="K844" i="1"/>
  <c r="M844" i="1"/>
  <c r="K845" i="1"/>
  <c r="M845" i="1"/>
  <c r="K846" i="1"/>
  <c r="M846" i="1"/>
  <c r="K847" i="1"/>
  <c r="M847" i="1"/>
  <c r="K848" i="1"/>
  <c r="M848" i="1"/>
  <c r="K849" i="1"/>
  <c r="M849" i="1" s="1"/>
  <c r="K850" i="1"/>
  <c r="M850" i="1" s="1"/>
  <c r="K851" i="1"/>
  <c r="M851" i="1"/>
  <c r="K852" i="1"/>
  <c r="M852" i="1"/>
  <c r="K853" i="1"/>
  <c r="M853" i="1"/>
  <c r="K854" i="1"/>
  <c r="M854" i="1"/>
  <c r="K855" i="1"/>
  <c r="M855" i="1"/>
  <c r="K856" i="1"/>
  <c r="M856" i="1"/>
  <c r="K857" i="1"/>
  <c r="M857" i="1"/>
  <c r="K858" i="1"/>
  <c r="M858" i="1"/>
  <c r="K859" i="1"/>
  <c r="M859" i="1" s="1"/>
  <c r="K860" i="1"/>
  <c r="M860" i="1" s="1"/>
  <c r="K861" i="1"/>
  <c r="M861" i="1"/>
  <c r="K862" i="1"/>
  <c r="M862" i="1"/>
  <c r="K863" i="1"/>
  <c r="M863" i="1"/>
  <c r="K864" i="1"/>
  <c r="M864" i="1"/>
  <c r="K865" i="1"/>
  <c r="M865" i="1"/>
  <c r="K866" i="1"/>
  <c r="M866" i="1"/>
  <c r="K867" i="1"/>
  <c r="M867" i="1"/>
  <c r="K868" i="1"/>
  <c r="M868" i="1"/>
  <c r="K869" i="1"/>
  <c r="M869" i="1" s="1"/>
  <c r="K870" i="1"/>
  <c r="M870" i="1" s="1"/>
  <c r="K871" i="1"/>
  <c r="M871" i="1"/>
  <c r="K872" i="1"/>
  <c r="M872" i="1"/>
  <c r="K873" i="1"/>
  <c r="M873" i="1"/>
  <c r="K874" i="1"/>
  <c r="M874" i="1"/>
  <c r="K875" i="1"/>
  <c r="M875" i="1"/>
  <c r="K876" i="1"/>
  <c r="M876" i="1"/>
  <c r="K877" i="1"/>
  <c r="M877" i="1"/>
  <c r="K878" i="1"/>
  <c r="M878" i="1"/>
  <c r="K879" i="1"/>
  <c r="M879" i="1" s="1"/>
  <c r="K880" i="1"/>
  <c r="M880" i="1" s="1"/>
  <c r="K881" i="1"/>
  <c r="M881" i="1"/>
  <c r="K882" i="1"/>
  <c r="M882" i="1"/>
  <c r="K883" i="1"/>
  <c r="M883" i="1"/>
  <c r="K884" i="1"/>
  <c r="M884" i="1"/>
  <c r="K885" i="1"/>
  <c r="M885" i="1"/>
  <c r="K886" i="1"/>
  <c r="M886" i="1"/>
  <c r="K887" i="1"/>
  <c r="M887" i="1"/>
  <c r="K888" i="1"/>
  <c r="M888" i="1"/>
  <c r="K889" i="1"/>
  <c r="M889" i="1" s="1"/>
  <c r="K890" i="1"/>
  <c r="M890" i="1" s="1"/>
  <c r="K891" i="1"/>
  <c r="M891" i="1"/>
  <c r="K892" i="1"/>
  <c r="M892" i="1"/>
  <c r="K893" i="1"/>
  <c r="M893" i="1"/>
  <c r="K894" i="1"/>
  <c r="M894" i="1"/>
  <c r="K895" i="1"/>
  <c r="M895" i="1"/>
  <c r="K896" i="1"/>
  <c r="M896" i="1"/>
  <c r="K897" i="1"/>
  <c r="M897" i="1"/>
  <c r="K898" i="1"/>
  <c r="M898" i="1"/>
  <c r="K899" i="1"/>
  <c r="M899" i="1" s="1"/>
  <c r="K900" i="1"/>
  <c r="M900" i="1" s="1"/>
  <c r="K901" i="1"/>
  <c r="M901" i="1"/>
  <c r="K902" i="1"/>
  <c r="M902" i="1"/>
  <c r="K903" i="1"/>
  <c r="M903" i="1"/>
  <c r="K904" i="1"/>
  <c r="M904" i="1"/>
  <c r="K905" i="1"/>
  <c r="M905" i="1"/>
  <c r="K906" i="1"/>
  <c r="M906" i="1"/>
  <c r="K907" i="1"/>
  <c r="M907" i="1"/>
  <c r="K908" i="1"/>
  <c r="M908" i="1"/>
  <c r="K909" i="1"/>
  <c r="M909" i="1" s="1"/>
  <c r="K910" i="1"/>
  <c r="M910" i="1" s="1"/>
  <c r="K911" i="1"/>
  <c r="M911" i="1"/>
  <c r="K912" i="1"/>
  <c r="M912" i="1"/>
  <c r="K913" i="1"/>
  <c r="M913" i="1"/>
  <c r="K914" i="1"/>
  <c r="M914" i="1"/>
  <c r="K915" i="1"/>
  <c r="M915" i="1"/>
  <c r="K916" i="1"/>
  <c r="M916" i="1"/>
  <c r="K917" i="1"/>
  <c r="M917" i="1"/>
  <c r="K918" i="1"/>
  <c r="M918" i="1"/>
  <c r="K919" i="1"/>
  <c r="M919" i="1" s="1"/>
  <c r="K920" i="1"/>
  <c r="M920" i="1" s="1"/>
  <c r="K921" i="1"/>
  <c r="M921" i="1"/>
  <c r="K922" i="1"/>
  <c r="M922" i="1"/>
  <c r="K923" i="1"/>
  <c r="M923" i="1"/>
  <c r="K924" i="1"/>
  <c r="M924" i="1"/>
  <c r="K925" i="1"/>
  <c r="M925" i="1"/>
  <c r="K926" i="1"/>
  <c r="M926" i="1"/>
  <c r="K927" i="1"/>
  <c r="M927" i="1"/>
  <c r="K928" i="1"/>
  <c r="M928" i="1"/>
  <c r="K929" i="1"/>
  <c r="M929" i="1" s="1"/>
  <c r="K930" i="1"/>
  <c r="M930" i="1" s="1"/>
  <c r="K931" i="1"/>
  <c r="M931" i="1"/>
  <c r="K932" i="1"/>
  <c r="M932" i="1"/>
  <c r="K933" i="1"/>
  <c r="M933" i="1"/>
  <c r="K934" i="1"/>
  <c r="M934" i="1"/>
  <c r="K935" i="1"/>
  <c r="M935" i="1"/>
  <c r="K936" i="1"/>
  <c r="M936" i="1"/>
  <c r="K937" i="1"/>
  <c r="M937" i="1"/>
  <c r="K938" i="1"/>
  <c r="M938" i="1"/>
  <c r="K939" i="1"/>
  <c r="M939" i="1" s="1"/>
  <c r="K940" i="1"/>
  <c r="M940" i="1" s="1"/>
  <c r="K941" i="1"/>
  <c r="M941" i="1"/>
  <c r="K942" i="1"/>
  <c r="M942" i="1"/>
  <c r="K943" i="1"/>
  <c r="M943" i="1"/>
  <c r="K944" i="1"/>
  <c r="M944" i="1"/>
  <c r="K945" i="1"/>
  <c r="M945" i="1"/>
  <c r="K946" i="1"/>
  <c r="M946" i="1"/>
  <c r="K947" i="1"/>
  <c r="M947" i="1"/>
  <c r="K948" i="1"/>
  <c r="M948" i="1"/>
  <c r="K949" i="1"/>
  <c r="M949" i="1" s="1"/>
  <c r="K950" i="1"/>
  <c r="M950" i="1" s="1"/>
  <c r="K951" i="1"/>
  <c r="M951" i="1"/>
  <c r="K952" i="1"/>
  <c r="M952" i="1"/>
  <c r="K953" i="1"/>
  <c r="M953" i="1"/>
  <c r="K954" i="1"/>
  <c r="M954" i="1"/>
  <c r="K955" i="1"/>
  <c r="M955" i="1"/>
  <c r="K956" i="1"/>
  <c r="M956" i="1"/>
  <c r="K957" i="1"/>
  <c r="M957" i="1"/>
  <c r="K958" i="1"/>
  <c r="M958" i="1"/>
  <c r="K959" i="1"/>
  <c r="M959" i="1" s="1"/>
  <c r="K960" i="1"/>
  <c r="M960" i="1" s="1"/>
  <c r="K961" i="1"/>
  <c r="M961" i="1"/>
  <c r="K962" i="1"/>
  <c r="M962" i="1"/>
  <c r="K963" i="1"/>
  <c r="M963" i="1"/>
  <c r="K964" i="1"/>
  <c r="M964" i="1"/>
  <c r="K965" i="1"/>
  <c r="M965" i="1"/>
  <c r="K966" i="1"/>
  <c r="M966" i="1"/>
  <c r="K967" i="1"/>
  <c r="M967" i="1"/>
  <c r="K968" i="1"/>
  <c r="M968" i="1"/>
  <c r="K969" i="1"/>
  <c r="M969" i="1" s="1"/>
  <c r="K970" i="1"/>
  <c r="M970" i="1" s="1"/>
  <c r="K971" i="1"/>
  <c r="M971" i="1"/>
  <c r="K972" i="1"/>
  <c r="M972" i="1"/>
  <c r="K973" i="1"/>
  <c r="M973" i="1"/>
  <c r="K974" i="1"/>
  <c r="M974" i="1"/>
  <c r="K975" i="1"/>
  <c r="M975" i="1"/>
  <c r="K976" i="1"/>
  <c r="M976" i="1"/>
  <c r="K977" i="1"/>
  <c r="M977" i="1"/>
  <c r="K978" i="1"/>
  <c r="M978" i="1"/>
  <c r="K979" i="1"/>
  <c r="M979" i="1" s="1"/>
  <c r="K980" i="1"/>
  <c r="M980" i="1" s="1"/>
  <c r="K981" i="1"/>
  <c r="M981" i="1"/>
  <c r="K982" i="1"/>
  <c r="M982" i="1"/>
  <c r="K983" i="1"/>
  <c r="M983" i="1"/>
  <c r="K984" i="1"/>
  <c r="M984" i="1"/>
  <c r="K985" i="1"/>
  <c r="M985" i="1"/>
  <c r="K986" i="1"/>
  <c r="M986" i="1"/>
  <c r="K987" i="1"/>
  <c r="M987" i="1"/>
  <c r="K988" i="1"/>
  <c r="M988" i="1"/>
  <c r="K989" i="1"/>
  <c r="M989" i="1" s="1"/>
  <c r="K990" i="1"/>
  <c r="M990" i="1" s="1"/>
  <c r="K991" i="1"/>
  <c r="M991" i="1"/>
  <c r="K992" i="1"/>
  <c r="M992" i="1"/>
  <c r="K993" i="1"/>
  <c r="M993" i="1"/>
  <c r="K994" i="1"/>
  <c r="M994" i="1"/>
  <c r="K995" i="1"/>
  <c r="M995" i="1"/>
  <c r="K996" i="1"/>
  <c r="M996" i="1"/>
  <c r="K997" i="1"/>
  <c r="M997" i="1"/>
  <c r="K998" i="1"/>
  <c r="M998" i="1"/>
  <c r="K999" i="1"/>
  <c r="M999" i="1" s="1"/>
  <c r="K1000" i="1"/>
  <c r="M1000" i="1" s="1"/>
  <c r="K1001" i="1"/>
  <c r="M1001" i="1"/>
  <c r="K1002" i="1"/>
  <c r="M1002" i="1"/>
  <c r="K1003" i="1"/>
  <c r="M1003" i="1"/>
  <c r="K1004" i="1"/>
  <c r="M1004" i="1"/>
  <c r="K1005" i="1"/>
  <c r="M1005" i="1"/>
  <c r="K1006" i="1"/>
  <c r="M1006" i="1"/>
  <c r="K1007" i="1"/>
  <c r="M1007" i="1"/>
  <c r="K1008" i="1"/>
  <c r="M1008" i="1"/>
  <c r="K1009" i="1"/>
  <c r="M1009" i="1" s="1"/>
  <c r="K1010" i="1"/>
  <c r="M1010" i="1" s="1"/>
  <c r="K1011" i="1"/>
  <c r="M1011" i="1"/>
  <c r="K1012" i="1"/>
  <c r="M1012" i="1"/>
  <c r="K1013" i="1"/>
  <c r="M1013" i="1"/>
  <c r="K1014" i="1"/>
  <c r="M1014" i="1"/>
  <c r="K1015" i="1"/>
  <c r="M1015" i="1"/>
  <c r="K1016" i="1"/>
  <c r="M1016" i="1"/>
  <c r="K1017" i="1"/>
  <c r="M1017" i="1"/>
  <c r="K1018" i="1"/>
  <c r="M1018" i="1"/>
  <c r="K1019" i="1"/>
  <c r="M1019" i="1" s="1"/>
  <c r="K1020" i="1"/>
  <c r="M1020" i="1" s="1"/>
  <c r="K1021" i="1"/>
  <c r="M1021" i="1"/>
  <c r="K1022" i="1"/>
  <c r="M1022" i="1"/>
  <c r="K1023" i="1"/>
  <c r="M1023" i="1"/>
  <c r="K1024" i="1"/>
  <c r="M1024" i="1"/>
  <c r="K1025" i="1"/>
  <c r="M1025" i="1"/>
  <c r="K1026" i="1"/>
  <c r="M1026" i="1"/>
  <c r="K1027" i="1"/>
  <c r="M1027" i="1"/>
  <c r="K1028" i="1"/>
  <c r="M1028" i="1"/>
  <c r="K1029" i="1"/>
  <c r="M1029" i="1" s="1"/>
  <c r="K1030" i="1"/>
  <c r="M1030" i="1" s="1"/>
  <c r="K1031" i="1"/>
  <c r="M1031" i="1"/>
  <c r="K1032" i="1"/>
  <c r="M1032" i="1"/>
  <c r="K1033" i="1"/>
  <c r="M1033" i="1"/>
  <c r="K1034" i="1"/>
  <c r="M1034" i="1"/>
  <c r="K1035" i="1"/>
  <c r="M1035" i="1"/>
  <c r="K1036" i="1"/>
  <c r="M1036" i="1"/>
  <c r="K1037" i="1"/>
  <c r="M1037" i="1"/>
  <c r="K1038" i="1"/>
  <c r="M1038" i="1"/>
  <c r="K1039" i="1"/>
  <c r="M1039" i="1" s="1"/>
  <c r="K1040" i="1"/>
  <c r="M1040" i="1" s="1"/>
  <c r="K1041" i="1"/>
  <c r="M1041" i="1"/>
  <c r="K1042" i="1"/>
  <c r="M1042" i="1"/>
  <c r="K1043" i="1"/>
  <c r="M1043" i="1"/>
  <c r="K1044" i="1"/>
  <c r="M1044" i="1"/>
  <c r="K1045" i="1"/>
  <c r="M1045" i="1"/>
  <c r="K1046" i="1"/>
  <c r="M1046" i="1"/>
  <c r="K1047" i="1"/>
  <c r="M1047" i="1"/>
  <c r="K1048" i="1"/>
  <c r="M1048" i="1"/>
  <c r="K1049" i="1"/>
  <c r="M1049" i="1" s="1"/>
  <c r="K1050" i="1"/>
  <c r="M1050" i="1" s="1"/>
  <c r="B1860" i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741" i="1"/>
  <c r="B1742" i="1" s="1"/>
  <c r="B1743" i="1" s="1"/>
  <c r="B1744" i="1" s="1"/>
  <c r="B1745" i="1" s="1"/>
  <c r="B1746" i="1" s="1"/>
  <c r="J3142" i="1"/>
  <c r="I3142" i="1"/>
  <c r="H3142" i="1"/>
  <c r="N3143" i="1"/>
  <c r="G3139" i="1"/>
  <c r="K3139" i="1" s="1"/>
  <c r="M3139" i="1" s="1"/>
  <c r="O3139" i="1" s="1"/>
  <c r="O3140" i="1" s="1"/>
  <c r="N3140" i="1"/>
  <c r="G3136" i="1"/>
  <c r="K3136" i="1" s="1"/>
  <c r="M3136" i="1" s="1"/>
  <c r="O3136" i="1" s="1"/>
  <c r="O3137" i="1" s="1"/>
  <c r="N3137" i="1"/>
  <c r="G3133" i="1"/>
  <c r="N3134" i="1"/>
  <c r="J3117" i="1"/>
  <c r="I3117" i="1"/>
  <c r="H3117" i="1"/>
  <c r="J3116" i="1"/>
  <c r="I3116" i="1"/>
  <c r="H3116" i="1"/>
  <c r="J3115" i="1"/>
  <c r="I3115" i="1"/>
  <c r="H3115" i="1"/>
  <c r="J3114" i="1"/>
  <c r="I3114" i="1"/>
  <c r="H3114" i="1"/>
  <c r="J3113" i="1"/>
  <c r="I3113" i="1"/>
  <c r="H3113" i="1"/>
  <c r="J3112" i="1"/>
  <c r="I3112" i="1"/>
  <c r="H3112" i="1"/>
  <c r="J3111" i="1"/>
  <c r="I3111" i="1"/>
  <c r="H3111" i="1"/>
  <c r="J3110" i="1"/>
  <c r="I3110" i="1"/>
  <c r="H3110" i="1"/>
  <c r="J3109" i="1"/>
  <c r="I3109" i="1"/>
  <c r="H3109" i="1"/>
  <c r="J3108" i="1"/>
  <c r="I3108" i="1"/>
  <c r="H3108" i="1"/>
  <c r="J3107" i="1"/>
  <c r="I3107" i="1"/>
  <c r="H3107" i="1"/>
  <c r="J3106" i="1"/>
  <c r="I3106" i="1"/>
  <c r="H3106" i="1"/>
  <c r="J3105" i="1"/>
  <c r="I3105" i="1"/>
  <c r="H3105" i="1"/>
  <c r="J3104" i="1"/>
  <c r="I3104" i="1"/>
  <c r="H3104" i="1"/>
  <c r="J3103" i="1"/>
  <c r="I3103" i="1"/>
  <c r="H3103" i="1"/>
  <c r="J3102" i="1"/>
  <c r="I3102" i="1"/>
  <c r="H3102" i="1"/>
  <c r="J3101" i="1"/>
  <c r="I3101" i="1"/>
  <c r="H3101" i="1"/>
  <c r="J3100" i="1"/>
  <c r="I3100" i="1"/>
  <c r="H3100" i="1"/>
  <c r="J3099" i="1"/>
  <c r="I3099" i="1"/>
  <c r="H3099" i="1"/>
  <c r="J3098" i="1"/>
  <c r="I3098" i="1"/>
  <c r="H3098" i="1"/>
  <c r="J3097" i="1"/>
  <c r="I3097" i="1"/>
  <c r="H3097" i="1"/>
  <c r="J3096" i="1"/>
  <c r="I3096" i="1"/>
  <c r="H3096" i="1"/>
  <c r="J3095" i="1"/>
  <c r="I3095" i="1"/>
  <c r="H3095" i="1"/>
  <c r="J3094" i="1"/>
  <c r="I3094" i="1"/>
  <c r="H3094" i="1"/>
  <c r="J3093" i="1"/>
  <c r="I3093" i="1"/>
  <c r="H3093" i="1"/>
  <c r="J3092" i="1"/>
  <c r="I3092" i="1"/>
  <c r="H3092" i="1"/>
  <c r="J3091" i="1"/>
  <c r="I3091" i="1"/>
  <c r="H3091" i="1"/>
  <c r="J3090" i="1"/>
  <c r="I3090" i="1"/>
  <c r="H3090" i="1"/>
  <c r="J3089" i="1"/>
  <c r="I3089" i="1"/>
  <c r="H3089" i="1"/>
  <c r="J3088" i="1"/>
  <c r="I3088" i="1"/>
  <c r="H3088" i="1"/>
  <c r="J3087" i="1"/>
  <c r="I3087" i="1"/>
  <c r="H3087" i="1"/>
  <c r="J3086" i="1"/>
  <c r="I3086" i="1"/>
  <c r="H3086" i="1"/>
  <c r="J3085" i="1"/>
  <c r="I3085" i="1"/>
  <c r="H3085" i="1"/>
  <c r="J3084" i="1"/>
  <c r="I3084" i="1"/>
  <c r="H3084" i="1"/>
  <c r="J3083" i="1"/>
  <c r="I3083" i="1"/>
  <c r="H3083" i="1"/>
  <c r="J3082" i="1"/>
  <c r="I3082" i="1"/>
  <c r="H3082" i="1"/>
  <c r="J3081" i="1"/>
  <c r="I3081" i="1"/>
  <c r="H3081" i="1"/>
  <c r="J3080" i="1"/>
  <c r="I3080" i="1"/>
  <c r="H3080" i="1"/>
  <c r="J3079" i="1"/>
  <c r="I3079" i="1"/>
  <c r="H3079" i="1"/>
  <c r="J3128" i="1"/>
  <c r="I3128" i="1"/>
  <c r="H3128" i="1"/>
  <c r="J3078" i="1"/>
  <c r="I3078" i="1"/>
  <c r="H3078" i="1"/>
  <c r="J3077" i="1"/>
  <c r="I3077" i="1"/>
  <c r="H3077" i="1"/>
  <c r="J3076" i="1"/>
  <c r="I3076" i="1"/>
  <c r="H3076" i="1"/>
  <c r="J3075" i="1"/>
  <c r="I3075" i="1"/>
  <c r="H3075" i="1"/>
  <c r="J3074" i="1"/>
  <c r="I3074" i="1"/>
  <c r="H3074" i="1"/>
  <c r="J3073" i="1"/>
  <c r="I3073" i="1"/>
  <c r="H3073" i="1"/>
  <c r="J3072" i="1"/>
  <c r="I3072" i="1"/>
  <c r="H3072" i="1"/>
  <c r="J3071" i="1"/>
  <c r="I3071" i="1"/>
  <c r="H3071" i="1"/>
  <c r="J3070" i="1"/>
  <c r="I3070" i="1"/>
  <c r="H3070" i="1"/>
  <c r="J3119" i="1"/>
  <c r="I3119" i="1"/>
  <c r="H3119" i="1"/>
  <c r="J3069" i="1"/>
  <c r="I3069" i="1"/>
  <c r="H3069" i="1"/>
  <c r="J3122" i="1"/>
  <c r="I3122" i="1"/>
  <c r="H3122" i="1"/>
  <c r="J3068" i="1"/>
  <c r="I3068" i="1"/>
  <c r="H3068" i="1"/>
  <c r="J3123" i="1"/>
  <c r="I3123" i="1"/>
  <c r="H3123" i="1"/>
  <c r="J3067" i="1"/>
  <c r="I3067" i="1"/>
  <c r="H3067" i="1"/>
  <c r="J3066" i="1"/>
  <c r="I3066" i="1"/>
  <c r="H3066" i="1"/>
  <c r="J3065" i="1"/>
  <c r="I3065" i="1"/>
  <c r="H3065" i="1"/>
  <c r="J3064" i="1"/>
  <c r="I3064" i="1"/>
  <c r="H3064" i="1"/>
  <c r="J3063" i="1"/>
  <c r="I3063" i="1"/>
  <c r="H3063" i="1"/>
  <c r="J3062" i="1"/>
  <c r="I3062" i="1"/>
  <c r="H3062" i="1"/>
  <c r="J3061" i="1"/>
  <c r="I3061" i="1"/>
  <c r="H3061" i="1"/>
  <c r="J3060" i="1"/>
  <c r="I3060" i="1"/>
  <c r="H3060" i="1"/>
  <c r="J3059" i="1"/>
  <c r="I3059" i="1"/>
  <c r="H3059" i="1"/>
  <c r="J3058" i="1"/>
  <c r="I3058" i="1"/>
  <c r="H3058" i="1"/>
  <c r="J3057" i="1"/>
  <c r="I3057" i="1"/>
  <c r="H3057" i="1"/>
  <c r="J3056" i="1"/>
  <c r="I3056" i="1"/>
  <c r="H3056" i="1"/>
  <c r="J3055" i="1"/>
  <c r="I3055" i="1"/>
  <c r="H3055" i="1"/>
  <c r="J3054" i="1"/>
  <c r="I3054" i="1"/>
  <c r="H3054" i="1"/>
  <c r="J3053" i="1"/>
  <c r="I3053" i="1"/>
  <c r="H3053" i="1"/>
  <c r="J3052" i="1"/>
  <c r="I3052" i="1"/>
  <c r="H3052" i="1"/>
  <c r="J3051" i="1"/>
  <c r="I3051" i="1"/>
  <c r="H3051" i="1"/>
  <c r="J3050" i="1"/>
  <c r="I3050" i="1"/>
  <c r="H3050" i="1"/>
  <c r="J3049" i="1"/>
  <c r="I3049" i="1"/>
  <c r="H3049" i="1"/>
  <c r="J3048" i="1"/>
  <c r="I3048" i="1"/>
  <c r="H3048" i="1"/>
  <c r="J3047" i="1"/>
  <c r="I3047" i="1"/>
  <c r="H3047" i="1"/>
  <c r="J3046" i="1"/>
  <c r="I3046" i="1"/>
  <c r="H3046" i="1"/>
  <c r="J3045" i="1"/>
  <c r="I3045" i="1"/>
  <c r="H3045" i="1"/>
  <c r="J3044" i="1"/>
  <c r="I3044" i="1"/>
  <c r="H3044" i="1"/>
  <c r="J3043" i="1"/>
  <c r="I3043" i="1"/>
  <c r="H3043" i="1"/>
  <c r="J3042" i="1"/>
  <c r="I3042" i="1"/>
  <c r="H3042" i="1"/>
  <c r="J3041" i="1"/>
  <c r="I3041" i="1"/>
  <c r="H3041" i="1"/>
  <c r="J3040" i="1"/>
  <c r="I3040" i="1"/>
  <c r="H3040" i="1"/>
  <c r="J3039" i="1"/>
  <c r="I3039" i="1"/>
  <c r="H3039" i="1"/>
  <c r="J3038" i="1"/>
  <c r="I3038" i="1"/>
  <c r="H3038" i="1"/>
  <c r="J3037" i="1"/>
  <c r="I3037" i="1"/>
  <c r="H3037" i="1"/>
  <c r="J3036" i="1"/>
  <c r="I3036" i="1"/>
  <c r="H3036" i="1"/>
  <c r="J3035" i="1"/>
  <c r="I3035" i="1"/>
  <c r="H3035" i="1"/>
  <c r="J3034" i="1"/>
  <c r="I3034" i="1"/>
  <c r="H3034" i="1"/>
  <c r="J3033" i="1"/>
  <c r="I3033" i="1"/>
  <c r="H3033" i="1"/>
  <c r="J3032" i="1"/>
  <c r="I3032" i="1"/>
  <c r="H3032" i="1"/>
  <c r="J3031" i="1"/>
  <c r="I3031" i="1"/>
  <c r="H3031" i="1"/>
  <c r="J3030" i="1"/>
  <c r="I3030" i="1"/>
  <c r="H3030" i="1"/>
  <c r="J3029" i="1"/>
  <c r="I3029" i="1"/>
  <c r="H3029" i="1"/>
  <c r="J3028" i="1"/>
  <c r="I3028" i="1"/>
  <c r="H3028" i="1"/>
  <c r="J3027" i="1"/>
  <c r="I3027" i="1"/>
  <c r="H3027" i="1"/>
  <c r="J3026" i="1"/>
  <c r="I3026" i="1"/>
  <c r="H3026" i="1"/>
  <c r="J3025" i="1"/>
  <c r="I3025" i="1"/>
  <c r="H3025" i="1"/>
  <c r="J3024" i="1"/>
  <c r="I3024" i="1"/>
  <c r="H3024" i="1"/>
  <c r="J3023" i="1"/>
  <c r="I3023" i="1"/>
  <c r="H3023" i="1"/>
  <c r="J3022" i="1"/>
  <c r="I3022" i="1"/>
  <c r="H3022" i="1"/>
  <c r="J3021" i="1"/>
  <c r="I3021" i="1"/>
  <c r="H3021" i="1"/>
  <c r="J3020" i="1"/>
  <c r="I3020" i="1"/>
  <c r="H3020" i="1"/>
  <c r="J3019" i="1"/>
  <c r="I3019" i="1"/>
  <c r="H3019" i="1"/>
  <c r="J3018" i="1"/>
  <c r="I3018" i="1"/>
  <c r="H3018" i="1"/>
  <c r="J3017" i="1"/>
  <c r="I3017" i="1"/>
  <c r="H3017" i="1"/>
  <c r="J3016" i="1"/>
  <c r="I3016" i="1"/>
  <c r="H3016" i="1"/>
  <c r="J3015" i="1"/>
  <c r="I3015" i="1"/>
  <c r="H3015" i="1"/>
  <c r="J3014" i="1"/>
  <c r="I3014" i="1"/>
  <c r="H3014" i="1"/>
  <c r="J3013" i="1"/>
  <c r="I3013" i="1"/>
  <c r="H3013" i="1"/>
  <c r="J3012" i="1"/>
  <c r="I3012" i="1"/>
  <c r="H3012" i="1"/>
  <c r="J3011" i="1"/>
  <c r="I3011" i="1"/>
  <c r="H3011" i="1"/>
  <c r="J3010" i="1"/>
  <c r="I3010" i="1"/>
  <c r="H3010" i="1"/>
  <c r="J3009" i="1"/>
  <c r="I3009" i="1"/>
  <c r="H3009" i="1"/>
  <c r="J3008" i="1"/>
  <c r="I3008" i="1"/>
  <c r="H3008" i="1"/>
  <c r="J3007" i="1"/>
  <c r="I3007" i="1"/>
  <c r="H3007" i="1"/>
  <c r="J3006" i="1"/>
  <c r="I3006" i="1"/>
  <c r="H3006" i="1"/>
  <c r="J3005" i="1"/>
  <c r="I3005" i="1"/>
  <c r="H3005" i="1"/>
  <c r="J3004" i="1"/>
  <c r="I3004" i="1"/>
  <c r="H3004" i="1"/>
  <c r="J3003" i="1"/>
  <c r="I3003" i="1"/>
  <c r="H3003" i="1"/>
  <c r="J3124" i="1"/>
  <c r="I3124" i="1"/>
  <c r="H3124" i="1"/>
  <c r="J3002" i="1"/>
  <c r="I3002" i="1"/>
  <c r="H3002" i="1"/>
  <c r="J3001" i="1"/>
  <c r="I3001" i="1"/>
  <c r="H3001" i="1"/>
  <c r="J3000" i="1"/>
  <c r="I3000" i="1"/>
  <c r="H3000" i="1"/>
  <c r="J2999" i="1"/>
  <c r="I2999" i="1"/>
  <c r="H2999" i="1"/>
  <c r="J2998" i="1"/>
  <c r="I2998" i="1"/>
  <c r="H2998" i="1"/>
  <c r="J2997" i="1"/>
  <c r="I2997" i="1"/>
  <c r="H2997" i="1"/>
  <c r="J2996" i="1"/>
  <c r="I2996" i="1"/>
  <c r="H2996" i="1"/>
  <c r="J2995" i="1"/>
  <c r="I2995" i="1"/>
  <c r="H2995" i="1"/>
  <c r="J2994" i="1"/>
  <c r="I2994" i="1"/>
  <c r="H2994" i="1"/>
  <c r="J3127" i="1"/>
  <c r="I3127" i="1"/>
  <c r="H3127" i="1"/>
  <c r="J2993" i="1"/>
  <c r="I2993" i="1"/>
  <c r="H2993" i="1"/>
  <c r="J2992" i="1"/>
  <c r="I2992" i="1"/>
  <c r="H2992" i="1"/>
  <c r="J2991" i="1"/>
  <c r="I2991" i="1"/>
  <c r="H2991" i="1"/>
  <c r="J2990" i="1"/>
  <c r="I2990" i="1"/>
  <c r="H2990" i="1"/>
  <c r="J2989" i="1"/>
  <c r="I2989" i="1"/>
  <c r="H2989" i="1"/>
  <c r="J2988" i="1"/>
  <c r="I2988" i="1"/>
  <c r="H2988" i="1"/>
  <c r="J2987" i="1"/>
  <c r="I2987" i="1"/>
  <c r="H2987" i="1"/>
  <c r="J2986" i="1"/>
  <c r="I2986" i="1"/>
  <c r="H2986" i="1"/>
  <c r="J2985" i="1"/>
  <c r="I2985" i="1"/>
  <c r="H2985" i="1"/>
  <c r="J2984" i="1"/>
  <c r="I2984" i="1"/>
  <c r="H2984" i="1"/>
  <c r="J2983" i="1"/>
  <c r="I2983" i="1"/>
  <c r="H2983" i="1"/>
  <c r="J2982" i="1"/>
  <c r="I2982" i="1"/>
  <c r="H2982" i="1"/>
  <c r="J2981" i="1"/>
  <c r="I2981" i="1"/>
  <c r="H2981" i="1"/>
  <c r="J2980" i="1"/>
  <c r="I2980" i="1"/>
  <c r="H2980" i="1"/>
  <c r="J2979" i="1"/>
  <c r="I2979" i="1"/>
  <c r="H2979" i="1"/>
  <c r="J2978" i="1"/>
  <c r="I2978" i="1"/>
  <c r="H2978" i="1"/>
  <c r="J2977" i="1"/>
  <c r="I2977" i="1"/>
  <c r="H2977" i="1"/>
  <c r="J2976" i="1"/>
  <c r="I2976" i="1"/>
  <c r="H2976" i="1"/>
  <c r="J2975" i="1"/>
  <c r="I2975" i="1"/>
  <c r="H2975" i="1"/>
  <c r="J2974" i="1"/>
  <c r="I2974" i="1"/>
  <c r="H2974" i="1"/>
  <c r="J2973" i="1"/>
  <c r="I2973" i="1"/>
  <c r="H2973" i="1"/>
  <c r="J2972" i="1"/>
  <c r="I2972" i="1"/>
  <c r="H2972" i="1"/>
  <c r="J2971" i="1"/>
  <c r="I2971" i="1"/>
  <c r="H2971" i="1"/>
  <c r="J2970" i="1"/>
  <c r="I2970" i="1"/>
  <c r="H2970" i="1"/>
  <c r="J3126" i="1"/>
  <c r="I3126" i="1"/>
  <c r="H3126" i="1"/>
  <c r="J3130" i="1"/>
  <c r="I3130" i="1"/>
  <c r="H3130" i="1"/>
  <c r="J2969" i="1"/>
  <c r="I2969" i="1"/>
  <c r="H2969" i="1"/>
  <c r="J3120" i="1"/>
  <c r="I3120" i="1"/>
  <c r="H3120" i="1"/>
  <c r="J2968" i="1"/>
  <c r="I2968" i="1"/>
  <c r="H2968" i="1"/>
  <c r="J2967" i="1"/>
  <c r="I2967" i="1"/>
  <c r="H2967" i="1"/>
  <c r="J3125" i="1"/>
  <c r="I3125" i="1"/>
  <c r="H3125" i="1"/>
  <c r="J2966" i="1"/>
  <c r="I2966" i="1"/>
  <c r="H2966" i="1"/>
  <c r="J3129" i="1"/>
  <c r="I3129" i="1"/>
  <c r="H3129" i="1"/>
  <c r="J2965" i="1"/>
  <c r="I2965" i="1"/>
  <c r="H2965" i="1"/>
  <c r="J2964" i="1"/>
  <c r="I2964" i="1"/>
  <c r="H2964" i="1"/>
  <c r="J2963" i="1"/>
  <c r="I2963" i="1"/>
  <c r="H2963" i="1"/>
  <c r="J2962" i="1"/>
  <c r="I2962" i="1"/>
  <c r="H2962" i="1"/>
  <c r="J2961" i="1"/>
  <c r="I2961" i="1"/>
  <c r="H2961" i="1"/>
  <c r="J2960" i="1"/>
  <c r="I2960" i="1"/>
  <c r="H2960" i="1"/>
  <c r="J2959" i="1"/>
  <c r="I2959" i="1"/>
  <c r="H2959" i="1"/>
  <c r="J2958" i="1"/>
  <c r="I2958" i="1"/>
  <c r="H2958" i="1"/>
  <c r="J2957" i="1"/>
  <c r="I2957" i="1"/>
  <c r="H2957" i="1"/>
  <c r="J2956" i="1"/>
  <c r="I2956" i="1"/>
  <c r="H2956" i="1"/>
  <c r="J2955" i="1"/>
  <c r="I2955" i="1"/>
  <c r="H2955" i="1"/>
  <c r="J2954" i="1"/>
  <c r="I2954" i="1"/>
  <c r="H2954" i="1"/>
  <c r="J2953" i="1"/>
  <c r="I2953" i="1"/>
  <c r="H2953" i="1"/>
  <c r="J2952" i="1"/>
  <c r="I2952" i="1"/>
  <c r="H2952" i="1"/>
  <c r="J2951" i="1"/>
  <c r="I2951" i="1"/>
  <c r="H2951" i="1"/>
  <c r="J3121" i="1"/>
  <c r="I3121" i="1"/>
  <c r="H3121" i="1"/>
  <c r="J2950" i="1"/>
  <c r="I2950" i="1"/>
  <c r="H2950" i="1"/>
  <c r="J2949" i="1"/>
  <c r="I2949" i="1"/>
  <c r="H2949" i="1"/>
  <c r="J2948" i="1"/>
  <c r="I2948" i="1"/>
  <c r="H2948" i="1"/>
  <c r="J2947" i="1"/>
  <c r="I2947" i="1"/>
  <c r="H2947" i="1"/>
  <c r="J2946" i="1"/>
  <c r="I2946" i="1"/>
  <c r="H2946" i="1"/>
  <c r="J2945" i="1"/>
  <c r="I2945" i="1"/>
  <c r="H2945" i="1"/>
  <c r="J2944" i="1"/>
  <c r="I2944" i="1"/>
  <c r="H2944" i="1"/>
  <c r="J2943" i="1"/>
  <c r="I2943" i="1"/>
  <c r="H2943" i="1"/>
  <c r="J2942" i="1"/>
  <c r="I2942" i="1"/>
  <c r="H2942" i="1"/>
  <c r="J2941" i="1"/>
  <c r="I2941" i="1"/>
  <c r="H2941" i="1"/>
  <c r="N3131" i="1"/>
  <c r="B2942" i="1"/>
  <c r="B2943" i="1" s="1"/>
  <c r="B2944" i="1" s="1"/>
  <c r="B2945" i="1" s="1"/>
  <c r="B2946" i="1" s="1"/>
  <c r="B2947" i="1" s="1"/>
  <c r="B2948" i="1" s="1"/>
  <c r="B2949" i="1" s="1"/>
  <c r="B2950" i="1" s="1"/>
  <c r="B3121" i="1" s="1"/>
  <c r="G2938" i="1"/>
  <c r="K2938" i="1" s="1"/>
  <c r="M2938" i="1" s="1"/>
  <c r="O2938" i="1" s="1"/>
  <c r="G2937" i="1"/>
  <c r="K2937" i="1" s="1"/>
  <c r="M2937" i="1" s="1"/>
  <c r="O2937" i="1" s="1"/>
  <c r="G2936" i="1"/>
  <c r="K2936" i="1" s="1"/>
  <c r="M2936" i="1" s="1"/>
  <c r="O2936" i="1" s="1"/>
  <c r="G2934" i="1"/>
  <c r="G2933" i="1"/>
  <c r="K2933" i="1" s="1"/>
  <c r="M2933" i="1" s="1"/>
  <c r="O2933" i="1" s="1"/>
  <c r="G2932" i="1"/>
  <c r="K2932" i="1" s="1"/>
  <c r="M2932" i="1" s="1"/>
  <c r="O2932" i="1" s="1"/>
  <c r="G2931" i="1"/>
  <c r="K2931" i="1" s="1"/>
  <c r="M2931" i="1" s="1"/>
  <c r="O2931" i="1" s="1"/>
  <c r="G2930" i="1"/>
  <c r="K2930" i="1" s="1"/>
  <c r="M2930" i="1" s="1"/>
  <c r="O2930" i="1" s="1"/>
  <c r="G2929" i="1"/>
  <c r="K2929" i="1" s="1"/>
  <c r="M2929" i="1" s="1"/>
  <c r="O2929" i="1" s="1"/>
  <c r="G2928" i="1"/>
  <c r="K2928" i="1" s="1"/>
  <c r="M2928" i="1" s="1"/>
  <c r="O2928" i="1" s="1"/>
  <c r="G2927" i="1"/>
  <c r="K2927" i="1" s="1"/>
  <c r="M2927" i="1" s="1"/>
  <c r="O2927" i="1" s="1"/>
  <c r="G2926" i="1"/>
  <c r="K2926" i="1" s="1"/>
  <c r="M2926" i="1" s="1"/>
  <c r="O2926" i="1" s="1"/>
  <c r="G2925" i="1"/>
  <c r="K2925" i="1" s="1"/>
  <c r="M2925" i="1" s="1"/>
  <c r="O2925" i="1" s="1"/>
  <c r="G2924" i="1"/>
  <c r="K2924" i="1" s="1"/>
  <c r="M2924" i="1" s="1"/>
  <c r="O2924" i="1" s="1"/>
  <c r="G2923" i="1"/>
  <c r="K2923" i="1" s="1"/>
  <c r="M2923" i="1" s="1"/>
  <c r="O2923" i="1" s="1"/>
  <c r="G2922" i="1"/>
  <c r="K2922" i="1" s="1"/>
  <c r="M2922" i="1" s="1"/>
  <c r="O2922" i="1" s="1"/>
  <c r="G2921" i="1"/>
  <c r="K2921" i="1" s="1"/>
  <c r="M2921" i="1" s="1"/>
  <c r="O2921" i="1" s="1"/>
  <c r="G2920" i="1"/>
  <c r="K2920" i="1" s="1"/>
  <c r="M2920" i="1" s="1"/>
  <c r="O2920" i="1" s="1"/>
  <c r="G2919" i="1"/>
  <c r="K2919" i="1" s="1"/>
  <c r="M2919" i="1" s="1"/>
  <c r="O2919" i="1" s="1"/>
  <c r="G2918" i="1"/>
  <c r="K2918" i="1" s="1"/>
  <c r="M2918" i="1" s="1"/>
  <c r="O2918" i="1" s="1"/>
  <c r="G2917" i="1"/>
  <c r="K2917" i="1" s="1"/>
  <c r="M2917" i="1" s="1"/>
  <c r="O2917" i="1" s="1"/>
  <c r="G2916" i="1"/>
  <c r="K2916" i="1" s="1"/>
  <c r="M2916" i="1" s="1"/>
  <c r="O2916" i="1" s="1"/>
  <c r="G2909" i="1"/>
  <c r="K2909" i="1" s="1"/>
  <c r="M2909" i="1" s="1"/>
  <c r="O2909" i="1" s="1"/>
  <c r="G2908" i="1"/>
  <c r="K2908" i="1" s="1"/>
  <c r="M2908" i="1" s="1"/>
  <c r="O2908" i="1" s="1"/>
  <c r="G2907" i="1"/>
  <c r="K2907" i="1" s="1"/>
  <c r="M2907" i="1" s="1"/>
  <c r="O2907" i="1" s="1"/>
  <c r="G2906" i="1"/>
  <c r="K2906" i="1" s="1"/>
  <c r="M2906" i="1" s="1"/>
  <c r="O2906" i="1" s="1"/>
  <c r="G2905" i="1"/>
  <c r="G2904" i="1"/>
  <c r="K2904" i="1" s="1"/>
  <c r="M2904" i="1" s="1"/>
  <c r="O2904" i="1" s="1"/>
  <c r="G2903" i="1"/>
  <c r="K2903" i="1" s="1"/>
  <c r="M2903" i="1" s="1"/>
  <c r="O2903" i="1" s="1"/>
  <c r="G2902" i="1"/>
  <c r="K2902" i="1" s="1"/>
  <c r="M2902" i="1" s="1"/>
  <c r="O2902" i="1" s="1"/>
  <c r="G2901" i="1"/>
  <c r="K2901" i="1" s="1"/>
  <c r="M2901" i="1" s="1"/>
  <c r="O2901" i="1" s="1"/>
  <c r="G2900" i="1"/>
  <c r="K2900" i="1" s="1"/>
  <c r="M2900" i="1" s="1"/>
  <c r="O2900" i="1" s="1"/>
  <c r="G2899" i="1"/>
  <c r="K2899" i="1" s="1"/>
  <c r="M2899" i="1" s="1"/>
  <c r="O2899" i="1" s="1"/>
  <c r="G2898" i="1"/>
  <c r="K2898" i="1" s="1"/>
  <c r="M2898" i="1" s="1"/>
  <c r="O2898" i="1" s="1"/>
  <c r="G2897" i="1"/>
  <c r="K2897" i="1" s="1"/>
  <c r="M2897" i="1" s="1"/>
  <c r="O2897" i="1" s="1"/>
  <c r="G2896" i="1"/>
  <c r="K2896" i="1" s="1"/>
  <c r="M2896" i="1" s="1"/>
  <c r="O2896" i="1" s="1"/>
  <c r="G2895" i="1"/>
  <c r="K2895" i="1" s="1"/>
  <c r="M2895" i="1" s="1"/>
  <c r="O2895" i="1" s="1"/>
  <c r="G2894" i="1"/>
  <c r="K2894" i="1" s="1"/>
  <c r="M2894" i="1" s="1"/>
  <c r="O2894" i="1" s="1"/>
  <c r="G2892" i="1"/>
  <c r="K2892" i="1" s="1"/>
  <c r="M2892" i="1" s="1"/>
  <c r="O2892" i="1" s="1"/>
  <c r="G2891" i="1"/>
  <c r="K2891" i="1" s="1"/>
  <c r="M2891" i="1" s="1"/>
  <c r="O2891" i="1" s="1"/>
  <c r="G2890" i="1"/>
  <c r="G2889" i="1"/>
  <c r="K2889" i="1" s="1"/>
  <c r="M2889" i="1" s="1"/>
  <c r="O2889" i="1" s="1"/>
  <c r="G2888" i="1"/>
  <c r="K2888" i="1" s="1"/>
  <c r="M2888" i="1" s="1"/>
  <c r="O2888" i="1" s="1"/>
  <c r="G2887" i="1"/>
  <c r="K2887" i="1" s="1"/>
  <c r="M2887" i="1" s="1"/>
  <c r="O2887" i="1" s="1"/>
  <c r="G2886" i="1"/>
  <c r="K2886" i="1" s="1"/>
  <c r="M2886" i="1" s="1"/>
  <c r="O2886" i="1" s="1"/>
  <c r="G2885" i="1"/>
  <c r="G2884" i="1"/>
  <c r="K2884" i="1" s="1"/>
  <c r="M2884" i="1" s="1"/>
  <c r="O2884" i="1" s="1"/>
  <c r="G2883" i="1"/>
  <c r="K2883" i="1" s="1"/>
  <c r="M2883" i="1" s="1"/>
  <c r="O2883" i="1" s="1"/>
  <c r="G2882" i="1"/>
  <c r="K2882" i="1" s="1"/>
  <c r="M2882" i="1" s="1"/>
  <c r="O2882" i="1" s="1"/>
  <c r="G2881" i="1"/>
  <c r="K2881" i="1" s="1"/>
  <c r="M2881" i="1" s="1"/>
  <c r="O2881" i="1" s="1"/>
  <c r="G2880" i="1"/>
  <c r="K2880" i="1" s="1"/>
  <c r="M2880" i="1" s="1"/>
  <c r="O2880" i="1" s="1"/>
  <c r="G2879" i="1"/>
  <c r="K2879" i="1" s="1"/>
  <c r="M2879" i="1" s="1"/>
  <c r="O2879" i="1" s="1"/>
  <c r="G2878" i="1"/>
  <c r="K2878" i="1" s="1"/>
  <c r="M2878" i="1" s="1"/>
  <c r="O2878" i="1" s="1"/>
  <c r="G2877" i="1"/>
  <c r="K2877" i="1" s="1"/>
  <c r="M2877" i="1" s="1"/>
  <c r="O2877" i="1" s="1"/>
  <c r="G2876" i="1"/>
  <c r="K2876" i="1" s="1"/>
  <c r="M2876" i="1" s="1"/>
  <c r="O2876" i="1" s="1"/>
  <c r="G2875" i="1"/>
  <c r="K2875" i="1" s="1"/>
  <c r="M2875" i="1" s="1"/>
  <c r="O2875" i="1" s="1"/>
  <c r="G2874" i="1"/>
  <c r="K2874" i="1" s="1"/>
  <c r="M2874" i="1" s="1"/>
  <c r="O2874" i="1" s="1"/>
  <c r="G2873" i="1"/>
  <c r="K2873" i="1" s="1"/>
  <c r="M2873" i="1" s="1"/>
  <c r="O2873" i="1" s="1"/>
  <c r="G2872" i="1"/>
  <c r="K2872" i="1" s="1"/>
  <c r="M2872" i="1" s="1"/>
  <c r="O2872" i="1" s="1"/>
  <c r="G2871" i="1"/>
  <c r="K2871" i="1" s="1"/>
  <c r="M2871" i="1" s="1"/>
  <c r="O2871" i="1" s="1"/>
  <c r="G2870" i="1"/>
  <c r="G2869" i="1"/>
  <c r="K2869" i="1" s="1"/>
  <c r="M2869" i="1" s="1"/>
  <c r="O2869" i="1" s="1"/>
  <c r="G2868" i="1"/>
  <c r="K2868" i="1" s="1"/>
  <c r="M2868" i="1" s="1"/>
  <c r="O2868" i="1" s="1"/>
  <c r="G2867" i="1"/>
  <c r="K2867" i="1" s="1"/>
  <c r="M2867" i="1" s="1"/>
  <c r="O2867" i="1" s="1"/>
  <c r="G2866" i="1"/>
  <c r="K2866" i="1" s="1"/>
  <c r="M2866" i="1" s="1"/>
  <c r="O2866" i="1" s="1"/>
  <c r="G2865" i="1"/>
  <c r="K2865" i="1" s="1"/>
  <c r="M2865" i="1" s="1"/>
  <c r="O2865" i="1" s="1"/>
  <c r="G2864" i="1"/>
  <c r="K2864" i="1" s="1"/>
  <c r="M2864" i="1" s="1"/>
  <c r="O2864" i="1" s="1"/>
  <c r="G2863" i="1"/>
  <c r="K2863" i="1" s="1"/>
  <c r="M2863" i="1" s="1"/>
  <c r="O2863" i="1" s="1"/>
  <c r="G2862" i="1"/>
  <c r="K2862" i="1" s="1"/>
  <c r="M2862" i="1" s="1"/>
  <c r="O2862" i="1" s="1"/>
  <c r="G2861" i="1"/>
  <c r="K2861" i="1" s="1"/>
  <c r="M2861" i="1" s="1"/>
  <c r="O2861" i="1" s="1"/>
  <c r="G2860" i="1"/>
  <c r="K2860" i="1" s="1"/>
  <c r="M2860" i="1" s="1"/>
  <c r="O2860" i="1" s="1"/>
  <c r="G2859" i="1"/>
  <c r="K2859" i="1" s="1"/>
  <c r="M2859" i="1" s="1"/>
  <c r="O2859" i="1" s="1"/>
  <c r="G2858" i="1"/>
  <c r="K2858" i="1" s="1"/>
  <c r="M2858" i="1" s="1"/>
  <c r="O2858" i="1" s="1"/>
  <c r="G2857" i="1"/>
  <c r="K2857" i="1" s="1"/>
  <c r="M2857" i="1" s="1"/>
  <c r="O2857" i="1" s="1"/>
  <c r="G2856" i="1"/>
  <c r="K2856" i="1" s="1"/>
  <c r="M2856" i="1" s="1"/>
  <c r="O2856" i="1" s="1"/>
  <c r="G2855" i="1"/>
  <c r="K2855" i="1" s="1"/>
  <c r="M2855" i="1" s="1"/>
  <c r="O2855" i="1" s="1"/>
  <c r="G2854" i="1"/>
  <c r="K2854" i="1" s="1"/>
  <c r="M2854" i="1" s="1"/>
  <c r="O2854" i="1" s="1"/>
  <c r="G2853" i="1"/>
  <c r="K2853" i="1" s="1"/>
  <c r="M2853" i="1" s="1"/>
  <c r="O2853" i="1" s="1"/>
  <c r="G2852" i="1"/>
  <c r="K2852" i="1" s="1"/>
  <c r="M2852" i="1" s="1"/>
  <c r="O2852" i="1" s="1"/>
  <c r="G2851" i="1"/>
  <c r="K2851" i="1" s="1"/>
  <c r="M2851" i="1" s="1"/>
  <c r="O2851" i="1" s="1"/>
  <c r="G2850" i="1"/>
  <c r="K2850" i="1" s="1"/>
  <c r="M2850" i="1" s="1"/>
  <c r="O2850" i="1" s="1"/>
  <c r="G2849" i="1"/>
  <c r="K2849" i="1" s="1"/>
  <c r="M2849" i="1" s="1"/>
  <c r="O2849" i="1" s="1"/>
  <c r="G2848" i="1"/>
  <c r="K2848" i="1" s="1"/>
  <c r="M2848" i="1" s="1"/>
  <c r="O2848" i="1" s="1"/>
  <c r="G2847" i="1"/>
  <c r="K2847" i="1" s="1"/>
  <c r="M2847" i="1" s="1"/>
  <c r="O2847" i="1" s="1"/>
  <c r="G2846" i="1"/>
  <c r="K2846" i="1" s="1"/>
  <c r="M2846" i="1" s="1"/>
  <c r="O2846" i="1" s="1"/>
  <c r="G2845" i="1"/>
  <c r="G2844" i="1"/>
  <c r="G2843" i="1"/>
  <c r="G2842" i="1"/>
  <c r="K2842" i="1" s="1"/>
  <c r="M2842" i="1" s="1"/>
  <c r="O2842" i="1" s="1"/>
  <c r="G2841" i="1"/>
  <c r="K2841" i="1" s="1"/>
  <c r="M2841" i="1" s="1"/>
  <c r="O2841" i="1" s="1"/>
  <c r="G2840" i="1"/>
  <c r="K2840" i="1" s="1"/>
  <c r="M2840" i="1" s="1"/>
  <c r="O2840" i="1" s="1"/>
  <c r="G2839" i="1"/>
  <c r="K2839" i="1" s="1"/>
  <c r="M2839" i="1" s="1"/>
  <c r="O2839" i="1" s="1"/>
  <c r="G2838" i="1"/>
  <c r="K2838" i="1" s="1"/>
  <c r="M2838" i="1" s="1"/>
  <c r="O2838" i="1" s="1"/>
  <c r="G2837" i="1"/>
  <c r="K2837" i="1" s="1"/>
  <c r="M2837" i="1" s="1"/>
  <c r="O2837" i="1" s="1"/>
  <c r="G2835" i="1"/>
  <c r="K2835" i="1" s="1"/>
  <c r="M2835" i="1" s="1"/>
  <c r="O2835" i="1" s="1"/>
  <c r="G2834" i="1"/>
  <c r="K2834" i="1" s="1"/>
  <c r="M2834" i="1" s="1"/>
  <c r="O2834" i="1" s="1"/>
  <c r="G2833" i="1"/>
  <c r="K2833" i="1" s="1"/>
  <c r="M2833" i="1" s="1"/>
  <c r="O2833" i="1" s="1"/>
  <c r="G2832" i="1"/>
  <c r="K2832" i="1" s="1"/>
  <c r="M2832" i="1" s="1"/>
  <c r="O2832" i="1" s="1"/>
  <c r="G2830" i="1"/>
  <c r="K2830" i="1" s="1"/>
  <c r="M2830" i="1" s="1"/>
  <c r="O2830" i="1" s="1"/>
  <c r="G2829" i="1"/>
  <c r="K2829" i="1" s="1"/>
  <c r="M2829" i="1" s="1"/>
  <c r="O2829" i="1" s="1"/>
  <c r="G2828" i="1"/>
  <c r="K2828" i="1" s="1"/>
  <c r="M2828" i="1" s="1"/>
  <c r="O2828" i="1" s="1"/>
  <c r="G2827" i="1"/>
  <c r="K2827" i="1" s="1"/>
  <c r="M2827" i="1" s="1"/>
  <c r="O2827" i="1" s="1"/>
  <c r="G2826" i="1"/>
  <c r="K2826" i="1" s="1"/>
  <c r="M2826" i="1" s="1"/>
  <c r="O2826" i="1" s="1"/>
  <c r="G2825" i="1"/>
  <c r="K2825" i="1" s="1"/>
  <c r="M2825" i="1" s="1"/>
  <c r="O2825" i="1" s="1"/>
  <c r="G2824" i="1"/>
  <c r="K2824" i="1" s="1"/>
  <c r="M2824" i="1" s="1"/>
  <c r="O2824" i="1" s="1"/>
  <c r="G2823" i="1"/>
  <c r="K2823" i="1" s="1"/>
  <c r="M2823" i="1" s="1"/>
  <c r="O2823" i="1" s="1"/>
  <c r="G2822" i="1"/>
  <c r="K2822" i="1" s="1"/>
  <c r="M2822" i="1" s="1"/>
  <c r="O2822" i="1" s="1"/>
  <c r="G2821" i="1"/>
  <c r="K2821" i="1" s="1"/>
  <c r="M2821" i="1" s="1"/>
  <c r="O2821" i="1" s="1"/>
  <c r="G2820" i="1"/>
  <c r="K2820" i="1" s="1"/>
  <c r="M2820" i="1" s="1"/>
  <c r="O2820" i="1" s="1"/>
  <c r="G2819" i="1"/>
  <c r="K2819" i="1" s="1"/>
  <c r="M2819" i="1" s="1"/>
  <c r="O2819" i="1" s="1"/>
  <c r="G2818" i="1"/>
  <c r="K2818" i="1" s="1"/>
  <c r="M2818" i="1" s="1"/>
  <c r="O2818" i="1" s="1"/>
  <c r="G2817" i="1"/>
  <c r="K2817" i="1" s="1"/>
  <c r="M2817" i="1" s="1"/>
  <c r="O2817" i="1" s="1"/>
  <c r="G2816" i="1"/>
  <c r="K2816" i="1" s="1"/>
  <c r="M2816" i="1" s="1"/>
  <c r="O2816" i="1" s="1"/>
  <c r="G2815" i="1"/>
  <c r="K2815" i="1" s="1"/>
  <c r="M2815" i="1" s="1"/>
  <c r="O2815" i="1" s="1"/>
  <c r="G2814" i="1"/>
  <c r="K2814" i="1" s="1"/>
  <c r="M2814" i="1" s="1"/>
  <c r="O2814" i="1" s="1"/>
  <c r="G2813" i="1"/>
  <c r="K2813" i="1" s="1"/>
  <c r="M2813" i="1" s="1"/>
  <c r="O2813" i="1" s="1"/>
  <c r="G2812" i="1"/>
  <c r="K2812" i="1" s="1"/>
  <c r="M2812" i="1" s="1"/>
  <c r="O2812" i="1" s="1"/>
  <c r="G2811" i="1"/>
  <c r="K2811" i="1" s="1"/>
  <c r="M2811" i="1" s="1"/>
  <c r="O2811" i="1" s="1"/>
  <c r="G2810" i="1"/>
  <c r="K2810" i="1" s="1"/>
  <c r="M2810" i="1" s="1"/>
  <c r="O2810" i="1" s="1"/>
  <c r="G2809" i="1"/>
  <c r="K2809" i="1" s="1"/>
  <c r="M2809" i="1" s="1"/>
  <c r="O2809" i="1" s="1"/>
  <c r="G2808" i="1"/>
  <c r="K2808" i="1" s="1"/>
  <c r="M2808" i="1" s="1"/>
  <c r="O2808" i="1" s="1"/>
  <c r="G2806" i="1"/>
  <c r="K2806" i="1" s="1"/>
  <c r="M2806" i="1" s="1"/>
  <c r="O2806" i="1" s="1"/>
  <c r="G2805" i="1"/>
  <c r="G2804" i="1"/>
  <c r="G2803" i="1"/>
  <c r="G2802" i="1"/>
  <c r="K2802" i="1" s="1"/>
  <c r="M2802" i="1" s="1"/>
  <c r="O2802" i="1" s="1"/>
  <c r="G2801" i="1"/>
  <c r="K2801" i="1" s="1"/>
  <c r="M2801" i="1" s="1"/>
  <c r="O2801" i="1" s="1"/>
  <c r="G2800" i="1"/>
  <c r="K2800" i="1" s="1"/>
  <c r="M2800" i="1" s="1"/>
  <c r="O2800" i="1" s="1"/>
  <c r="G2799" i="1"/>
  <c r="K2799" i="1" s="1"/>
  <c r="M2799" i="1" s="1"/>
  <c r="O2799" i="1" s="1"/>
  <c r="G2798" i="1"/>
  <c r="K2798" i="1" s="1"/>
  <c r="M2798" i="1" s="1"/>
  <c r="O2798" i="1" s="1"/>
  <c r="G2797" i="1"/>
  <c r="K2797" i="1" s="1"/>
  <c r="M2797" i="1" s="1"/>
  <c r="O2797" i="1" s="1"/>
  <c r="G2796" i="1"/>
  <c r="K2796" i="1" s="1"/>
  <c r="M2796" i="1" s="1"/>
  <c r="O2796" i="1" s="1"/>
  <c r="G2795" i="1"/>
  <c r="K2795" i="1" s="1"/>
  <c r="M2795" i="1" s="1"/>
  <c r="O2795" i="1" s="1"/>
  <c r="G2794" i="1"/>
  <c r="K2794" i="1" s="1"/>
  <c r="M2794" i="1" s="1"/>
  <c r="O2794" i="1" s="1"/>
  <c r="G2793" i="1"/>
  <c r="K2793" i="1" s="1"/>
  <c r="M2793" i="1" s="1"/>
  <c r="O2793" i="1" s="1"/>
  <c r="G2792" i="1"/>
  <c r="K2792" i="1" s="1"/>
  <c r="M2792" i="1" s="1"/>
  <c r="O2792" i="1" s="1"/>
  <c r="G2791" i="1"/>
  <c r="K2791" i="1" s="1"/>
  <c r="M2791" i="1" s="1"/>
  <c r="O2791" i="1" s="1"/>
  <c r="G2790" i="1"/>
  <c r="K2790" i="1" s="1"/>
  <c r="M2790" i="1" s="1"/>
  <c r="O2790" i="1" s="1"/>
  <c r="G2789" i="1"/>
  <c r="K2789" i="1" s="1"/>
  <c r="M2789" i="1" s="1"/>
  <c r="O2789" i="1" s="1"/>
  <c r="G2788" i="1"/>
  <c r="K2788" i="1" s="1"/>
  <c r="M2788" i="1" s="1"/>
  <c r="O2788" i="1" s="1"/>
  <c r="G2787" i="1"/>
  <c r="G2786" i="1"/>
  <c r="K2786" i="1" s="1"/>
  <c r="M2786" i="1" s="1"/>
  <c r="O2786" i="1" s="1"/>
  <c r="G2785" i="1"/>
  <c r="K2785" i="1" s="1"/>
  <c r="M2785" i="1" s="1"/>
  <c r="O2785" i="1" s="1"/>
  <c r="G2784" i="1"/>
  <c r="K2784" i="1" s="1"/>
  <c r="M2784" i="1" s="1"/>
  <c r="O2784" i="1" s="1"/>
  <c r="G2783" i="1"/>
  <c r="K2783" i="1" s="1"/>
  <c r="M2783" i="1" s="1"/>
  <c r="O2783" i="1" s="1"/>
  <c r="G2782" i="1"/>
  <c r="K2782" i="1" s="1"/>
  <c r="M2782" i="1" s="1"/>
  <c r="O2782" i="1" s="1"/>
  <c r="G2781" i="1"/>
  <c r="K2781" i="1" s="1"/>
  <c r="M2781" i="1" s="1"/>
  <c r="O2781" i="1" s="1"/>
  <c r="G2780" i="1"/>
  <c r="G2779" i="1"/>
  <c r="K2779" i="1" s="1"/>
  <c r="M2779" i="1" s="1"/>
  <c r="O2779" i="1" s="1"/>
  <c r="G2778" i="1"/>
  <c r="K2778" i="1" s="1"/>
  <c r="M2778" i="1" s="1"/>
  <c r="O2778" i="1" s="1"/>
  <c r="G2777" i="1"/>
  <c r="K2777" i="1" s="1"/>
  <c r="M2777" i="1" s="1"/>
  <c r="O2777" i="1" s="1"/>
  <c r="G2776" i="1"/>
  <c r="K2776" i="1" s="1"/>
  <c r="M2776" i="1" s="1"/>
  <c r="O2776" i="1" s="1"/>
  <c r="G2772" i="1"/>
  <c r="K2772" i="1" s="1"/>
  <c r="M2772" i="1" s="1"/>
  <c r="O2772" i="1" s="1"/>
  <c r="G2771" i="1"/>
  <c r="K2771" i="1" s="1"/>
  <c r="M2771" i="1" s="1"/>
  <c r="O2771" i="1" s="1"/>
  <c r="G2770" i="1"/>
  <c r="K2770" i="1" s="1"/>
  <c r="M2770" i="1" s="1"/>
  <c r="O2770" i="1" s="1"/>
  <c r="G2769" i="1"/>
  <c r="K2769" i="1" s="1"/>
  <c r="M2769" i="1" s="1"/>
  <c r="O2769" i="1" s="1"/>
  <c r="G2768" i="1"/>
  <c r="K2768" i="1" s="1"/>
  <c r="M2768" i="1" s="1"/>
  <c r="O2768" i="1" s="1"/>
  <c r="G2767" i="1"/>
  <c r="K2767" i="1" s="1"/>
  <c r="M2767" i="1" s="1"/>
  <c r="O2767" i="1" s="1"/>
  <c r="G2766" i="1"/>
  <c r="K2766" i="1" s="1"/>
  <c r="M2766" i="1" s="1"/>
  <c r="O2766" i="1" s="1"/>
  <c r="G2765" i="1"/>
  <c r="K2765" i="1" s="1"/>
  <c r="M2765" i="1" s="1"/>
  <c r="O2765" i="1" s="1"/>
  <c r="G2764" i="1"/>
  <c r="K2764" i="1" s="1"/>
  <c r="M2764" i="1" s="1"/>
  <c r="O2764" i="1" s="1"/>
  <c r="G2763" i="1"/>
  <c r="K2763" i="1" s="1"/>
  <c r="M2763" i="1" s="1"/>
  <c r="O2763" i="1" s="1"/>
  <c r="G2762" i="1"/>
  <c r="K2762" i="1" s="1"/>
  <c r="M2762" i="1" s="1"/>
  <c r="O2762" i="1" s="1"/>
  <c r="G2761" i="1"/>
  <c r="K2761" i="1" s="1"/>
  <c r="M2761" i="1" s="1"/>
  <c r="O2761" i="1" s="1"/>
  <c r="G2760" i="1"/>
  <c r="G2759" i="1"/>
  <c r="G2758" i="1"/>
  <c r="G2757" i="1"/>
  <c r="K2757" i="1" s="1"/>
  <c r="M2757" i="1" s="1"/>
  <c r="O2757" i="1" s="1"/>
  <c r="G2756" i="1"/>
  <c r="K2756" i="1" s="1"/>
  <c r="M2756" i="1" s="1"/>
  <c r="O2756" i="1" s="1"/>
  <c r="G2755" i="1"/>
  <c r="K2755" i="1" s="1"/>
  <c r="M2755" i="1" s="1"/>
  <c r="O2755" i="1" s="1"/>
  <c r="G2754" i="1"/>
  <c r="K2754" i="1" s="1"/>
  <c r="M2754" i="1" s="1"/>
  <c r="O2754" i="1" s="1"/>
  <c r="G2753" i="1"/>
  <c r="K2753" i="1" s="1"/>
  <c r="M2753" i="1" s="1"/>
  <c r="O2753" i="1" s="1"/>
  <c r="G2752" i="1"/>
  <c r="K2752" i="1" s="1"/>
  <c r="M2752" i="1" s="1"/>
  <c r="O2752" i="1" s="1"/>
  <c r="G2751" i="1"/>
  <c r="K2751" i="1" s="1"/>
  <c r="M2751" i="1" s="1"/>
  <c r="O2751" i="1" s="1"/>
  <c r="G2750" i="1"/>
  <c r="K2750" i="1" s="1"/>
  <c r="M2750" i="1" s="1"/>
  <c r="O2750" i="1" s="1"/>
  <c r="N2939" i="1"/>
  <c r="K2935" i="1"/>
  <c r="M2935" i="1" s="1"/>
  <c r="O2935" i="1" s="1"/>
  <c r="K2915" i="1"/>
  <c r="M2915" i="1" s="1"/>
  <c r="O2915" i="1" s="1"/>
  <c r="K2914" i="1"/>
  <c r="M2914" i="1" s="1"/>
  <c r="O2914" i="1" s="1"/>
  <c r="K2913" i="1"/>
  <c r="M2913" i="1" s="1"/>
  <c r="O2913" i="1" s="1"/>
  <c r="K2912" i="1"/>
  <c r="M2912" i="1" s="1"/>
  <c r="O2912" i="1" s="1"/>
  <c r="K2911" i="1"/>
  <c r="M2911" i="1" s="1"/>
  <c r="O2911" i="1" s="1"/>
  <c r="K2910" i="1"/>
  <c r="M2910" i="1" s="1"/>
  <c r="O2910" i="1" s="1"/>
  <c r="K2893" i="1"/>
  <c r="M2893" i="1" s="1"/>
  <c r="O2893" i="1" s="1"/>
  <c r="K2836" i="1"/>
  <c r="M2836" i="1" s="1"/>
  <c r="O2836" i="1" s="1"/>
  <c r="K2831" i="1"/>
  <c r="M2831" i="1" s="1"/>
  <c r="O2831" i="1" s="1"/>
  <c r="K2807" i="1"/>
  <c r="M2807" i="1" s="1"/>
  <c r="O2807" i="1" s="1"/>
  <c r="K2775" i="1"/>
  <c r="M2775" i="1" s="1"/>
  <c r="O2775" i="1" s="1"/>
  <c r="K2774" i="1"/>
  <c r="M2774" i="1" s="1"/>
  <c r="O2774" i="1" s="1"/>
  <c r="K2773" i="1"/>
  <c r="M2773" i="1" s="1"/>
  <c r="O2773" i="1" s="1"/>
  <c r="B2751" i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G2747" i="1"/>
  <c r="G2746" i="1"/>
  <c r="G2745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1" i="1"/>
  <c r="G2580" i="1"/>
  <c r="G2579" i="1"/>
  <c r="G2578" i="1"/>
  <c r="G2577" i="1"/>
  <c r="G2576" i="1"/>
  <c r="G2575" i="1"/>
  <c r="G2574" i="1"/>
  <c r="B2951" i="1" l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G3142" i="1"/>
  <c r="K3142" i="1" s="1"/>
  <c r="M3142" i="1" s="1"/>
  <c r="K2870" i="1"/>
  <c r="M2870" i="1" s="1"/>
  <c r="O2870" i="1" s="1"/>
  <c r="K2787" i="1"/>
  <c r="M2787" i="1" s="1"/>
  <c r="O2787" i="1" s="1"/>
  <c r="K2885" i="1"/>
  <c r="M2885" i="1" s="1"/>
  <c r="O2885" i="1" s="1"/>
  <c r="K2803" i="1"/>
  <c r="M2803" i="1" s="1"/>
  <c r="O2803" i="1" s="1"/>
  <c r="K2759" i="1"/>
  <c r="M2759" i="1" s="1"/>
  <c r="O2759" i="1" s="1"/>
  <c r="K2890" i="1"/>
  <c r="M2890" i="1" s="1"/>
  <c r="O2890" i="1" s="1"/>
  <c r="K2780" i="1"/>
  <c r="M2780" i="1" s="1"/>
  <c r="O2780" i="1" s="1"/>
  <c r="K2843" i="1"/>
  <c r="M2843" i="1" s="1"/>
  <c r="O2843" i="1" s="1"/>
  <c r="K2758" i="1"/>
  <c r="M2758" i="1" s="1"/>
  <c r="O2758" i="1" s="1"/>
  <c r="K2844" i="1"/>
  <c r="M2844" i="1" s="1"/>
  <c r="O2844" i="1" s="1"/>
  <c r="K2845" i="1"/>
  <c r="M2845" i="1" s="1"/>
  <c r="O2845" i="1" s="1"/>
  <c r="K2934" i="1"/>
  <c r="M2934" i="1" s="1"/>
  <c r="O2934" i="1" s="1"/>
  <c r="K2804" i="1"/>
  <c r="M2804" i="1" s="1"/>
  <c r="O2804" i="1" s="1"/>
  <c r="K2760" i="1"/>
  <c r="M2760" i="1" s="1"/>
  <c r="O2760" i="1" s="1"/>
  <c r="K2805" i="1"/>
  <c r="M2805" i="1" s="1"/>
  <c r="O2805" i="1" s="1"/>
  <c r="K2905" i="1"/>
  <c r="M2905" i="1" s="1"/>
  <c r="O2905" i="1" s="1"/>
  <c r="G2573" i="1"/>
  <c r="K2573" i="1" s="1"/>
  <c r="M2573" i="1" s="1"/>
  <c r="O2573" i="1" s="1"/>
  <c r="G2572" i="1"/>
  <c r="G2571" i="1"/>
  <c r="G2570" i="1"/>
  <c r="K2570" i="1" s="1"/>
  <c r="M2570" i="1" s="1"/>
  <c r="O2570" i="1" s="1"/>
  <c r="G2569" i="1"/>
  <c r="K2569" i="1" s="1"/>
  <c r="M2569" i="1" s="1"/>
  <c r="O2569" i="1" s="1"/>
  <c r="G2568" i="1"/>
  <c r="K2568" i="1" s="1"/>
  <c r="M2568" i="1" s="1"/>
  <c r="O2568" i="1" s="1"/>
  <c r="G2567" i="1"/>
  <c r="K2567" i="1" s="1"/>
  <c r="M2567" i="1" s="1"/>
  <c r="O2567" i="1" s="1"/>
  <c r="G2566" i="1"/>
  <c r="K2566" i="1" s="1"/>
  <c r="M2566" i="1" s="1"/>
  <c r="O2566" i="1" s="1"/>
  <c r="G2565" i="1"/>
  <c r="G2564" i="1"/>
  <c r="K2564" i="1" s="1"/>
  <c r="M2564" i="1" s="1"/>
  <c r="O2564" i="1" s="1"/>
  <c r="G2563" i="1"/>
  <c r="G2562" i="1"/>
  <c r="G2561" i="1"/>
  <c r="G2560" i="1"/>
  <c r="G2559" i="1"/>
  <c r="K2559" i="1" s="1"/>
  <c r="M2559" i="1" s="1"/>
  <c r="O2559" i="1" s="1"/>
  <c r="N2748" i="1"/>
  <c r="K2747" i="1"/>
  <c r="M2747" i="1" s="1"/>
  <c r="O2747" i="1" s="1"/>
  <c r="K2746" i="1"/>
  <c r="M2746" i="1" s="1"/>
  <c r="O2746" i="1" s="1"/>
  <c r="K2745" i="1"/>
  <c r="M2745" i="1" s="1"/>
  <c r="O2745" i="1" s="1"/>
  <c r="K2744" i="1"/>
  <c r="M2744" i="1" s="1"/>
  <c r="O2744" i="1" s="1"/>
  <c r="K2743" i="1"/>
  <c r="M2743" i="1" s="1"/>
  <c r="O2743" i="1" s="1"/>
  <c r="K2742" i="1"/>
  <c r="M2742" i="1" s="1"/>
  <c r="O2742" i="1" s="1"/>
  <c r="K2741" i="1"/>
  <c r="M2741" i="1" s="1"/>
  <c r="O2741" i="1" s="1"/>
  <c r="K2740" i="1"/>
  <c r="M2740" i="1" s="1"/>
  <c r="O2740" i="1" s="1"/>
  <c r="K2739" i="1"/>
  <c r="M2739" i="1" s="1"/>
  <c r="O2739" i="1" s="1"/>
  <c r="K2738" i="1"/>
  <c r="M2738" i="1" s="1"/>
  <c r="O2738" i="1" s="1"/>
  <c r="K2737" i="1"/>
  <c r="M2737" i="1" s="1"/>
  <c r="O2737" i="1" s="1"/>
  <c r="K2736" i="1"/>
  <c r="M2736" i="1" s="1"/>
  <c r="O2736" i="1" s="1"/>
  <c r="K2735" i="1"/>
  <c r="M2735" i="1" s="1"/>
  <c r="O2735" i="1" s="1"/>
  <c r="K2734" i="1"/>
  <c r="M2734" i="1" s="1"/>
  <c r="O2734" i="1" s="1"/>
  <c r="K2733" i="1"/>
  <c r="M2733" i="1" s="1"/>
  <c r="O2733" i="1" s="1"/>
  <c r="K2732" i="1"/>
  <c r="M2732" i="1" s="1"/>
  <c r="O2732" i="1" s="1"/>
  <c r="K2731" i="1"/>
  <c r="M2731" i="1" s="1"/>
  <c r="O2731" i="1" s="1"/>
  <c r="K2730" i="1"/>
  <c r="M2730" i="1" s="1"/>
  <c r="O2730" i="1" s="1"/>
  <c r="K2729" i="1"/>
  <c r="M2729" i="1" s="1"/>
  <c r="O2729" i="1" s="1"/>
  <c r="K2728" i="1"/>
  <c r="M2728" i="1" s="1"/>
  <c r="O2728" i="1" s="1"/>
  <c r="K2727" i="1"/>
  <c r="M2727" i="1" s="1"/>
  <c r="O2727" i="1" s="1"/>
  <c r="K2726" i="1"/>
  <c r="M2726" i="1" s="1"/>
  <c r="O2726" i="1" s="1"/>
  <c r="K2725" i="1"/>
  <c r="M2725" i="1" s="1"/>
  <c r="O2725" i="1" s="1"/>
  <c r="K2724" i="1"/>
  <c r="M2724" i="1" s="1"/>
  <c r="O2724" i="1" s="1"/>
  <c r="K2723" i="1"/>
  <c r="M2723" i="1" s="1"/>
  <c r="O2723" i="1" s="1"/>
  <c r="K2722" i="1"/>
  <c r="M2722" i="1" s="1"/>
  <c r="O2722" i="1" s="1"/>
  <c r="K2721" i="1"/>
  <c r="M2721" i="1" s="1"/>
  <c r="O2721" i="1" s="1"/>
  <c r="K2720" i="1"/>
  <c r="M2720" i="1" s="1"/>
  <c r="O2720" i="1" s="1"/>
  <c r="K2719" i="1"/>
  <c r="M2719" i="1" s="1"/>
  <c r="O2719" i="1" s="1"/>
  <c r="K2718" i="1"/>
  <c r="M2718" i="1" s="1"/>
  <c r="O2718" i="1" s="1"/>
  <c r="K2717" i="1"/>
  <c r="M2717" i="1" s="1"/>
  <c r="O2717" i="1" s="1"/>
  <c r="K2716" i="1"/>
  <c r="M2716" i="1" s="1"/>
  <c r="O2716" i="1" s="1"/>
  <c r="K2715" i="1"/>
  <c r="M2715" i="1" s="1"/>
  <c r="O2715" i="1" s="1"/>
  <c r="K2714" i="1"/>
  <c r="M2714" i="1" s="1"/>
  <c r="O2714" i="1" s="1"/>
  <c r="K2713" i="1"/>
  <c r="M2713" i="1" s="1"/>
  <c r="O2713" i="1" s="1"/>
  <c r="K2712" i="1"/>
  <c r="M2712" i="1" s="1"/>
  <c r="O2712" i="1" s="1"/>
  <c r="K2711" i="1"/>
  <c r="M2711" i="1" s="1"/>
  <c r="O2711" i="1" s="1"/>
  <c r="K2710" i="1"/>
  <c r="M2710" i="1" s="1"/>
  <c r="O2710" i="1" s="1"/>
  <c r="K2709" i="1"/>
  <c r="M2709" i="1" s="1"/>
  <c r="O2709" i="1" s="1"/>
  <c r="K2708" i="1"/>
  <c r="M2708" i="1" s="1"/>
  <c r="O2708" i="1" s="1"/>
  <c r="K2707" i="1"/>
  <c r="M2707" i="1" s="1"/>
  <c r="O2707" i="1" s="1"/>
  <c r="K2706" i="1"/>
  <c r="M2706" i="1" s="1"/>
  <c r="O2706" i="1" s="1"/>
  <c r="K2705" i="1"/>
  <c r="M2705" i="1" s="1"/>
  <c r="O2705" i="1" s="1"/>
  <c r="K2704" i="1"/>
  <c r="M2704" i="1" s="1"/>
  <c r="O2704" i="1" s="1"/>
  <c r="K2703" i="1"/>
  <c r="M2703" i="1" s="1"/>
  <c r="O2703" i="1" s="1"/>
  <c r="K2702" i="1"/>
  <c r="M2702" i="1" s="1"/>
  <c r="O2702" i="1" s="1"/>
  <c r="K2701" i="1"/>
  <c r="M2701" i="1" s="1"/>
  <c r="O2701" i="1" s="1"/>
  <c r="K2700" i="1"/>
  <c r="M2700" i="1" s="1"/>
  <c r="O2700" i="1" s="1"/>
  <c r="K2699" i="1"/>
  <c r="M2699" i="1" s="1"/>
  <c r="O2699" i="1" s="1"/>
  <c r="K2698" i="1"/>
  <c r="M2698" i="1" s="1"/>
  <c r="O2698" i="1" s="1"/>
  <c r="K2697" i="1"/>
  <c r="M2697" i="1" s="1"/>
  <c r="O2697" i="1" s="1"/>
  <c r="K2696" i="1"/>
  <c r="M2696" i="1" s="1"/>
  <c r="O2696" i="1" s="1"/>
  <c r="K2695" i="1"/>
  <c r="M2695" i="1" s="1"/>
  <c r="O2695" i="1" s="1"/>
  <c r="K2694" i="1"/>
  <c r="M2694" i="1" s="1"/>
  <c r="O2694" i="1" s="1"/>
  <c r="K2693" i="1"/>
  <c r="M2693" i="1" s="1"/>
  <c r="O2693" i="1" s="1"/>
  <c r="K2692" i="1"/>
  <c r="M2692" i="1" s="1"/>
  <c r="O2692" i="1" s="1"/>
  <c r="K2691" i="1"/>
  <c r="M2691" i="1" s="1"/>
  <c r="O2691" i="1" s="1"/>
  <c r="K2690" i="1"/>
  <c r="M2690" i="1" s="1"/>
  <c r="O2690" i="1" s="1"/>
  <c r="K2689" i="1"/>
  <c r="M2689" i="1" s="1"/>
  <c r="O2689" i="1" s="1"/>
  <c r="K2688" i="1"/>
  <c r="M2688" i="1" s="1"/>
  <c r="O2688" i="1" s="1"/>
  <c r="K2687" i="1"/>
  <c r="M2687" i="1" s="1"/>
  <c r="O2687" i="1" s="1"/>
  <c r="K2686" i="1"/>
  <c r="M2686" i="1" s="1"/>
  <c r="O2686" i="1" s="1"/>
  <c r="K2685" i="1"/>
  <c r="M2685" i="1" s="1"/>
  <c r="O2685" i="1" s="1"/>
  <c r="K2684" i="1"/>
  <c r="M2684" i="1" s="1"/>
  <c r="O2684" i="1" s="1"/>
  <c r="K2683" i="1"/>
  <c r="M2683" i="1" s="1"/>
  <c r="O2683" i="1" s="1"/>
  <c r="K2682" i="1"/>
  <c r="M2682" i="1" s="1"/>
  <c r="O2682" i="1" s="1"/>
  <c r="K2681" i="1"/>
  <c r="M2681" i="1" s="1"/>
  <c r="O2681" i="1" s="1"/>
  <c r="K2680" i="1"/>
  <c r="M2680" i="1" s="1"/>
  <c r="O2680" i="1" s="1"/>
  <c r="K2679" i="1"/>
  <c r="M2679" i="1" s="1"/>
  <c r="O2679" i="1" s="1"/>
  <c r="K2678" i="1"/>
  <c r="M2678" i="1" s="1"/>
  <c r="O2678" i="1" s="1"/>
  <c r="K2677" i="1"/>
  <c r="M2677" i="1" s="1"/>
  <c r="O2677" i="1" s="1"/>
  <c r="K2676" i="1"/>
  <c r="M2676" i="1" s="1"/>
  <c r="O2676" i="1" s="1"/>
  <c r="K2675" i="1"/>
  <c r="M2675" i="1" s="1"/>
  <c r="O2675" i="1" s="1"/>
  <c r="K2674" i="1"/>
  <c r="M2674" i="1" s="1"/>
  <c r="O2674" i="1" s="1"/>
  <c r="K2673" i="1"/>
  <c r="M2673" i="1" s="1"/>
  <c r="O2673" i="1" s="1"/>
  <c r="K2672" i="1"/>
  <c r="M2672" i="1" s="1"/>
  <c r="O2672" i="1" s="1"/>
  <c r="K2671" i="1"/>
  <c r="M2671" i="1" s="1"/>
  <c r="O2671" i="1" s="1"/>
  <c r="K2670" i="1"/>
  <c r="M2670" i="1" s="1"/>
  <c r="O2670" i="1" s="1"/>
  <c r="K2669" i="1"/>
  <c r="M2669" i="1" s="1"/>
  <c r="O2669" i="1" s="1"/>
  <c r="K2668" i="1"/>
  <c r="M2668" i="1" s="1"/>
  <c r="O2668" i="1" s="1"/>
  <c r="K2667" i="1"/>
  <c r="M2667" i="1" s="1"/>
  <c r="O2667" i="1" s="1"/>
  <c r="K2666" i="1"/>
  <c r="M2666" i="1" s="1"/>
  <c r="O2666" i="1" s="1"/>
  <c r="K2665" i="1"/>
  <c r="M2665" i="1" s="1"/>
  <c r="O2665" i="1" s="1"/>
  <c r="K2664" i="1"/>
  <c r="M2664" i="1" s="1"/>
  <c r="O2664" i="1" s="1"/>
  <c r="K2663" i="1"/>
  <c r="M2663" i="1" s="1"/>
  <c r="O2663" i="1" s="1"/>
  <c r="K2662" i="1"/>
  <c r="M2662" i="1" s="1"/>
  <c r="O2662" i="1" s="1"/>
  <c r="K2661" i="1"/>
  <c r="M2661" i="1" s="1"/>
  <c r="O2661" i="1" s="1"/>
  <c r="K2660" i="1"/>
  <c r="M2660" i="1" s="1"/>
  <c r="O2660" i="1" s="1"/>
  <c r="K2659" i="1"/>
  <c r="M2659" i="1" s="1"/>
  <c r="O2659" i="1" s="1"/>
  <c r="K2658" i="1"/>
  <c r="M2658" i="1" s="1"/>
  <c r="O2658" i="1" s="1"/>
  <c r="K2657" i="1"/>
  <c r="M2657" i="1" s="1"/>
  <c r="O2657" i="1" s="1"/>
  <c r="K2656" i="1"/>
  <c r="M2656" i="1" s="1"/>
  <c r="O2656" i="1" s="1"/>
  <c r="K2655" i="1"/>
  <c r="M2655" i="1" s="1"/>
  <c r="O2655" i="1" s="1"/>
  <c r="K2654" i="1"/>
  <c r="M2654" i="1" s="1"/>
  <c r="O2654" i="1" s="1"/>
  <c r="K2653" i="1"/>
  <c r="M2653" i="1" s="1"/>
  <c r="O2653" i="1" s="1"/>
  <c r="K2652" i="1"/>
  <c r="M2652" i="1" s="1"/>
  <c r="O2652" i="1" s="1"/>
  <c r="K2651" i="1"/>
  <c r="M2651" i="1" s="1"/>
  <c r="O2651" i="1" s="1"/>
  <c r="K2650" i="1"/>
  <c r="M2650" i="1" s="1"/>
  <c r="O2650" i="1" s="1"/>
  <c r="K2649" i="1"/>
  <c r="M2649" i="1" s="1"/>
  <c r="O2649" i="1" s="1"/>
  <c r="K2648" i="1"/>
  <c r="M2648" i="1" s="1"/>
  <c r="O2648" i="1" s="1"/>
  <c r="K2647" i="1"/>
  <c r="M2647" i="1" s="1"/>
  <c r="O2647" i="1" s="1"/>
  <c r="K2646" i="1"/>
  <c r="M2646" i="1" s="1"/>
  <c r="O2646" i="1" s="1"/>
  <c r="K2645" i="1"/>
  <c r="M2645" i="1" s="1"/>
  <c r="O2645" i="1" s="1"/>
  <c r="K2644" i="1"/>
  <c r="M2644" i="1" s="1"/>
  <c r="O2644" i="1" s="1"/>
  <c r="K2643" i="1"/>
  <c r="M2643" i="1" s="1"/>
  <c r="O2643" i="1" s="1"/>
  <c r="K2642" i="1"/>
  <c r="M2642" i="1" s="1"/>
  <c r="O2642" i="1" s="1"/>
  <c r="K2641" i="1"/>
  <c r="M2641" i="1" s="1"/>
  <c r="O2641" i="1" s="1"/>
  <c r="K2640" i="1"/>
  <c r="M2640" i="1" s="1"/>
  <c r="O2640" i="1" s="1"/>
  <c r="K2639" i="1"/>
  <c r="M2639" i="1" s="1"/>
  <c r="O2639" i="1" s="1"/>
  <c r="K2638" i="1"/>
  <c r="M2638" i="1" s="1"/>
  <c r="O2638" i="1" s="1"/>
  <c r="K2637" i="1"/>
  <c r="M2637" i="1" s="1"/>
  <c r="O2637" i="1" s="1"/>
  <c r="K2636" i="1"/>
  <c r="M2636" i="1" s="1"/>
  <c r="O2636" i="1" s="1"/>
  <c r="K2635" i="1"/>
  <c r="M2635" i="1" s="1"/>
  <c r="O2635" i="1" s="1"/>
  <c r="K2634" i="1"/>
  <c r="M2634" i="1" s="1"/>
  <c r="O2634" i="1" s="1"/>
  <c r="K2633" i="1"/>
  <c r="M2633" i="1" s="1"/>
  <c r="O2633" i="1" s="1"/>
  <c r="K2632" i="1"/>
  <c r="M2632" i="1" s="1"/>
  <c r="O2632" i="1" s="1"/>
  <c r="K2631" i="1"/>
  <c r="M2631" i="1" s="1"/>
  <c r="O2631" i="1" s="1"/>
  <c r="K2630" i="1"/>
  <c r="M2630" i="1" s="1"/>
  <c r="O2630" i="1" s="1"/>
  <c r="K2629" i="1"/>
  <c r="M2629" i="1" s="1"/>
  <c r="O2629" i="1" s="1"/>
  <c r="K2628" i="1"/>
  <c r="M2628" i="1" s="1"/>
  <c r="O2628" i="1" s="1"/>
  <c r="K2627" i="1"/>
  <c r="M2627" i="1" s="1"/>
  <c r="O2627" i="1" s="1"/>
  <c r="K2626" i="1"/>
  <c r="M2626" i="1" s="1"/>
  <c r="O2626" i="1" s="1"/>
  <c r="K2625" i="1"/>
  <c r="M2625" i="1" s="1"/>
  <c r="O2625" i="1" s="1"/>
  <c r="K2624" i="1"/>
  <c r="M2624" i="1" s="1"/>
  <c r="O2624" i="1" s="1"/>
  <c r="K2623" i="1"/>
  <c r="M2623" i="1" s="1"/>
  <c r="O2623" i="1" s="1"/>
  <c r="K2622" i="1"/>
  <c r="M2622" i="1" s="1"/>
  <c r="O2622" i="1" s="1"/>
  <c r="K2621" i="1"/>
  <c r="M2621" i="1" s="1"/>
  <c r="O2621" i="1" s="1"/>
  <c r="K2620" i="1"/>
  <c r="M2620" i="1" s="1"/>
  <c r="O2620" i="1" s="1"/>
  <c r="K2619" i="1"/>
  <c r="M2619" i="1" s="1"/>
  <c r="O2619" i="1" s="1"/>
  <c r="K2618" i="1"/>
  <c r="M2618" i="1" s="1"/>
  <c r="O2618" i="1" s="1"/>
  <c r="K2617" i="1"/>
  <c r="M2617" i="1" s="1"/>
  <c r="O2617" i="1" s="1"/>
  <c r="K2616" i="1"/>
  <c r="M2616" i="1" s="1"/>
  <c r="O2616" i="1" s="1"/>
  <c r="K2615" i="1"/>
  <c r="M2615" i="1" s="1"/>
  <c r="O2615" i="1" s="1"/>
  <c r="K2614" i="1"/>
  <c r="M2614" i="1" s="1"/>
  <c r="O2614" i="1" s="1"/>
  <c r="K2613" i="1"/>
  <c r="M2613" i="1" s="1"/>
  <c r="O2613" i="1" s="1"/>
  <c r="K2612" i="1"/>
  <c r="M2612" i="1" s="1"/>
  <c r="O2612" i="1" s="1"/>
  <c r="K2611" i="1"/>
  <c r="M2611" i="1" s="1"/>
  <c r="O2611" i="1" s="1"/>
  <c r="K2610" i="1"/>
  <c r="M2610" i="1" s="1"/>
  <c r="O2610" i="1" s="1"/>
  <c r="K2609" i="1"/>
  <c r="M2609" i="1" s="1"/>
  <c r="O2609" i="1" s="1"/>
  <c r="K2608" i="1"/>
  <c r="M2608" i="1" s="1"/>
  <c r="O2608" i="1" s="1"/>
  <c r="K2607" i="1"/>
  <c r="M2607" i="1" s="1"/>
  <c r="O2607" i="1" s="1"/>
  <c r="K2606" i="1"/>
  <c r="M2606" i="1" s="1"/>
  <c r="O2606" i="1" s="1"/>
  <c r="K2605" i="1"/>
  <c r="M2605" i="1" s="1"/>
  <c r="O2605" i="1" s="1"/>
  <c r="K2604" i="1"/>
  <c r="M2604" i="1" s="1"/>
  <c r="O2604" i="1" s="1"/>
  <c r="K2603" i="1"/>
  <c r="M2603" i="1" s="1"/>
  <c r="O2603" i="1" s="1"/>
  <c r="K2602" i="1"/>
  <c r="M2602" i="1" s="1"/>
  <c r="O2602" i="1" s="1"/>
  <c r="K2601" i="1"/>
  <c r="M2601" i="1" s="1"/>
  <c r="O2601" i="1" s="1"/>
  <c r="K2600" i="1"/>
  <c r="M2600" i="1" s="1"/>
  <c r="O2600" i="1" s="1"/>
  <c r="K2599" i="1"/>
  <c r="M2599" i="1" s="1"/>
  <c r="O2599" i="1" s="1"/>
  <c r="K2598" i="1"/>
  <c r="M2598" i="1" s="1"/>
  <c r="O2598" i="1" s="1"/>
  <c r="K2597" i="1"/>
  <c r="M2597" i="1" s="1"/>
  <c r="O2597" i="1" s="1"/>
  <c r="K2596" i="1"/>
  <c r="M2596" i="1" s="1"/>
  <c r="O2596" i="1" s="1"/>
  <c r="K2595" i="1"/>
  <c r="M2595" i="1" s="1"/>
  <c r="O2595" i="1" s="1"/>
  <c r="K2594" i="1"/>
  <c r="M2594" i="1" s="1"/>
  <c r="O2594" i="1" s="1"/>
  <c r="K2593" i="1"/>
  <c r="M2593" i="1" s="1"/>
  <c r="O2593" i="1" s="1"/>
  <c r="K2592" i="1"/>
  <c r="M2592" i="1" s="1"/>
  <c r="O2592" i="1" s="1"/>
  <c r="K2591" i="1"/>
  <c r="M2591" i="1" s="1"/>
  <c r="O2591" i="1" s="1"/>
  <c r="K2590" i="1"/>
  <c r="M2590" i="1" s="1"/>
  <c r="O2590" i="1" s="1"/>
  <c r="K2589" i="1"/>
  <c r="M2589" i="1" s="1"/>
  <c r="O2589" i="1" s="1"/>
  <c r="K2588" i="1"/>
  <c r="M2588" i="1" s="1"/>
  <c r="O2588" i="1" s="1"/>
  <c r="K2587" i="1"/>
  <c r="M2587" i="1" s="1"/>
  <c r="O2587" i="1" s="1"/>
  <c r="K2586" i="1"/>
  <c r="M2586" i="1" s="1"/>
  <c r="O2586" i="1" s="1"/>
  <c r="K2585" i="1"/>
  <c r="M2585" i="1" s="1"/>
  <c r="O2585" i="1" s="1"/>
  <c r="K2584" i="1"/>
  <c r="M2584" i="1" s="1"/>
  <c r="O2584" i="1" s="1"/>
  <c r="K2583" i="1"/>
  <c r="M2583" i="1" s="1"/>
  <c r="O2583" i="1" s="1"/>
  <c r="K2582" i="1"/>
  <c r="M2582" i="1" s="1"/>
  <c r="O2582" i="1" s="1"/>
  <c r="K2581" i="1"/>
  <c r="M2581" i="1" s="1"/>
  <c r="O2581" i="1" s="1"/>
  <c r="K2580" i="1"/>
  <c r="M2580" i="1" s="1"/>
  <c r="O2580" i="1" s="1"/>
  <c r="K2579" i="1"/>
  <c r="M2579" i="1" s="1"/>
  <c r="O2579" i="1" s="1"/>
  <c r="K2578" i="1"/>
  <c r="M2578" i="1" s="1"/>
  <c r="O2578" i="1" s="1"/>
  <c r="K2577" i="1"/>
  <c r="M2577" i="1" s="1"/>
  <c r="O2577" i="1" s="1"/>
  <c r="K2576" i="1"/>
  <c r="M2576" i="1" s="1"/>
  <c r="O2576" i="1" s="1"/>
  <c r="K2575" i="1"/>
  <c r="M2575" i="1" s="1"/>
  <c r="O2575" i="1" s="1"/>
  <c r="K2574" i="1"/>
  <c r="M2574" i="1" s="1"/>
  <c r="O2574" i="1" s="1"/>
  <c r="B2560" i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G2556" i="1"/>
  <c r="K2556" i="1" s="1"/>
  <c r="M2556" i="1" s="1"/>
  <c r="O2556" i="1" s="1"/>
  <c r="G2555" i="1"/>
  <c r="K2555" i="1" s="1"/>
  <c r="M2555" i="1" s="1"/>
  <c r="O2555" i="1" s="1"/>
  <c r="G2554" i="1"/>
  <c r="K2554" i="1" s="1"/>
  <c r="M2554" i="1" s="1"/>
  <c r="O2554" i="1" s="1"/>
  <c r="G2553" i="1"/>
  <c r="G2552" i="1"/>
  <c r="K2552" i="1" s="1"/>
  <c r="M2552" i="1" s="1"/>
  <c r="O2552" i="1" s="1"/>
  <c r="G2551" i="1"/>
  <c r="K2551" i="1" s="1"/>
  <c r="M2551" i="1" s="1"/>
  <c r="O2551" i="1" s="1"/>
  <c r="G2550" i="1"/>
  <c r="K2550" i="1" s="1"/>
  <c r="M2550" i="1" s="1"/>
  <c r="O2550" i="1" s="1"/>
  <c r="G2549" i="1"/>
  <c r="K2549" i="1" s="1"/>
  <c r="M2549" i="1" s="1"/>
  <c r="O2549" i="1" s="1"/>
  <c r="G2548" i="1"/>
  <c r="K2548" i="1" s="1"/>
  <c r="M2548" i="1" s="1"/>
  <c r="O2548" i="1" s="1"/>
  <c r="G2547" i="1"/>
  <c r="G3108" i="1" s="1"/>
  <c r="K3108" i="1" s="1"/>
  <c r="M3108" i="1" s="1"/>
  <c r="O3108" i="1" s="1"/>
  <c r="G2546" i="1"/>
  <c r="G3107" i="1" s="1"/>
  <c r="K3107" i="1" s="1"/>
  <c r="M3107" i="1" s="1"/>
  <c r="O3107" i="1" s="1"/>
  <c r="G2545" i="1"/>
  <c r="G3106" i="1" s="1"/>
  <c r="M3106" i="1" s="1"/>
  <c r="O3106" i="1" s="1"/>
  <c r="G2544" i="1"/>
  <c r="G3105" i="1" s="1"/>
  <c r="K3105" i="1" s="1"/>
  <c r="M3105" i="1" s="1"/>
  <c r="O3105" i="1" s="1"/>
  <c r="G2543" i="1"/>
  <c r="G3104" i="1" s="1"/>
  <c r="M3104" i="1" s="1"/>
  <c r="O3104" i="1" s="1"/>
  <c r="G2542" i="1"/>
  <c r="G3103" i="1" s="1"/>
  <c r="K3103" i="1" s="1"/>
  <c r="M3103" i="1" s="1"/>
  <c r="O3103" i="1" s="1"/>
  <c r="G2541" i="1"/>
  <c r="G3102" i="1" s="1"/>
  <c r="K3102" i="1" s="1"/>
  <c r="M3102" i="1" s="1"/>
  <c r="O3102" i="1" s="1"/>
  <c r="G2540" i="1"/>
  <c r="K2540" i="1" s="1"/>
  <c r="M2540" i="1" s="1"/>
  <c r="O2540" i="1" s="1"/>
  <c r="G2539" i="1"/>
  <c r="G2538" i="1"/>
  <c r="K2538" i="1" s="1"/>
  <c r="M2538" i="1" s="1"/>
  <c r="O2538" i="1" s="1"/>
  <c r="G2537" i="1"/>
  <c r="K2537" i="1" s="1"/>
  <c r="M2537" i="1" s="1"/>
  <c r="O2537" i="1" s="1"/>
  <c r="G2536" i="1"/>
  <c r="G3097" i="1" s="1"/>
  <c r="K3097" i="1" s="1"/>
  <c r="M3097" i="1" s="1"/>
  <c r="O3097" i="1" s="1"/>
  <c r="G2535" i="1"/>
  <c r="K2535" i="1" s="1"/>
  <c r="M2535" i="1" s="1"/>
  <c r="O2535" i="1" s="1"/>
  <c r="G2534" i="1"/>
  <c r="K2534" i="1" s="1"/>
  <c r="M2534" i="1" s="1"/>
  <c r="O2534" i="1" s="1"/>
  <c r="G2533" i="1"/>
  <c r="G2532" i="1"/>
  <c r="G2531" i="1"/>
  <c r="G2530" i="1"/>
  <c r="G2529" i="1"/>
  <c r="G2528" i="1"/>
  <c r="G2527" i="1"/>
  <c r="G3088" i="1" s="1"/>
  <c r="K3088" i="1" s="1"/>
  <c r="M3088" i="1" s="1"/>
  <c r="O3088" i="1" s="1"/>
  <c r="G2526" i="1"/>
  <c r="K2526" i="1" s="1"/>
  <c r="M2526" i="1" s="1"/>
  <c r="O2526" i="1" s="1"/>
  <c r="G2525" i="1"/>
  <c r="K2525" i="1" s="1"/>
  <c r="M2525" i="1" s="1"/>
  <c r="O2525" i="1" s="1"/>
  <c r="G2524" i="1"/>
  <c r="K2524" i="1" s="1"/>
  <c r="M2524" i="1" s="1"/>
  <c r="O2524" i="1" s="1"/>
  <c r="G2523" i="1"/>
  <c r="K2523" i="1" s="1"/>
  <c r="M2523" i="1" s="1"/>
  <c r="O2523" i="1" s="1"/>
  <c r="G2522" i="1"/>
  <c r="K2522" i="1" s="1"/>
  <c r="M2522" i="1" s="1"/>
  <c r="O2522" i="1" s="1"/>
  <c r="G2521" i="1"/>
  <c r="K2521" i="1" s="1"/>
  <c r="M2521" i="1" s="1"/>
  <c r="O2521" i="1" s="1"/>
  <c r="G2520" i="1"/>
  <c r="G2519" i="1"/>
  <c r="G2518" i="1"/>
  <c r="K2518" i="1" s="1"/>
  <c r="M2518" i="1" s="1"/>
  <c r="O2518" i="1" s="1"/>
  <c r="G2517" i="1"/>
  <c r="K2517" i="1" s="1"/>
  <c r="M2517" i="1" s="1"/>
  <c r="O2517" i="1" s="1"/>
  <c r="G2516" i="1"/>
  <c r="K2516" i="1" s="1"/>
  <c r="M2516" i="1" s="1"/>
  <c r="O2516" i="1" s="1"/>
  <c r="G2515" i="1"/>
  <c r="G2514" i="1"/>
  <c r="K2514" i="1" s="1"/>
  <c r="M2514" i="1" s="1"/>
  <c r="O2514" i="1" s="1"/>
  <c r="G2513" i="1"/>
  <c r="K2513" i="1" s="1"/>
  <c r="M2513" i="1" s="1"/>
  <c r="O2513" i="1" s="1"/>
  <c r="G2512" i="1"/>
  <c r="K2512" i="1" s="1"/>
  <c r="M2512" i="1" s="1"/>
  <c r="O2512" i="1" s="1"/>
  <c r="G2511" i="1"/>
  <c r="G3073" i="1" s="1"/>
  <c r="K3073" i="1" s="1"/>
  <c r="M3073" i="1" s="1"/>
  <c r="O3073" i="1" s="1"/>
  <c r="G2510" i="1"/>
  <c r="K2510" i="1" s="1"/>
  <c r="M2510" i="1" s="1"/>
  <c r="O2510" i="1" s="1"/>
  <c r="G2509" i="1"/>
  <c r="K2509" i="1" s="1"/>
  <c r="M2509" i="1" s="1"/>
  <c r="O2509" i="1" s="1"/>
  <c r="G2508" i="1"/>
  <c r="K2508" i="1" s="1"/>
  <c r="M2508" i="1" s="1"/>
  <c r="O2508" i="1" s="1"/>
  <c r="G2507" i="1"/>
  <c r="G3119" i="1" s="1"/>
  <c r="K3119" i="1" s="1"/>
  <c r="M3119" i="1" s="1"/>
  <c r="O3119" i="1" s="1"/>
  <c r="G2506" i="1"/>
  <c r="G3069" i="1" s="1"/>
  <c r="K3069" i="1" s="1"/>
  <c r="M3069" i="1" s="1"/>
  <c r="O3069" i="1" s="1"/>
  <c r="G2505" i="1"/>
  <c r="G3122" i="1" s="1"/>
  <c r="K3122" i="1" s="1"/>
  <c r="M3122" i="1" s="1"/>
  <c r="O3122" i="1" s="1"/>
  <c r="G2504" i="1"/>
  <c r="G3068" i="1" s="1"/>
  <c r="K3068" i="1" s="1"/>
  <c r="M3068" i="1" s="1"/>
  <c r="O3068" i="1" s="1"/>
  <c r="G2503" i="1"/>
  <c r="K2503" i="1" s="1"/>
  <c r="M2503" i="1" s="1"/>
  <c r="O2503" i="1" s="1"/>
  <c r="G2502" i="1"/>
  <c r="G3067" i="1" s="1"/>
  <c r="K3067" i="1" s="1"/>
  <c r="M3067" i="1" s="1"/>
  <c r="O3067" i="1" s="1"/>
  <c r="G2501" i="1"/>
  <c r="K2501" i="1" s="1"/>
  <c r="M2501" i="1" s="1"/>
  <c r="O2501" i="1" s="1"/>
  <c r="G2500" i="1"/>
  <c r="G2499" i="1"/>
  <c r="G3064" i="1" s="1"/>
  <c r="K3064" i="1" s="1"/>
  <c r="M3064" i="1" s="1"/>
  <c r="O3064" i="1" s="1"/>
  <c r="G2498" i="1"/>
  <c r="K2498" i="1" s="1"/>
  <c r="M2498" i="1" s="1"/>
  <c r="O2498" i="1" s="1"/>
  <c r="G2497" i="1"/>
  <c r="K2497" i="1" s="1"/>
  <c r="M2497" i="1" s="1"/>
  <c r="O2497" i="1" s="1"/>
  <c r="G2496" i="1"/>
  <c r="K2496" i="1" s="1"/>
  <c r="M2496" i="1" s="1"/>
  <c r="O2496" i="1" s="1"/>
  <c r="G2495" i="1"/>
  <c r="G2494" i="1"/>
  <c r="K2494" i="1" s="1"/>
  <c r="M2494" i="1" s="1"/>
  <c r="O2494" i="1" s="1"/>
  <c r="G2493" i="1"/>
  <c r="G3058" i="1" s="1"/>
  <c r="K3058" i="1" s="1"/>
  <c r="M3058" i="1" s="1"/>
  <c r="O3058" i="1" s="1"/>
  <c r="G2492" i="1"/>
  <c r="K2492" i="1" s="1"/>
  <c r="M2492" i="1" s="1"/>
  <c r="O2492" i="1" s="1"/>
  <c r="G2491" i="1"/>
  <c r="K2491" i="1" s="1"/>
  <c r="M2491" i="1" s="1"/>
  <c r="O2491" i="1" s="1"/>
  <c r="G2490" i="1"/>
  <c r="K2490" i="1" s="1"/>
  <c r="M2490" i="1" s="1"/>
  <c r="O2490" i="1" s="1"/>
  <c r="G2489" i="1"/>
  <c r="G3054" i="1" s="1"/>
  <c r="K3054" i="1" s="1"/>
  <c r="M3054" i="1" s="1"/>
  <c r="O3054" i="1" s="1"/>
  <c r="G2488" i="1"/>
  <c r="K2488" i="1" s="1"/>
  <c r="M2488" i="1" s="1"/>
  <c r="O2488" i="1" s="1"/>
  <c r="G2487" i="1"/>
  <c r="G3052" i="1" s="1"/>
  <c r="K3052" i="1" s="1"/>
  <c r="M3052" i="1" s="1"/>
  <c r="O3052" i="1" s="1"/>
  <c r="G2486" i="1"/>
  <c r="K2486" i="1" s="1"/>
  <c r="M2486" i="1" s="1"/>
  <c r="O2486" i="1" s="1"/>
  <c r="G2485" i="1"/>
  <c r="G2484" i="1"/>
  <c r="K2484" i="1" s="1"/>
  <c r="M2484" i="1" s="1"/>
  <c r="O2484" i="1" s="1"/>
  <c r="G2483" i="1"/>
  <c r="K2483" i="1" s="1"/>
  <c r="M2483" i="1" s="1"/>
  <c r="O2483" i="1" s="1"/>
  <c r="G2482" i="1"/>
  <c r="K2482" i="1" s="1"/>
  <c r="M2482" i="1" s="1"/>
  <c r="O2482" i="1" s="1"/>
  <c r="G2481" i="1"/>
  <c r="K2481" i="1" s="1"/>
  <c r="M2481" i="1" s="1"/>
  <c r="O2481" i="1" s="1"/>
  <c r="G2480" i="1"/>
  <c r="G2479" i="1"/>
  <c r="G2478" i="1"/>
  <c r="K2478" i="1" s="1"/>
  <c r="M2478" i="1" s="1"/>
  <c r="O2478" i="1" s="1"/>
  <c r="G2477" i="1"/>
  <c r="K2477" i="1" s="1"/>
  <c r="M2477" i="1" s="1"/>
  <c r="O2477" i="1" s="1"/>
  <c r="G2476" i="1"/>
  <c r="G3041" i="1" s="1"/>
  <c r="K3041" i="1" s="1"/>
  <c r="M3041" i="1" s="1"/>
  <c r="O3041" i="1" s="1"/>
  <c r="G2475" i="1"/>
  <c r="G3040" i="1" s="1"/>
  <c r="K3040" i="1" s="1"/>
  <c r="M3040" i="1" s="1"/>
  <c r="O3040" i="1" s="1"/>
  <c r="G2474" i="1"/>
  <c r="G3039" i="1" s="1"/>
  <c r="K3039" i="1" s="1"/>
  <c r="M3039" i="1" s="1"/>
  <c r="O3039" i="1" s="1"/>
  <c r="G2473" i="1"/>
  <c r="G3038" i="1" s="1"/>
  <c r="K3038" i="1" s="1"/>
  <c r="M3038" i="1" s="1"/>
  <c r="O3038" i="1" s="1"/>
  <c r="G2472" i="1"/>
  <c r="K2472" i="1" s="1"/>
  <c r="M2472" i="1" s="1"/>
  <c r="O2472" i="1" s="1"/>
  <c r="G2471" i="1"/>
  <c r="K2471" i="1" s="1"/>
  <c r="M2471" i="1" s="1"/>
  <c r="O2471" i="1" s="1"/>
  <c r="G2470" i="1"/>
  <c r="K2470" i="1" s="1"/>
  <c r="M2470" i="1" s="1"/>
  <c r="O2470" i="1" s="1"/>
  <c r="G2469" i="1"/>
  <c r="K2469" i="1" s="1"/>
  <c r="M2469" i="1" s="1"/>
  <c r="O2469" i="1" s="1"/>
  <c r="G2468" i="1"/>
  <c r="K2468" i="1" s="1"/>
  <c r="M2468" i="1" s="1"/>
  <c r="O2468" i="1" s="1"/>
  <c r="G2467" i="1"/>
  <c r="G3032" i="1" s="1"/>
  <c r="K3032" i="1" s="1"/>
  <c r="M3032" i="1" s="1"/>
  <c r="O3032" i="1" s="1"/>
  <c r="G2466" i="1"/>
  <c r="G3031" i="1" s="1"/>
  <c r="K3031" i="1" s="1"/>
  <c r="M3031" i="1" s="1"/>
  <c r="O3031" i="1" s="1"/>
  <c r="G2465" i="1"/>
  <c r="G2464" i="1"/>
  <c r="K2464" i="1" s="1"/>
  <c r="M2464" i="1" s="1"/>
  <c r="O2464" i="1" s="1"/>
  <c r="G2463" i="1"/>
  <c r="K2463" i="1" s="1"/>
  <c r="M2463" i="1" s="1"/>
  <c r="O2463" i="1" s="1"/>
  <c r="G2462" i="1"/>
  <c r="K2462" i="1" s="1"/>
  <c r="M2462" i="1" s="1"/>
  <c r="O2462" i="1" s="1"/>
  <c r="G2461" i="1"/>
  <c r="K2461" i="1" s="1"/>
  <c r="M2461" i="1" s="1"/>
  <c r="O2461" i="1" s="1"/>
  <c r="G2460" i="1"/>
  <c r="G2459" i="1"/>
  <c r="G2458" i="1"/>
  <c r="K2458" i="1" s="1"/>
  <c r="M2458" i="1" s="1"/>
  <c r="O2458" i="1" s="1"/>
  <c r="G2457" i="1"/>
  <c r="G2456" i="1"/>
  <c r="K2456" i="1" s="1"/>
  <c r="M2456" i="1" s="1"/>
  <c r="O2456" i="1" s="1"/>
  <c r="G2455" i="1"/>
  <c r="G2454" i="1"/>
  <c r="K2454" i="1" s="1"/>
  <c r="M2454" i="1" s="1"/>
  <c r="O2454" i="1" s="1"/>
  <c r="G2453" i="1"/>
  <c r="K2453" i="1" s="1"/>
  <c r="M2453" i="1" s="1"/>
  <c r="O2453" i="1" s="1"/>
  <c r="G2452" i="1"/>
  <c r="K2452" i="1" s="1"/>
  <c r="M2452" i="1" s="1"/>
  <c r="O2452" i="1" s="1"/>
  <c r="G2451" i="1"/>
  <c r="K2451" i="1" s="1"/>
  <c r="M2451" i="1" s="1"/>
  <c r="O2451" i="1" s="1"/>
  <c r="G2450" i="1"/>
  <c r="K2450" i="1" s="1"/>
  <c r="M2450" i="1" s="1"/>
  <c r="O2450" i="1" s="1"/>
  <c r="G2449" i="1"/>
  <c r="G2448" i="1"/>
  <c r="K2448" i="1" s="1"/>
  <c r="M2448" i="1" s="1"/>
  <c r="O2448" i="1" s="1"/>
  <c r="G2447" i="1"/>
  <c r="K2447" i="1" s="1"/>
  <c r="M2447" i="1" s="1"/>
  <c r="O2447" i="1" s="1"/>
  <c r="G2446" i="1"/>
  <c r="G3011" i="1" s="1"/>
  <c r="K3011" i="1" s="1"/>
  <c r="M3011" i="1" s="1"/>
  <c r="O3011" i="1" s="1"/>
  <c r="G2445" i="1"/>
  <c r="G2444" i="1"/>
  <c r="G2443" i="1"/>
  <c r="K2443" i="1" s="1"/>
  <c r="M2443" i="1" s="1"/>
  <c r="O2443" i="1" s="1"/>
  <c r="G2442" i="1"/>
  <c r="K2442" i="1" s="1"/>
  <c r="M2442" i="1" s="1"/>
  <c r="O2442" i="1" s="1"/>
  <c r="G2441" i="1"/>
  <c r="K2441" i="1" s="1"/>
  <c r="M2441" i="1" s="1"/>
  <c r="O2441" i="1" s="1"/>
  <c r="G2440" i="1"/>
  <c r="K2440" i="1" s="1"/>
  <c r="M2440" i="1" s="1"/>
  <c r="O2440" i="1" s="1"/>
  <c r="G2439" i="1"/>
  <c r="K2439" i="1" s="1"/>
  <c r="M2439" i="1" s="1"/>
  <c r="O2439" i="1" s="1"/>
  <c r="G2438" i="1"/>
  <c r="K2438" i="1" s="1"/>
  <c r="M2438" i="1" s="1"/>
  <c r="O2438" i="1" s="1"/>
  <c r="G2437" i="1"/>
  <c r="K2437" i="1" s="1"/>
  <c r="M2437" i="1" s="1"/>
  <c r="O2437" i="1" s="1"/>
  <c r="G2436" i="1"/>
  <c r="K2436" i="1" s="1"/>
  <c r="M2436" i="1" s="1"/>
  <c r="O2436" i="1" s="1"/>
  <c r="G2435" i="1"/>
  <c r="G2434" i="1"/>
  <c r="G2433" i="1"/>
  <c r="K2433" i="1" s="1"/>
  <c r="M2433" i="1" s="1"/>
  <c r="O2433" i="1" s="1"/>
  <c r="G2432" i="1"/>
  <c r="K2432" i="1" s="1"/>
  <c r="M2432" i="1" s="1"/>
  <c r="O2432" i="1" s="1"/>
  <c r="G2431" i="1"/>
  <c r="K2431" i="1" s="1"/>
  <c r="M2431" i="1" s="1"/>
  <c r="O2431" i="1" s="1"/>
  <c r="G2430" i="1"/>
  <c r="G2996" i="1" s="1"/>
  <c r="K2996" i="1" s="1"/>
  <c r="M2996" i="1" s="1"/>
  <c r="O2996" i="1" s="1"/>
  <c r="G2429" i="1"/>
  <c r="K2429" i="1" s="1"/>
  <c r="M2429" i="1" s="1"/>
  <c r="O2429" i="1" s="1"/>
  <c r="G2428" i="1"/>
  <c r="K2428" i="1" s="1"/>
  <c r="M2428" i="1" s="1"/>
  <c r="O2428" i="1" s="1"/>
  <c r="G2427" i="1"/>
  <c r="G3127" i="1" s="1"/>
  <c r="K3127" i="1" s="1"/>
  <c r="M3127" i="1" s="1"/>
  <c r="O3127" i="1" s="1"/>
  <c r="G2426" i="1"/>
  <c r="G2993" i="1" s="1"/>
  <c r="K2993" i="1" s="1"/>
  <c r="M2993" i="1" s="1"/>
  <c r="O2993" i="1" s="1"/>
  <c r="G2425" i="1"/>
  <c r="G2424" i="1"/>
  <c r="G2423" i="1"/>
  <c r="K2423" i="1" s="1"/>
  <c r="M2423" i="1" s="1"/>
  <c r="O2423" i="1" s="1"/>
  <c r="G2422" i="1"/>
  <c r="K2422" i="1" s="1"/>
  <c r="M2422" i="1" s="1"/>
  <c r="O2422" i="1" s="1"/>
  <c r="G2421" i="1"/>
  <c r="K2421" i="1" s="1"/>
  <c r="M2421" i="1" s="1"/>
  <c r="O2421" i="1" s="1"/>
  <c r="G2420" i="1"/>
  <c r="K2420" i="1" s="1"/>
  <c r="M2420" i="1" s="1"/>
  <c r="O2420" i="1" s="1"/>
  <c r="G2419" i="1"/>
  <c r="K2419" i="1" s="1"/>
  <c r="M2419" i="1" s="1"/>
  <c r="O2419" i="1" s="1"/>
  <c r="G2418" i="1"/>
  <c r="K2418" i="1" s="1"/>
  <c r="M2418" i="1" s="1"/>
  <c r="O2418" i="1" s="1"/>
  <c r="G2417" i="1"/>
  <c r="G2416" i="1"/>
  <c r="K2416" i="1" s="1"/>
  <c r="M2416" i="1" s="1"/>
  <c r="O2416" i="1" s="1"/>
  <c r="G2415" i="1"/>
  <c r="G2414" i="1"/>
  <c r="G2413" i="1"/>
  <c r="K2413" i="1" s="1"/>
  <c r="M2413" i="1" s="1"/>
  <c r="O2413" i="1" s="1"/>
  <c r="G2412" i="1"/>
  <c r="K2412" i="1" s="1"/>
  <c r="M2412" i="1" s="1"/>
  <c r="O2412" i="1" s="1"/>
  <c r="G2411" i="1"/>
  <c r="K2411" i="1" s="1"/>
  <c r="M2411" i="1" s="1"/>
  <c r="O2411" i="1" s="1"/>
  <c r="G2410" i="1"/>
  <c r="G2409" i="1"/>
  <c r="K2409" i="1" s="1"/>
  <c r="M2409" i="1" s="1"/>
  <c r="O2409" i="1" s="1"/>
  <c r="G2408" i="1"/>
  <c r="K2408" i="1" s="1"/>
  <c r="M2408" i="1" s="1"/>
  <c r="O2408" i="1" s="1"/>
  <c r="G2407" i="1"/>
  <c r="G2974" i="1" s="1"/>
  <c r="K2974" i="1" s="1"/>
  <c r="M2974" i="1" s="1"/>
  <c r="O2974" i="1" s="1"/>
  <c r="G2406" i="1"/>
  <c r="K2406" i="1" s="1"/>
  <c r="M2406" i="1" s="1"/>
  <c r="O2406" i="1" s="1"/>
  <c r="G2405" i="1"/>
  <c r="G2972" i="1" s="1"/>
  <c r="K2972" i="1" s="1"/>
  <c r="M2972" i="1" s="1"/>
  <c r="O2972" i="1" s="1"/>
  <c r="G2404" i="1"/>
  <c r="G2403" i="1"/>
  <c r="K2403" i="1" s="1"/>
  <c r="M2403" i="1" s="1"/>
  <c r="O2403" i="1" s="1"/>
  <c r="G2402" i="1"/>
  <c r="K2402" i="1" s="1"/>
  <c r="M2402" i="1" s="1"/>
  <c r="O2402" i="1" s="1"/>
  <c r="G2401" i="1"/>
  <c r="K2401" i="1" s="1"/>
  <c r="M2401" i="1" s="1"/>
  <c r="O2401" i="1" s="1"/>
  <c r="G2400" i="1"/>
  <c r="K2400" i="1" s="1"/>
  <c r="M2400" i="1" s="1"/>
  <c r="O2400" i="1" s="1"/>
  <c r="G2399" i="1"/>
  <c r="K2399" i="1" s="1"/>
  <c r="M2399" i="1" s="1"/>
  <c r="O2399" i="1" s="1"/>
  <c r="G2398" i="1"/>
  <c r="K2398" i="1" s="1"/>
  <c r="M2398" i="1" s="1"/>
  <c r="O2398" i="1" s="1"/>
  <c r="G2397" i="1"/>
  <c r="G2396" i="1"/>
  <c r="K2396" i="1" s="1"/>
  <c r="M2396" i="1" s="1"/>
  <c r="O2396" i="1" s="1"/>
  <c r="G2395" i="1"/>
  <c r="G2394" i="1"/>
  <c r="G3129" i="1" s="1"/>
  <c r="K3129" i="1" s="1"/>
  <c r="M3129" i="1" s="1"/>
  <c r="O3129" i="1" s="1"/>
  <c r="G2393" i="1"/>
  <c r="G2965" i="1" s="1"/>
  <c r="K2965" i="1" s="1"/>
  <c r="M2965" i="1" s="1"/>
  <c r="O2965" i="1" s="1"/>
  <c r="G2392" i="1"/>
  <c r="G2964" i="1" s="1"/>
  <c r="K2964" i="1" s="1"/>
  <c r="M2964" i="1" s="1"/>
  <c r="O2964" i="1" s="1"/>
  <c r="G2391" i="1"/>
  <c r="G2390" i="1"/>
  <c r="K2390" i="1" s="1"/>
  <c r="M2390" i="1" s="1"/>
  <c r="O2390" i="1" s="1"/>
  <c r="G2389" i="1"/>
  <c r="G2388" i="1"/>
  <c r="K2388" i="1" s="1"/>
  <c r="M2388" i="1" s="1"/>
  <c r="O2388" i="1" s="1"/>
  <c r="G2387" i="1"/>
  <c r="G2959" i="1" s="1"/>
  <c r="K2959" i="1" s="1"/>
  <c r="M2959" i="1" s="1"/>
  <c r="O2959" i="1" s="1"/>
  <c r="G2386" i="1"/>
  <c r="G2958" i="1" s="1"/>
  <c r="M2958" i="1" s="1"/>
  <c r="O2958" i="1" s="1"/>
  <c r="G2385" i="1"/>
  <c r="K2385" i="1" s="1"/>
  <c r="M2385" i="1" s="1"/>
  <c r="O2385" i="1" s="1"/>
  <c r="G2384" i="1"/>
  <c r="K2384" i="1" s="1"/>
  <c r="M2384" i="1" s="1"/>
  <c r="O2384" i="1" s="1"/>
  <c r="G2383" i="1"/>
  <c r="K2383" i="1" s="1"/>
  <c r="M2383" i="1" s="1"/>
  <c r="O2383" i="1" s="1"/>
  <c r="G2382" i="1"/>
  <c r="K2382" i="1" s="1"/>
  <c r="M2382" i="1" s="1"/>
  <c r="O2382" i="1" s="1"/>
  <c r="G2381" i="1"/>
  <c r="K2381" i="1" s="1"/>
  <c r="M2381" i="1" s="1"/>
  <c r="O2381" i="1" s="1"/>
  <c r="G2380" i="1"/>
  <c r="K2380" i="1" s="1"/>
  <c r="M2380" i="1" s="1"/>
  <c r="O2380" i="1" s="1"/>
  <c r="G2379" i="1"/>
  <c r="K2379" i="1" s="1"/>
  <c r="M2379" i="1" s="1"/>
  <c r="O2379" i="1" s="1"/>
  <c r="G2378" i="1"/>
  <c r="K2378" i="1" s="1"/>
  <c r="M2378" i="1" s="1"/>
  <c r="O2378" i="1" s="1"/>
  <c r="G2377" i="1"/>
  <c r="K2377" i="1" s="1"/>
  <c r="M2377" i="1" s="1"/>
  <c r="O2377" i="1" s="1"/>
  <c r="G2376" i="1"/>
  <c r="K2376" i="1" s="1"/>
  <c r="M2376" i="1" s="1"/>
  <c r="O2376" i="1" s="1"/>
  <c r="G2375" i="1"/>
  <c r="K2375" i="1" s="1"/>
  <c r="M2375" i="1" s="1"/>
  <c r="O2375" i="1" s="1"/>
  <c r="G2374" i="1"/>
  <c r="K2374" i="1" s="1"/>
  <c r="M2374" i="1" s="1"/>
  <c r="O2374" i="1" s="1"/>
  <c r="G2373" i="1"/>
  <c r="K2373" i="1" s="1"/>
  <c r="M2373" i="1" s="1"/>
  <c r="O2373" i="1" s="1"/>
  <c r="G2372" i="1"/>
  <c r="K2372" i="1" s="1"/>
  <c r="M2372" i="1" s="1"/>
  <c r="O2372" i="1" s="1"/>
  <c r="G2371" i="1"/>
  <c r="K2371" i="1" s="1"/>
  <c r="M2371" i="1" s="1"/>
  <c r="O2371" i="1" s="1"/>
  <c r="G2370" i="1"/>
  <c r="K2370" i="1" s="1"/>
  <c r="M2370" i="1" s="1"/>
  <c r="O2370" i="1" s="1"/>
  <c r="G2369" i="1"/>
  <c r="K2369" i="1" s="1"/>
  <c r="M2369" i="1" s="1"/>
  <c r="O2369" i="1" s="1"/>
  <c r="G2368" i="1"/>
  <c r="K2368" i="1" s="1"/>
  <c r="M2368" i="1" s="1"/>
  <c r="O2368" i="1" s="1"/>
  <c r="N2557" i="1"/>
  <c r="B2369" i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K2405" i="1"/>
  <c r="M2405" i="1" s="1"/>
  <c r="O2405" i="1" s="1"/>
  <c r="J2363" i="1"/>
  <c r="I2363" i="1"/>
  <c r="J2362" i="1"/>
  <c r="I2362" i="1"/>
  <c r="J2361" i="1"/>
  <c r="I2361" i="1"/>
  <c r="J2360" i="1"/>
  <c r="I2360" i="1"/>
  <c r="J2359" i="1"/>
  <c r="I2359" i="1"/>
  <c r="J2358" i="1"/>
  <c r="I2358" i="1"/>
  <c r="J2357" i="1"/>
  <c r="I2357" i="1"/>
  <c r="J2356" i="1"/>
  <c r="I2356" i="1"/>
  <c r="J2355" i="1"/>
  <c r="I2355" i="1"/>
  <c r="J2354" i="1"/>
  <c r="I2354" i="1"/>
  <c r="J2365" i="1"/>
  <c r="I2365" i="1"/>
  <c r="J2353" i="1"/>
  <c r="I2353" i="1"/>
  <c r="J2352" i="1"/>
  <c r="I2352" i="1"/>
  <c r="J2351" i="1"/>
  <c r="I2351" i="1"/>
  <c r="J2350" i="1"/>
  <c r="I2350" i="1"/>
  <c r="J2349" i="1"/>
  <c r="I2349" i="1"/>
  <c r="J2348" i="1"/>
  <c r="I2348" i="1"/>
  <c r="N2366" i="1"/>
  <c r="B2349" i="1"/>
  <c r="B2350" i="1" s="1"/>
  <c r="B2351" i="1" s="1"/>
  <c r="B2352" i="1" s="1"/>
  <c r="B2353" i="1" s="1"/>
  <c r="G2345" i="1"/>
  <c r="G2344" i="1"/>
  <c r="G2342" i="1"/>
  <c r="G2341" i="1"/>
  <c r="G2340" i="1"/>
  <c r="G2339" i="1"/>
  <c r="G2338" i="1"/>
  <c r="G2337" i="1"/>
  <c r="G2336" i="1"/>
  <c r="G2335" i="1"/>
  <c r="G2332" i="1"/>
  <c r="G2330" i="1"/>
  <c r="G2329" i="1"/>
  <c r="N2346" i="1"/>
  <c r="H2345" i="1"/>
  <c r="H2344" i="1"/>
  <c r="K2343" i="1"/>
  <c r="M2343" i="1" s="1"/>
  <c r="O2343" i="1" s="1"/>
  <c r="H2342" i="1"/>
  <c r="H2341" i="1"/>
  <c r="H2340" i="1"/>
  <c r="H2339" i="1"/>
  <c r="H2338" i="1"/>
  <c r="H2337" i="1"/>
  <c r="H2336" i="1"/>
  <c r="H2335" i="1"/>
  <c r="K2334" i="1"/>
  <c r="M2334" i="1" s="1"/>
  <c r="O2334" i="1" s="1"/>
  <c r="K2333" i="1"/>
  <c r="M2333" i="1" s="1"/>
  <c r="O2333" i="1" s="1"/>
  <c r="H2332" i="1"/>
  <c r="K2331" i="1"/>
  <c r="M2331" i="1" s="1"/>
  <c r="O2331" i="1" s="1"/>
  <c r="H2330" i="1"/>
  <c r="B2330" i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H2329" i="1"/>
  <c r="N2327" i="1"/>
  <c r="N2308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3" i="1"/>
  <c r="G2311" i="1"/>
  <c r="G2310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K2314" i="1" s="1"/>
  <c r="M2314" i="1" s="1"/>
  <c r="O2314" i="1" s="1"/>
  <c r="H2313" i="1"/>
  <c r="H2312" i="1"/>
  <c r="H2311" i="1"/>
  <c r="B2311" i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H2310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352" i="1" s="1"/>
  <c r="G2294" i="1"/>
  <c r="G2293" i="1"/>
  <c r="G2350" i="1" s="1"/>
  <c r="G2292" i="1"/>
  <c r="G2291" i="1"/>
  <c r="B2292" i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J2288" i="1"/>
  <c r="I2288" i="1"/>
  <c r="H2288" i="1"/>
  <c r="N2289" i="1"/>
  <c r="N2286" i="1"/>
  <c r="G2285" i="1"/>
  <c r="K2285" i="1" s="1"/>
  <c r="M2285" i="1" s="1"/>
  <c r="O2285" i="1" s="1"/>
  <c r="O2286" i="1" s="1"/>
  <c r="G2282" i="1"/>
  <c r="K2282" i="1" s="1"/>
  <c r="M2282" i="1" s="1"/>
  <c r="O2282" i="1" s="1"/>
  <c r="O2283" i="1" s="1"/>
  <c r="N2283" i="1"/>
  <c r="G2279" i="1"/>
  <c r="N2280" i="1"/>
  <c r="J2276" i="1"/>
  <c r="I2276" i="1"/>
  <c r="H2276" i="1"/>
  <c r="J2275" i="1"/>
  <c r="I2275" i="1"/>
  <c r="H2275" i="1"/>
  <c r="J2274" i="1"/>
  <c r="I2274" i="1"/>
  <c r="H2274" i="1"/>
  <c r="J2273" i="1"/>
  <c r="I2273" i="1"/>
  <c r="H2273" i="1"/>
  <c r="N2277" i="1"/>
  <c r="B2274" i="1"/>
  <c r="B2275" i="1" s="1"/>
  <c r="B2276" i="1" s="1"/>
  <c r="G2270" i="1"/>
  <c r="K2270" i="1" s="1"/>
  <c r="M2270" i="1" s="1"/>
  <c r="O2270" i="1" s="1"/>
  <c r="G2269" i="1"/>
  <c r="K2269" i="1" s="1"/>
  <c r="M2269" i="1" s="1"/>
  <c r="O2269" i="1" s="1"/>
  <c r="G2268" i="1"/>
  <c r="K2268" i="1" s="1"/>
  <c r="M2268" i="1" s="1"/>
  <c r="O2268" i="1" s="1"/>
  <c r="G2267" i="1"/>
  <c r="K2267" i="1" s="1"/>
  <c r="M2267" i="1" s="1"/>
  <c r="O2267" i="1" s="1"/>
  <c r="N2271" i="1"/>
  <c r="B2268" i="1"/>
  <c r="B2269" i="1" s="1"/>
  <c r="B2270" i="1" s="1"/>
  <c r="G2264" i="1"/>
  <c r="G2263" i="1"/>
  <c r="K2263" i="1" s="1"/>
  <c r="M2263" i="1" s="1"/>
  <c r="O2263" i="1" s="1"/>
  <c r="G2262" i="1"/>
  <c r="K2262" i="1" s="1"/>
  <c r="M2262" i="1" s="1"/>
  <c r="O2262" i="1" s="1"/>
  <c r="G2261" i="1"/>
  <c r="G2258" i="1"/>
  <c r="K2258" i="1" s="1"/>
  <c r="M2258" i="1" s="1"/>
  <c r="O2258" i="1" s="1"/>
  <c r="G2257" i="1"/>
  <c r="K2257" i="1" s="1"/>
  <c r="M2257" i="1" s="1"/>
  <c r="O2257" i="1" s="1"/>
  <c r="G2256" i="1"/>
  <c r="K2256" i="1" s="1"/>
  <c r="M2256" i="1" s="1"/>
  <c r="O2256" i="1" s="1"/>
  <c r="G2255" i="1"/>
  <c r="N2265" i="1"/>
  <c r="B2262" i="1"/>
  <c r="B2263" i="1" s="1"/>
  <c r="B2264" i="1" s="1"/>
  <c r="N2259" i="1"/>
  <c r="B2256" i="1"/>
  <c r="B2257" i="1" s="1"/>
  <c r="B2258" i="1" s="1"/>
  <c r="G2252" i="1"/>
  <c r="K2252" i="1" s="1"/>
  <c r="M2252" i="1" s="1"/>
  <c r="O2252" i="1" s="1"/>
  <c r="G2251" i="1"/>
  <c r="K2251" i="1" s="1"/>
  <c r="M2251" i="1" s="1"/>
  <c r="O2251" i="1" s="1"/>
  <c r="G2250" i="1"/>
  <c r="K2250" i="1" s="1"/>
  <c r="M2250" i="1" s="1"/>
  <c r="O2250" i="1" s="1"/>
  <c r="G2249" i="1"/>
  <c r="K2249" i="1" s="1"/>
  <c r="M2249" i="1" s="1"/>
  <c r="O2249" i="1" s="1"/>
  <c r="N2253" i="1"/>
  <c r="B2250" i="1"/>
  <c r="B2251" i="1" s="1"/>
  <c r="B2252" i="1" s="1"/>
  <c r="G2245" i="1"/>
  <c r="K2245" i="1" s="1"/>
  <c r="M2245" i="1" s="1"/>
  <c r="O2245" i="1" s="1"/>
  <c r="G2243" i="1"/>
  <c r="K2243" i="1" s="1"/>
  <c r="M2243" i="1" s="1"/>
  <c r="O2243" i="1" s="1"/>
  <c r="N2247" i="1"/>
  <c r="G2246" i="1"/>
  <c r="K2246" i="1" s="1"/>
  <c r="M2246" i="1" s="1"/>
  <c r="O2246" i="1" s="1"/>
  <c r="G2244" i="1"/>
  <c r="K2244" i="1" s="1"/>
  <c r="M2244" i="1" s="1"/>
  <c r="O2244" i="1" s="1"/>
  <c r="B2244" i="1"/>
  <c r="B2245" i="1" s="1"/>
  <c r="B2246" i="1" s="1"/>
  <c r="G2240" i="1"/>
  <c r="G2239" i="1"/>
  <c r="G2238" i="1"/>
  <c r="G2237" i="1"/>
  <c r="N2241" i="1"/>
  <c r="B2238" i="1"/>
  <c r="B2239" i="1" s="1"/>
  <c r="B2240" i="1" s="1"/>
  <c r="J2228" i="1"/>
  <c r="I2228" i="1"/>
  <c r="H2228" i="1"/>
  <c r="J2227" i="1"/>
  <c r="I2227" i="1"/>
  <c r="H2227" i="1"/>
  <c r="J2226" i="1"/>
  <c r="I2226" i="1"/>
  <c r="H2226" i="1"/>
  <c r="J2225" i="1"/>
  <c r="I2225" i="1"/>
  <c r="H2225" i="1"/>
  <c r="J2224" i="1"/>
  <c r="I2224" i="1"/>
  <c r="H2224" i="1"/>
  <c r="J2223" i="1"/>
  <c r="I2223" i="1"/>
  <c r="H2223" i="1"/>
  <c r="J2222" i="1"/>
  <c r="I2222" i="1"/>
  <c r="H2222" i="1"/>
  <c r="J2221" i="1"/>
  <c r="I2221" i="1"/>
  <c r="H2221" i="1"/>
  <c r="J2220" i="1"/>
  <c r="I2220" i="1"/>
  <c r="H2220" i="1"/>
  <c r="J2219" i="1"/>
  <c r="I2219" i="1"/>
  <c r="H2219" i="1"/>
  <c r="J2218" i="1"/>
  <c r="I2218" i="1"/>
  <c r="H2218" i="1"/>
  <c r="J2217" i="1"/>
  <c r="I2217" i="1"/>
  <c r="H2217" i="1"/>
  <c r="J2216" i="1"/>
  <c r="I2216" i="1"/>
  <c r="H2216" i="1"/>
  <c r="J2215" i="1"/>
  <c r="I2215" i="1"/>
  <c r="H2215" i="1"/>
  <c r="J2214" i="1"/>
  <c r="I2214" i="1"/>
  <c r="H2214" i="1"/>
  <c r="J2213" i="1"/>
  <c r="I2213" i="1"/>
  <c r="H2213" i="1"/>
  <c r="J2212" i="1"/>
  <c r="I2212" i="1"/>
  <c r="H2212" i="1"/>
  <c r="J2211" i="1"/>
  <c r="I2211" i="1"/>
  <c r="H2211" i="1"/>
  <c r="J2210" i="1"/>
  <c r="I2210" i="1"/>
  <c r="H2210" i="1"/>
  <c r="J2209" i="1"/>
  <c r="I2209" i="1"/>
  <c r="H2209" i="1"/>
  <c r="J2208" i="1"/>
  <c r="I2208" i="1"/>
  <c r="H2208" i="1"/>
  <c r="J2207" i="1"/>
  <c r="I2207" i="1"/>
  <c r="H2207" i="1"/>
  <c r="J2206" i="1"/>
  <c r="I2206" i="1"/>
  <c r="H2206" i="1"/>
  <c r="J2205" i="1"/>
  <c r="I2205" i="1"/>
  <c r="H2205" i="1"/>
  <c r="J2204" i="1"/>
  <c r="I2204" i="1"/>
  <c r="H2204" i="1"/>
  <c r="J2231" i="1"/>
  <c r="I2231" i="1"/>
  <c r="H2231" i="1"/>
  <c r="J2203" i="1"/>
  <c r="I2203" i="1"/>
  <c r="H2203" i="1"/>
  <c r="J2202" i="1"/>
  <c r="I2202" i="1"/>
  <c r="H2202" i="1"/>
  <c r="J2201" i="1"/>
  <c r="I2201" i="1"/>
  <c r="H2201" i="1"/>
  <c r="J2200" i="1"/>
  <c r="I2200" i="1"/>
  <c r="H2200" i="1"/>
  <c r="J2199" i="1"/>
  <c r="I2199" i="1"/>
  <c r="H2199" i="1"/>
  <c r="J2198" i="1"/>
  <c r="I2198" i="1"/>
  <c r="H2198" i="1"/>
  <c r="J2197" i="1"/>
  <c r="I2197" i="1"/>
  <c r="H2197" i="1"/>
  <c r="J2196" i="1"/>
  <c r="I2196" i="1"/>
  <c r="H2196" i="1"/>
  <c r="J2195" i="1"/>
  <c r="I2195" i="1"/>
  <c r="H2195" i="1"/>
  <c r="J2194" i="1"/>
  <c r="I2194" i="1"/>
  <c r="H2194" i="1"/>
  <c r="J2193" i="1"/>
  <c r="I2193" i="1"/>
  <c r="H2193" i="1"/>
  <c r="J2192" i="1"/>
  <c r="I2192" i="1"/>
  <c r="H2192" i="1"/>
  <c r="J2191" i="1"/>
  <c r="I2191" i="1"/>
  <c r="H2191" i="1"/>
  <c r="J2190" i="1"/>
  <c r="I2190" i="1"/>
  <c r="H2190" i="1"/>
  <c r="J2189" i="1"/>
  <c r="I2189" i="1"/>
  <c r="H2189" i="1"/>
  <c r="J2188" i="1"/>
  <c r="I2188" i="1"/>
  <c r="H2188" i="1"/>
  <c r="J2187" i="1"/>
  <c r="I2187" i="1"/>
  <c r="H2187" i="1"/>
  <c r="J2186" i="1"/>
  <c r="I2186" i="1"/>
  <c r="H2186" i="1"/>
  <c r="J2185" i="1"/>
  <c r="I2185" i="1"/>
  <c r="H2185" i="1"/>
  <c r="J2232" i="1"/>
  <c r="I2232" i="1"/>
  <c r="H2232" i="1"/>
  <c r="J2184" i="1"/>
  <c r="I2184" i="1"/>
  <c r="H2184" i="1"/>
  <c r="J2183" i="1"/>
  <c r="I2183" i="1"/>
  <c r="H2183" i="1"/>
  <c r="J2182" i="1"/>
  <c r="I2182" i="1"/>
  <c r="H2182" i="1"/>
  <c r="J2181" i="1"/>
  <c r="I2181" i="1"/>
  <c r="H2181" i="1"/>
  <c r="J2180" i="1"/>
  <c r="I2180" i="1"/>
  <c r="H2180" i="1"/>
  <c r="J2179" i="1"/>
  <c r="I2179" i="1"/>
  <c r="H2179" i="1"/>
  <c r="J2178" i="1"/>
  <c r="I2178" i="1"/>
  <c r="H2178" i="1"/>
  <c r="J2177" i="1"/>
  <c r="I2177" i="1"/>
  <c r="H2177" i="1"/>
  <c r="J2176" i="1"/>
  <c r="I2176" i="1"/>
  <c r="H2176" i="1"/>
  <c r="J2175" i="1"/>
  <c r="I2175" i="1"/>
  <c r="H2175" i="1"/>
  <c r="J2174" i="1"/>
  <c r="I2174" i="1"/>
  <c r="H2174" i="1"/>
  <c r="J2173" i="1"/>
  <c r="I2173" i="1"/>
  <c r="H2173" i="1"/>
  <c r="J2172" i="1"/>
  <c r="I2172" i="1"/>
  <c r="H2172" i="1"/>
  <c r="J2171" i="1"/>
  <c r="I2171" i="1"/>
  <c r="H2171" i="1"/>
  <c r="J2170" i="1"/>
  <c r="I2170" i="1"/>
  <c r="H2170" i="1"/>
  <c r="J2230" i="1"/>
  <c r="I2230" i="1"/>
  <c r="H2230" i="1"/>
  <c r="J2233" i="1"/>
  <c r="I2233" i="1"/>
  <c r="H2233" i="1"/>
  <c r="J2234" i="1"/>
  <c r="I2234" i="1"/>
  <c r="H2234" i="1"/>
  <c r="J2169" i="1"/>
  <c r="I2169" i="1"/>
  <c r="H2169" i="1"/>
  <c r="J2168" i="1"/>
  <c r="I2168" i="1"/>
  <c r="H2168" i="1"/>
  <c r="J2167" i="1"/>
  <c r="I2167" i="1"/>
  <c r="H2167" i="1"/>
  <c r="J2166" i="1"/>
  <c r="I2166" i="1"/>
  <c r="H2166" i="1"/>
  <c r="J2165" i="1"/>
  <c r="I2165" i="1"/>
  <c r="H2165" i="1"/>
  <c r="J2164" i="1"/>
  <c r="I2164" i="1"/>
  <c r="H2164" i="1"/>
  <c r="J2163" i="1"/>
  <c r="I2163" i="1"/>
  <c r="H2163" i="1"/>
  <c r="J2162" i="1"/>
  <c r="I2162" i="1"/>
  <c r="H2162" i="1"/>
  <c r="J2161" i="1"/>
  <c r="I2161" i="1"/>
  <c r="H2161" i="1"/>
  <c r="J2160" i="1"/>
  <c r="I2160" i="1"/>
  <c r="H2160" i="1"/>
  <c r="J2159" i="1"/>
  <c r="I2159" i="1"/>
  <c r="H2159" i="1"/>
  <c r="J2158" i="1"/>
  <c r="I2158" i="1"/>
  <c r="H2158" i="1"/>
  <c r="J2157" i="1"/>
  <c r="I2157" i="1"/>
  <c r="H2157" i="1"/>
  <c r="J2156" i="1"/>
  <c r="I2156" i="1"/>
  <c r="H2156" i="1"/>
  <c r="J2155" i="1"/>
  <c r="I2155" i="1"/>
  <c r="H2155" i="1"/>
  <c r="J2154" i="1"/>
  <c r="I2154" i="1"/>
  <c r="H2154" i="1"/>
  <c r="J2153" i="1"/>
  <c r="I2153" i="1"/>
  <c r="H2153" i="1"/>
  <c r="J2152" i="1"/>
  <c r="I2152" i="1"/>
  <c r="H2152" i="1"/>
  <c r="J2151" i="1"/>
  <c r="I2151" i="1"/>
  <c r="H2151" i="1"/>
  <c r="N2235" i="1"/>
  <c r="B2152" i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G2148" i="1"/>
  <c r="K2148" i="1" s="1"/>
  <c r="M2148" i="1" s="1"/>
  <c r="O2148" i="1" s="1"/>
  <c r="G2147" i="1"/>
  <c r="K2147" i="1" s="1"/>
  <c r="M2147" i="1" s="1"/>
  <c r="O2147" i="1" s="1"/>
  <c r="G2146" i="1"/>
  <c r="K2146" i="1" s="1"/>
  <c r="M2146" i="1" s="1"/>
  <c r="O2146" i="1" s="1"/>
  <c r="G2145" i="1"/>
  <c r="K2145" i="1" s="1"/>
  <c r="M2145" i="1" s="1"/>
  <c r="O2145" i="1" s="1"/>
  <c r="G2144" i="1"/>
  <c r="G2143" i="1"/>
  <c r="K2143" i="1" s="1"/>
  <c r="M2143" i="1" s="1"/>
  <c r="O2143" i="1" s="1"/>
  <c r="G2142" i="1"/>
  <c r="K2142" i="1" s="1"/>
  <c r="M2142" i="1" s="1"/>
  <c r="O2142" i="1" s="1"/>
  <c r="G2141" i="1"/>
  <c r="K2141" i="1" s="1"/>
  <c r="M2141" i="1" s="1"/>
  <c r="O2141" i="1" s="1"/>
  <c r="G2140" i="1"/>
  <c r="K2140" i="1" s="1"/>
  <c r="M2140" i="1" s="1"/>
  <c r="O2140" i="1" s="1"/>
  <c r="G2139" i="1"/>
  <c r="G2138" i="1"/>
  <c r="G2137" i="1"/>
  <c r="G2136" i="1"/>
  <c r="K2136" i="1" s="1"/>
  <c r="M2136" i="1" s="1"/>
  <c r="O2136" i="1" s="1"/>
  <c r="G2135" i="1"/>
  <c r="G2131" i="1"/>
  <c r="K2131" i="1" s="1"/>
  <c r="M2131" i="1" s="1"/>
  <c r="O2131" i="1" s="1"/>
  <c r="G2130" i="1"/>
  <c r="K2130" i="1" s="1"/>
  <c r="M2130" i="1" s="1"/>
  <c r="O2130" i="1" s="1"/>
  <c r="G2129" i="1"/>
  <c r="K2129" i="1" s="1"/>
  <c r="M2129" i="1" s="1"/>
  <c r="O2129" i="1" s="1"/>
  <c r="G2128" i="1"/>
  <c r="G2127" i="1"/>
  <c r="K2127" i="1" s="1"/>
  <c r="M2127" i="1" s="1"/>
  <c r="O2127" i="1" s="1"/>
  <c r="G2126" i="1"/>
  <c r="K2126" i="1" s="1"/>
  <c r="M2126" i="1" s="1"/>
  <c r="O2126" i="1" s="1"/>
  <c r="G2125" i="1"/>
  <c r="K2125" i="1" s="1"/>
  <c r="M2125" i="1" s="1"/>
  <c r="O2125" i="1" s="1"/>
  <c r="G2124" i="1"/>
  <c r="K2124" i="1" s="1"/>
  <c r="M2124" i="1" s="1"/>
  <c r="O2124" i="1" s="1"/>
  <c r="G2123" i="1"/>
  <c r="K2123" i="1" s="1"/>
  <c r="M2123" i="1" s="1"/>
  <c r="O2123" i="1" s="1"/>
  <c r="G2122" i="1"/>
  <c r="K2122" i="1" s="1"/>
  <c r="M2122" i="1" s="1"/>
  <c r="O2122" i="1" s="1"/>
  <c r="G2121" i="1"/>
  <c r="K2121" i="1" s="1"/>
  <c r="M2121" i="1" s="1"/>
  <c r="O2121" i="1" s="1"/>
  <c r="G2120" i="1"/>
  <c r="K2120" i="1" s="1"/>
  <c r="M2120" i="1" s="1"/>
  <c r="O2120" i="1" s="1"/>
  <c r="G2119" i="1"/>
  <c r="K2119" i="1" s="1"/>
  <c r="M2119" i="1" s="1"/>
  <c r="O2119" i="1" s="1"/>
  <c r="G2118" i="1"/>
  <c r="K2118" i="1" s="1"/>
  <c r="M2118" i="1" s="1"/>
  <c r="O2118" i="1" s="1"/>
  <c r="G2117" i="1"/>
  <c r="K2117" i="1" s="1"/>
  <c r="M2117" i="1" s="1"/>
  <c r="O2117" i="1" s="1"/>
  <c r="G2116" i="1"/>
  <c r="K2116" i="1" s="1"/>
  <c r="M2116" i="1" s="1"/>
  <c r="O2116" i="1" s="1"/>
  <c r="G2115" i="1"/>
  <c r="K2115" i="1" s="1"/>
  <c r="M2115" i="1" s="1"/>
  <c r="O2115" i="1" s="1"/>
  <c r="G2114" i="1"/>
  <c r="G2113" i="1"/>
  <c r="G2112" i="1"/>
  <c r="K2112" i="1" s="1"/>
  <c r="M2112" i="1" s="1"/>
  <c r="O2112" i="1" s="1"/>
  <c r="G2111" i="1"/>
  <c r="K2111" i="1" s="1"/>
  <c r="M2111" i="1" s="1"/>
  <c r="O2111" i="1" s="1"/>
  <c r="G2110" i="1"/>
  <c r="K2110" i="1" s="1"/>
  <c r="M2110" i="1" s="1"/>
  <c r="O2110" i="1" s="1"/>
  <c r="G2109" i="1"/>
  <c r="K2109" i="1" s="1"/>
  <c r="M2109" i="1" s="1"/>
  <c r="O2109" i="1" s="1"/>
  <c r="G2108" i="1"/>
  <c r="G2107" i="1"/>
  <c r="G2106" i="1"/>
  <c r="K2106" i="1" s="1"/>
  <c r="M2106" i="1" s="1"/>
  <c r="O2106" i="1" s="1"/>
  <c r="G2105" i="1"/>
  <c r="K2105" i="1" s="1"/>
  <c r="M2105" i="1" s="1"/>
  <c r="O2105" i="1" s="1"/>
  <c r="G2104" i="1"/>
  <c r="K2104" i="1" s="1"/>
  <c r="M2104" i="1" s="1"/>
  <c r="O2104" i="1" s="1"/>
  <c r="G2103" i="1"/>
  <c r="K2103" i="1" s="1"/>
  <c r="M2103" i="1" s="1"/>
  <c r="O2103" i="1" s="1"/>
  <c r="G2102" i="1"/>
  <c r="K2102" i="1" s="1"/>
  <c r="M2102" i="1" s="1"/>
  <c r="O2102" i="1" s="1"/>
  <c r="G2101" i="1"/>
  <c r="G2100" i="1"/>
  <c r="K2100" i="1" s="1"/>
  <c r="M2100" i="1" s="1"/>
  <c r="O2100" i="1" s="1"/>
  <c r="G2099" i="1"/>
  <c r="K2099" i="1" s="1"/>
  <c r="M2099" i="1" s="1"/>
  <c r="O2099" i="1" s="1"/>
  <c r="G2098" i="1"/>
  <c r="K2098" i="1" s="1"/>
  <c r="M2098" i="1" s="1"/>
  <c r="O2098" i="1" s="1"/>
  <c r="G2097" i="1"/>
  <c r="K2097" i="1" s="1"/>
  <c r="M2097" i="1" s="1"/>
  <c r="O2097" i="1" s="1"/>
  <c r="G2096" i="1"/>
  <c r="K2096" i="1" s="1"/>
  <c r="M2096" i="1" s="1"/>
  <c r="O2096" i="1" s="1"/>
  <c r="G2095" i="1"/>
  <c r="K2095" i="1" s="1"/>
  <c r="M2095" i="1" s="1"/>
  <c r="O2095" i="1" s="1"/>
  <c r="G2094" i="1"/>
  <c r="G2093" i="1"/>
  <c r="K2093" i="1" s="1"/>
  <c r="M2093" i="1" s="1"/>
  <c r="O2093" i="1" s="1"/>
  <c r="G2092" i="1"/>
  <c r="K2092" i="1" s="1"/>
  <c r="M2092" i="1" s="1"/>
  <c r="O2092" i="1" s="1"/>
  <c r="G2091" i="1"/>
  <c r="G2090" i="1"/>
  <c r="K2090" i="1" s="1"/>
  <c r="M2090" i="1" s="1"/>
  <c r="O2090" i="1" s="1"/>
  <c r="G2089" i="1"/>
  <c r="G2088" i="1"/>
  <c r="G2087" i="1"/>
  <c r="K2087" i="1" s="1"/>
  <c r="M2087" i="1" s="1"/>
  <c r="O2087" i="1" s="1"/>
  <c r="G2086" i="1"/>
  <c r="K2086" i="1" s="1"/>
  <c r="M2086" i="1" s="1"/>
  <c r="O2086" i="1" s="1"/>
  <c r="G2085" i="1"/>
  <c r="G2084" i="1"/>
  <c r="K2084" i="1" s="1"/>
  <c r="M2084" i="1" s="1"/>
  <c r="O2084" i="1" s="1"/>
  <c r="G2083" i="1"/>
  <c r="K2083" i="1" s="1"/>
  <c r="M2083" i="1" s="1"/>
  <c r="O2083" i="1" s="1"/>
  <c r="G2082" i="1"/>
  <c r="K2082" i="1" s="1"/>
  <c r="M2082" i="1" s="1"/>
  <c r="O2082" i="1" s="1"/>
  <c r="G2081" i="1"/>
  <c r="K2081" i="1" s="1"/>
  <c r="M2081" i="1" s="1"/>
  <c r="O2081" i="1" s="1"/>
  <c r="G2078" i="1"/>
  <c r="K2078" i="1" s="1"/>
  <c r="M2078" i="1" s="1"/>
  <c r="O2078" i="1" s="1"/>
  <c r="G2077" i="1"/>
  <c r="K2077" i="1" s="1"/>
  <c r="M2077" i="1" s="1"/>
  <c r="O2077" i="1" s="1"/>
  <c r="G2076" i="1"/>
  <c r="K2076" i="1" s="1"/>
  <c r="M2076" i="1" s="1"/>
  <c r="O2076" i="1" s="1"/>
  <c r="G2075" i="1"/>
  <c r="K2075" i="1" s="1"/>
  <c r="M2075" i="1" s="1"/>
  <c r="O2075" i="1" s="1"/>
  <c r="G2074" i="1"/>
  <c r="K2074" i="1" s="1"/>
  <c r="M2074" i="1" s="1"/>
  <c r="O2074" i="1" s="1"/>
  <c r="G2072" i="1"/>
  <c r="K2072" i="1" s="1"/>
  <c r="M2072" i="1" s="1"/>
  <c r="O2072" i="1" s="1"/>
  <c r="G2071" i="1"/>
  <c r="K2071" i="1" s="1"/>
  <c r="M2071" i="1" s="1"/>
  <c r="O2071" i="1" s="1"/>
  <c r="G2070" i="1"/>
  <c r="K2070" i="1" s="1"/>
  <c r="M2070" i="1" s="1"/>
  <c r="O2070" i="1" s="1"/>
  <c r="G2069" i="1"/>
  <c r="K2069" i="1" s="1"/>
  <c r="M2069" i="1" s="1"/>
  <c r="O2069" i="1" s="1"/>
  <c r="G2068" i="1"/>
  <c r="K2068" i="1" s="1"/>
  <c r="M2068" i="1" s="1"/>
  <c r="O2068" i="1" s="1"/>
  <c r="G2067" i="1"/>
  <c r="K2067" i="1" s="1"/>
  <c r="M2067" i="1" s="1"/>
  <c r="O2067" i="1" s="1"/>
  <c r="G2066" i="1"/>
  <c r="K2066" i="1" s="1"/>
  <c r="M2066" i="1" s="1"/>
  <c r="O2066" i="1" s="1"/>
  <c r="N2149" i="1"/>
  <c r="K2134" i="1"/>
  <c r="M2134" i="1" s="1"/>
  <c r="O2134" i="1" s="1"/>
  <c r="K2133" i="1"/>
  <c r="M2133" i="1" s="1"/>
  <c r="O2133" i="1" s="1"/>
  <c r="K2132" i="1"/>
  <c r="M2132" i="1" s="1"/>
  <c r="O2132" i="1" s="1"/>
  <c r="K2080" i="1"/>
  <c r="M2080" i="1" s="1"/>
  <c r="O2080" i="1" s="1"/>
  <c r="K2079" i="1"/>
  <c r="M2079" i="1" s="1"/>
  <c r="O2079" i="1" s="1"/>
  <c r="K2073" i="1"/>
  <c r="M2073" i="1" s="1"/>
  <c r="O2073" i="1" s="1"/>
  <c r="B2067" i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G2063" i="1"/>
  <c r="K2063" i="1" s="1"/>
  <c r="M2063" i="1" s="1"/>
  <c r="O2063" i="1" s="1"/>
  <c r="G2062" i="1"/>
  <c r="G2061" i="1"/>
  <c r="K2061" i="1" s="1"/>
  <c r="M2061" i="1" s="1"/>
  <c r="O2061" i="1" s="1"/>
  <c r="G2060" i="1"/>
  <c r="K2060" i="1" s="1"/>
  <c r="M2060" i="1" s="1"/>
  <c r="O2060" i="1" s="1"/>
  <c r="G2059" i="1"/>
  <c r="K2059" i="1" s="1"/>
  <c r="M2059" i="1" s="1"/>
  <c r="O2059" i="1" s="1"/>
  <c r="G2058" i="1"/>
  <c r="K2058" i="1" s="1"/>
  <c r="M2058" i="1" s="1"/>
  <c r="O2058" i="1" s="1"/>
  <c r="G2057" i="1"/>
  <c r="K2057" i="1" s="1"/>
  <c r="M2057" i="1" s="1"/>
  <c r="O2057" i="1" s="1"/>
  <c r="G2056" i="1"/>
  <c r="K2056" i="1" s="1"/>
  <c r="M2056" i="1" s="1"/>
  <c r="O2056" i="1" s="1"/>
  <c r="G2055" i="1"/>
  <c r="K2055" i="1" s="1"/>
  <c r="M2055" i="1" s="1"/>
  <c r="O2055" i="1" s="1"/>
  <c r="G2054" i="1"/>
  <c r="K2054" i="1" s="1"/>
  <c r="M2054" i="1" s="1"/>
  <c r="O2054" i="1" s="1"/>
  <c r="G2053" i="1"/>
  <c r="K2053" i="1" s="1"/>
  <c r="M2053" i="1" s="1"/>
  <c r="O2053" i="1" s="1"/>
  <c r="G2052" i="1"/>
  <c r="K2052" i="1" s="1"/>
  <c r="M2052" i="1" s="1"/>
  <c r="O2052" i="1" s="1"/>
  <c r="G2051" i="1"/>
  <c r="K2051" i="1" s="1"/>
  <c r="M2051" i="1" s="1"/>
  <c r="O2051" i="1" s="1"/>
  <c r="G2050" i="1"/>
  <c r="K2050" i="1" s="1"/>
  <c r="M2050" i="1" s="1"/>
  <c r="O2050" i="1" s="1"/>
  <c r="G2046" i="1"/>
  <c r="K2046" i="1" s="1"/>
  <c r="M2046" i="1" s="1"/>
  <c r="O2046" i="1" s="1"/>
  <c r="G2045" i="1"/>
  <c r="K2045" i="1" s="1"/>
  <c r="M2045" i="1" s="1"/>
  <c r="O2045" i="1" s="1"/>
  <c r="G2044" i="1"/>
  <c r="K2044" i="1" s="1"/>
  <c r="M2044" i="1" s="1"/>
  <c r="O2044" i="1" s="1"/>
  <c r="G2043" i="1"/>
  <c r="K2043" i="1" s="1"/>
  <c r="M2043" i="1" s="1"/>
  <c r="O2043" i="1" s="1"/>
  <c r="G2042" i="1"/>
  <c r="K2042" i="1" s="1"/>
  <c r="M2042" i="1" s="1"/>
  <c r="O2042" i="1" s="1"/>
  <c r="G2041" i="1"/>
  <c r="K2041" i="1" s="1"/>
  <c r="M2041" i="1" s="1"/>
  <c r="O2041" i="1" s="1"/>
  <c r="G2040" i="1"/>
  <c r="K2040" i="1" s="1"/>
  <c r="M2040" i="1" s="1"/>
  <c r="O2040" i="1" s="1"/>
  <c r="G2039" i="1"/>
  <c r="G2038" i="1"/>
  <c r="K2038" i="1" s="1"/>
  <c r="M2038" i="1" s="1"/>
  <c r="O2038" i="1" s="1"/>
  <c r="G2037" i="1"/>
  <c r="K2037" i="1" s="1"/>
  <c r="M2037" i="1" s="1"/>
  <c r="O2037" i="1" s="1"/>
  <c r="G2036" i="1"/>
  <c r="K2036" i="1" s="1"/>
  <c r="M2036" i="1" s="1"/>
  <c r="O2036" i="1" s="1"/>
  <c r="G2035" i="1"/>
  <c r="K2035" i="1" s="1"/>
  <c r="M2035" i="1" s="1"/>
  <c r="O2035" i="1" s="1"/>
  <c r="G2034" i="1"/>
  <c r="G2033" i="1"/>
  <c r="G2032" i="1"/>
  <c r="K2032" i="1" s="1"/>
  <c r="M2032" i="1" s="1"/>
  <c r="O2032" i="1" s="1"/>
  <c r="G2031" i="1"/>
  <c r="K2031" i="1" s="1"/>
  <c r="M2031" i="1" s="1"/>
  <c r="O2031" i="1" s="1"/>
  <c r="G2030" i="1"/>
  <c r="K2030" i="1" s="1"/>
  <c r="M2030" i="1" s="1"/>
  <c r="O2030" i="1" s="1"/>
  <c r="G2029" i="1"/>
  <c r="K2029" i="1" s="1"/>
  <c r="M2029" i="1" s="1"/>
  <c r="O2029" i="1" s="1"/>
  <c r="G2026" i="1"/>
  <c r="K2026" i="1" s="1"/>
  <c r="M2026" i="1" s="1"/>
  <c r="O2026" i="1" s="1"/>
  <c r="G2028" i="1"/>
  <c r="K2028" i="1" s="1"/>
  <c r="M2028" i="1" s="1"/>
  <c r="O2028" i="1" s="1"/>
  <c r="G2027" i="1"/>
  <c r="G2025" i="1"/>
  <c r="K2025" i="1" s="1"/>
  <c r="M2025" i="1" s="1"/>
  <c r="O2025" i="1" s="1"/>
  <c r="G2024" i="1"/>
  <c r="K2024" i="1" s="1"/>
  <c r="M2024" i="1" s="1"/>
  <c r="O2024" i="1" s="1"/>
  <c r="G2023" i="1"/>
  <c r="K2023" i="1" s="1"/>
  <c r="M2023" i="1" s="1"/>
  <c r="O2023" i="1" s="1"/>
  <c r="G2022" i="1"/>
  <c r="K2022" i="1" s="1"/>
  <c r="M2022" i="1" s="1"/>
  <c r="O2022" i="1" s="1"/>
  <c r="G2021" i="1"/>
  <c r="K2021" i="1" s="1"/>
  <c r="M2021" i="1" s="1"/>
  <c r="O2021" i="1" s="1"/>
  <c r="G2020" i="1"/>
  <c r="K2020" i="1" s="1"/>
  <c r="M2020" i="1" s="1"/>
  <c r="O2020" i="1" s="1"/>
  <c r="G2019" i="1"/>
  <c r="K2019" i="1" s="1"/>
  <c r="M2019" i="1" s="1"/>
  <c r="O2019" i="1" s="1"/>
  <c r="G2018" i="1"/>
  <c r="K2018" i="1" s="1"/>
  <c r="M2018" i="1" s="1"/>
  <c r="O2018" i="1" s="1"/>
  <c r="G2017" i="1"/>
  <c r="K2017" i="1" s="1"/>
  <c r="M2017" i="1" s="1"/>
  <c r="O2017" i="1" s="1"/>
  <c r="G2016" i="1"/>
  <c r="K2016" i="1" s="1"/>
  <c r="M2016" i="1" s="1"/>
  <c r="O2016" i="1" s="1"/>
  <c r="G2015" i="1"/>
  <c r="K2015" i="1" s="1"/>
  <c r="M2015" i="1" s="1"/>
  <c r="O2015" i="1" s="1"/>
  <c r="G2014" i="1"/>
  <c r="G2013" i="1"/>
  <c r="G2012" i="1"/>
  <c r="K2012" i="1" s="1"/>
  <c r="M2012" i="1" s="1"/>
  <c r="O2012" i="1" s="1"/>
  <c r="G2011" i="1"/>
  <c r="K2011" i="1" s="1"/>
  <c r="M2011" i="1" s="1"/>
  <c r="O2011" i="1" s="1"/>
  <c r="G2010" i="1"/>
  <c r="K2010" i="1" s="1"/>
  <c r="M2010" i="1" s="1"/>
  <c r="O2010" i="1" s="1"/>
  <c r="G2009" i="1"/>
  <c r="K2009" i="1" s="1"/>
  <c r="M2009" i="1" s="1"/>
  <c r="O2009" i="1" s="1"/>
  <c r="G2008" i="1"/>
  <c r="K2008" i="1" s="1"/>
  <c r="M2008" i="1" s="1"/>
  <c r="O2008" i="1" s="1"/>
  <c r="G2007" i="1"/>
  <c r="K2007" i="1" s="1"/>
  <c r="M2007" i="1" s="1"/>
  <c r="O2007" i="1" s="1"/>
  <c r="G2006" i="1"/>
  <c r="K2006" i="1" s="1"/>
  <c r="M2006" i="1" s="1"/>
  <c r="O2006" i="1" s="1"/>
  <c r="G2005" i="1"/>
  <c r="K2005" i="1" s="1"/>
  <c r="M2005" i="1" s="1"/>
  <c r="O2005" i="1" s="1"/>
  <c r="G2004" i="1"/>
  <c r="K2004" i="1" s="1"/>
  <c r="M2004" i="1" s="1"/>
  <c r="O2004" i="1" s="1"/>
  <c r="G2003" i="1"/>
  <c r="K2003" i="1" s="1"/>
  <c r="M2003" i="1" s="1"/>
  <c r="O2003" i="1" s="1"/>
  <c r="G2002" i="1"/>
  <c r="K2002" i="1" s="1"/>
  <c r="M2002" i="1" s="1"/>
  <c r="O2002" i="1" s="1"/>
  <c r="G2001" i="1"/>
  <c r="K2001" i="1" s="1"/>
  <c r="M2001" i="1" s="1"/>
  <c r="O2001" i="1" s="1"/>
  <c r="G2000" i="1"/>
  <c r="K2000" i="1" s="1"/>
  <c r="M2000" i="1" s="1"/>
  <c r="O2000" i="1" s="1"/>
  <c r="G1999" i="1"/>
  <c r="K1999" i="1" s="1"/>
  <c r="M1999" i="1" s="1"/>
  <c r="O1999" i="1" s="1"/>
  <c r="G1998" i="1"/>
  <c r="K1998" i="1" s="1"/>
  <c r="M1998" i="1" s="1"/>
  <c r="O1998" i="1" s="1"/>
  <c r="G1997" i="1"/>
  <c r="K1997" i="1" s="1"/>
  <c r="M1997" i="1" s="1"/>
  <c r="O1997" i="1" s="1"/>
  <c r="G1996" i="1"/>
  <c r="K1996" i="1" s="1"/>
  <c r="M1996" i="1" s="1"/>
  <c r="O1996" i="1" s="1"/>
  <c r="G1993" i="1"/>
  <c r="K1993" i="1" s="1"/>
  <c r="M1993" i="1" s="1"/>
  <c r="O1993" i="1" s="1"/>
  <c r="G1992" i="1"/>
  <c r="K1992" i="1" s="1"/>
  <c r="M1992" i="1" s="1"/>
  <c r="O1992" i="1" s="1"/>
  <c r="G1991" i="1"/>
  <c r="K1991" i="1" s="1"/>
  <c r="M1991" i="1" s="1"/>
  <c r="O1991" i="1" s="1"/>
  <c r="G1990" i="1"/>
  <c r="K1990" i="1" s="1"/>
  <c r="M1990" i="1" s="1"/>
  <c r="O1990" i="1" s="1"/>
  <c r="G1989" i="1"/>
  <c r="K1989" i="1" s="1"/>
  <c r="M1989" i="1" s="1"/>
  <c r="O1989" i="1" s="1"/>
  <c r="G1987" i="1"/>
  <c r="K1987" i="1" s="1"/>
  <c r="M1987" i="1" s="1"/>
  <c r="O1987" i="1" s="1"/>
  <c r="G1986" i="1"/>
  <c r="K1986" i="1" s="1"/>
  <c r="M1986" i="1" s="1"/>
  <c r="O1986" i="1" s="1"/>
  <c r="G1985" i="1"/>
  <c r="K1985" i="1" s="1"/>
  <c r="M1985" i="1" s="1"/>
  <c r="O1985" i="1" s="1"/>
  <c r="G1984" i="1"/>
  <c r="K1984" i="1" s="1"/>
  <c r="M1984" i="1" s="1"/>
  <c r="O1984" i="1" s="1"/>
  <c r="G1983" i="1"/>
  <c r="K1983" i="1" s="1"/>
  <c r="M1983" i="1" s="1"/>
  <c r="O1983" i="1" s="1"/>
  <c r="G1982" i="1"/>
  <c r="K1982" i="1" s="1"/>
  <c r="M1982" i="1" s="1"/>
  <c r="O1982" i="1" s="1"/>
  <c r="G1981" i="1"/>
  <c r="K1981" i="1" s="1"/>
  <c r="M1981" i="1" s="1"/>
  <c r="O1981" i="1" s="1"/>
  <c r="N2064" i="1"/>
  <c r="K2049" i="1"/>
  <c r="M2049" i="1" s="1"/>
  <c r="O2049" i="1" s="1"/>
  <c r="K2048" i="1"/>
  <c r="M2048" i="1" s="1"/>
  <c r="O2048" i="1" s="1"/>
  <c r="K2047" i="1"/>
  <c r="M2047" i="1" s="1"/>
  <c r="O2047" i="1" s="1"/>
  <c r="K1995" i="1"/>
  <c r="M1995" i="1" s="1"/>
  <c r="O1995" i="1" s="1"/>
  <c r="K1994" i="1"/>
  <c r="M1994" i="1" s="1"/>
  <c r="O1994" i="1" s="1"/>
  <c r="K1988" i="1"/>
  <c r="M1988" i="1" s="1"/>
  <c r="O1988" i="1" s="1"/>
  <c r="B1982" i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N1979" i="1"/>
  <c r="G1978" i="1"/>
  <c r="G1977" i="1"/>
  <c r="K1977" i="1" s="1"/>
  <c r="M1977" i="1" s="1"/>
  <c r="O1977" i="1" s="1"/>
  <c r="G1976" i="1"/>
  <c r="K1976" i="1" s="1"/>
  <c r="M1976" i="1" s="1"/>
  <c r="O1976" i="1" s="1"/>
  <c r="G1975" i="1"/>
  <c r="K1975" i="1" s="1"/>
  <c r="M1975" i="1" s="1"/>
  <c r="O1975" i="1" s="1"/>
  <c r="G1974" i="1"/>
  <c r="K1974" i="1" s="1"/>
  <c r="M1974" i="1" s="1"/>
  <c r="O1974" i="1" s="1"/>
  <c r="G1973" i="1"/>
  <c r="G1972" i="1"/>
  <c r="K1972" i="1" s="1"/>
  <c r="M1972" i="1" s="1"/>
  <c r="O1972" i="1" s="1"/>
  <c r="G1971" i="1"/>
  <c r="K1971" i="1" s="1"/>
  <c r="M1971" i="1" s="1"/>
  <c r="O1971" i="1" s="1"/>
  <c r="G1970" i="1"/>
  <c r="K1970" i="1" s="1"/>
  <c r="M1970" i="1" s="1"/>
  <c r="O1970" i="1" s="1"/>
  <c r="G1969" i="1"/>
  <c r="K1969" i="1" s="1"/>
  <c r="M1969" i="1" s="1"/>
  <c r="O1969" i="1" s="1"/>
  <c r="G1968" i="1"/>
  <c r="K1968" i="1" s="1"/>
  <c r="M1968" i="1" s="1"/>
  <c r="O1968" i="1" s="1"/>
  <c r="G1967" i="1"/>
  <c r="K1967" i="1" s="1"/>
  <c r="M1967" i="1" s="1"/>
  <c r="O1967" i="1" s="1"/>
  <c r="G1966" i="1"/>
  <c r="K1966" i="1" s="1"/>
  <c r="M1966" i="1" s="1"/>
  <c r="O1966" i="1" s="1"/>
  <c r="G1965" i="1"/>
  <c r="K1965" i="1" s="1"/>
  <c r="M1965" i="1" s="1"/>
  <c r="O1965" i="1" s="1"/>
  <c r="G1960" i="1"/>
  <c r="K1960" i="1" s="1"/>
  <c r="M1960" i="1" s="1"/>
  <c r="O1960" i="1" s="1"/>
  <c r="G1964" i="1"/>
  <c r="K1964" i="1" s="1"/>
  <c r="M1964" i="1" s="1"/>
  <c r="O1964" i="1" s="1"/>
  <c r="G1963" i="1"/>
  <c r="G2213" i="1" s="1"/>
  <c r="G1962" i="1"/>
  <c r="K1962" i="1" s="1"/>
  <c r="M1962" i="1" s="1"/>
  <c r="O1962" i="1" s="1"/>
  <c r="G1961" i="1"/>
  <c r="K1961" i="1" s="1"/>
  <c r="M1961" i="1" s="1"/>
  <c r="O1961" i="1" s="1"/>
  <c r="G1959" i="1"/>
  <c r="K1959" i="1" s="1"/>
  <c r="M1959" i="1" s="1"/>
  <c r="O1959" i="1" s="1"/>
  <c r="G1958" i="1"/>
  <c r="K1958" i="1" s="1"/>
  <c r="M1958" i="1" s="1"/>
  <c r="O1958" i="1" s="1"/>
  <c r="G1957" i="1"/>
  <c r="K1957" i="1" s="1"/>
  <c r="M1957" i="1" s="1"/>
  <c r="O1957" i="1" s="1"/>
  <c r="G1956" i="1"/>
  <c r="K1956" i="1" s="1"/>
  <c r="M1956" i="1" s="1"/>
  <c r="O1956" i="1" s="1"/>
  <c r="G1955" i="1"/>
  <c r="K1955" i="1" s="1"/>
  <c r="M1955" i="1" s="1"/>
  <c r="O1955" i="1" s="1"/>
  <c r="G1954" i="1"/>
  <c r="K1954" i="1" s="1"/>
  <c r="M1954" i="1" s="1"/>
  <c r="O1954" i="1" s="1"/>
  <c r="G1953" i="1"/>
  <c r="K1953" i="1" s="1"/>
  <c r="M1953" i="1" s="1"/>
  <c r="O1953" i="1" s="1"/>
  <c r="G1952" i="1"/>
  <c r="K1952" i="1" s="1"/>
  <c r="M1952" i="1" s="1"/>
  <c r="O1952" i="1" s="1"/>
  <c r="G1951" i="1"/>
  <c r="K1951" i="1" s="1"/>
  <c r="M1951" i="1" s="1"/>
  <c r="O1951" i="1" s="1"/>
  <c r="G1950" i="1"/>
  <c r="K1950" i="1" s="1"/>
  <c r="M1950" i="1" s="1"/>
  <c r="O1950" i="1" s="1"/>
  <c r="G1949" i="1"/>
  <c r="K1949" i="1" s="1"/>
  <c r="M1949" i="1" s="1"/>
  <c r="O1949" i="1" s="1"/>
  <c r="G1948" i="1"/>
  <c r="K1948" i="1" s="1"/>
  <c r="M1948" i="1" s="1"/>
  <c r="O1948" i="1" s="1"/>
  <c r="G1947" i="1"/>
  <c r="K1947" i="1" s="1"/>
  <c r="M1947" i="1" s="1"/>
  <c r="O1947" i="1" s="1"/>
  <c r="G1946" i="1"/>
  <c r="K1946" i="1" s="1"/>
  <c r="M1946" i="1" s="1"/>
  <c r="O1946" i="1" s="1"/>
  <c r="G1945" i="1"/>
  <c r="K1945" i="1" s="1"/>
  <c r="M1945" i="1" s="1"/>
  <c r="O1945" i="1" s="1"/>
  <c r="G1944" i="1"/>
  <c r="K1944" i="1" s="1"/>
  <c r="M1944" i="1" s="1"/>
  <c r="O1944" i="1" s="1"/>
  <c r="G1943" i="1"/>
  <c r="K1943" i="1" s="1"/>
  <c r="M1943" i="1" s="1"/>
  <c r="O1943" i="1" s="1"/>
  <c r="G1942" i="1"/>
  <c r="K1942" i="1" s="1"/>
  <c r="M1942" i="1" s="1"/>
  <c r="O1942" i="1" s="1"/>
  <c r="G1941" i="1"/>
  <c r="K1941" i="1" s="1"/>
  <c r="M1941" i="1" s="1"/>
  <c r="O1941" i="1" s="1"/>
  <c r="G1940" i="1"/>
  <c r="K1940" i="1" s="1"/>
  <c r="M1940" i="1" s="1"/>
  <c r="O1940" i="1" s="1"/>
  <c r="G1939" i="1"/>
  <c r="K1939" i="1" s="1"/>
  <c r="M1939" i="1" s="1"/>
  <c r="O1939" i="1" s="1"/>
  <c r="G1938" i="1"/>
  <c r="K1938" i="1" s="1"/>
  <c r="M1938" i="1" s="1"/>
  <c r="O1938" i="1" s="1"/>
  <c r="G1937" i="1"/>
  <c r="K1937" i="1" s="1"/>
  <c r="M1937" i="1" s="1"/>
  <c r="O1937" i="1" s="1"/>
  <c r="G1936" i="1"/>
  <c r="K1936" i="1" s="1"/>
  <c r="M1936" i="1" s="1"/>
  <c r="O1936" i="1" s="1"/>
  <c r="G1935" i="1"/>
  <c r="K1935" i="1" s="1"/>
  <c r="M1935" i="1" s="1"/>
  <c r="O1935" i="1" s="1"/>
  <c r="G1934" i="1"/>
  <c r="K1934" i="1" s="1"/>
  <c r="M1934" i="1" s="1"/>
  <c r="O1934" i="1" s="1"/>
  <c r="G1933" i="1"/>
  <c r="K1933" i="1" s="1"/>
  <c r="M1933" i="1" s="1"/>
  <c r="O1933" i="1" s="1"/>
  <c r="G1932" i="1"/>
  <c r="K1932" i="1" s="1"/>
  <c r="M1932" i="1" s="1"/>
  <c r="O1932" i="1" s="1"/>
  <c r="G1931" i="1"/>
  <c r="K1931" i="1" s="1"/>
  <c r="M1931" i="1" s="1"/>
  <c r="O1931" i="1" s="1"/>
  <c r="G1930" i="1"/>
  <c r="K1930" i="1" s="1"/>
  <c r="M1930" i="1" s="1"/>
  <c r="O1930" i="1" s="1"/>
  <c r="G1929" i="1"/>
  <c r="K1929" i="1" s="1"/>
  <c r="M1929" i="1" s="1"/>
  <c r="O1929" i="1" s="1"/>
  <c r="G1928" i="1"/>
  <c r="K1928" i="1" s="1"/>
  <c r="M1928" i="1" s="1"/>
  <c r="O1928" i="1" s="1"/>
  <c r="G1927" i="1"/>
  <c r="K1927" i="1" s="1"/>
  <c r="M1927" i="1" s="1"/>
  <c r="O1927" i="1" s="1"/>
  <c r="G1926" i="1"/>
  <c r="K1926" i="1" s="1"/>
  <c r="M1926" i="1" s="1"/>
  <c r="O1926" i="1" s="1"/>
  <c r="G1925" i="1"/>
  <c r="K1925" i="1" s="1"/>
  <c r="M1925" i="1" s="1"/>
  <c r="O1925" i="1" s="1"/>
  <c r="G1924" i="1"/>
  <c r="K1924" i="1" s="1"/>
  <c r="M1924" i="1" s="1"/>
  <c r="O1924" i="1" s="1"/>
  <c r="G1923" i="1"/>
  <c r="K1923" i="1" s="1"/>
  <c r="M1923" i="1" s="1"/>
  <c r="O1923" i="1" s="1"/>
  <c r="G1922" i="1"/>
  <c r="K1922" i="1" s="1"/>
  <c r="M1922" i="1" s="1"/>
  <c r="O1922" i="1" s="1"/>
  <c r="G1921" i="1"/>
  <c r="K1921" i="1" s="1"/>
  <c r="M1921" i="1" s="1"/>
  <c r="O1921" i="1" s="1"/>
  <c r="G1920" i="1"/>
  <c r="K1920" i="1" s="1"/>
  <c r="M1920" i="1" s="1"/>
  <c r="O1920" i="1" s="1"/>
  <c r="G1919" i="1"/>
  <c r="K1919" i="1" s="1"/>
  <c r="M1919" i="1" s="1"/>
  <c r="O1919" i="1" s="1"/>
  <c r="G1918" i="1"/>
  <c r="K1918" i="1" s="1"/>
  <c r="M1918" i="1" s="1"/>
  <c r="O1918" i="1" s="1"/>
  <c r="G1917" i="1"/>
  <c r="K1917" i="1" s="1"/>
  <c r="M1917" i="1" s="1"/>
  <c r="O1917" i="1" s="1"/>
  <c r="G1916" i="1"/>
  <c r="K1916" i="1" s="1"/>
  <c r="M1916" i="1" s="1"/>
  <c r="O1916" i="1" s="1"/>
  <c r="G1915" i="1"/>
  <c r="K1915" i="1" s="1"/>
  <c r="M1915" i="1" s="1"/>
  <c r="O1915" i="1" s="1"/>
  <c r="G1914" i="1"/>
  <c r="G1913" i="1"/>
  <c r="G1912" i="1"/>
  <c r="K1912" i="1" s="1"/>
  <c r="M1912" i="1" s="1"/>
  <c r="O1912" i="1" s="1"/>
  <c r="G1911" i="1"/>
  <c r="K1911" i="1" s="1"/>
  <c r="M1911" i="1" s="1"/>
  <c r="O1911" i="1" s="1"/>
  <c r="G1910" i="1"/>
  <c r="G2165" i="1" s="1"/>
  <c r="G1909" i="1"/>
  <c r="K1909" i="1" s="1"/>
  <c r="M1909" i="1" s="1"/>
  <c r="O1909" i="1" s="1"/>
  <c r="G1908" i="1"/>
  <c r="K1908" i="1" s="1"/>
  <c r="M1908" i="1" s="1"/>
  <c r="O1908" i="1" s="1"/>
  <c r="G1907" i="1"/>
  <c r="K1907" i="1" s="1"/>
  <c r="M1907" i="1" s="1"/>
  <c r="O1907" i="1" s="1"/>
  <c r="G1906" i="1"/>
  <c r="K1906" i="1" s="1"/>
  <c r="M1906" i="1" s="1"/>
  <c r="O1906" i="1" s="1"/>
  <c r="G1905" i="1"/>
  <c r="K1905" i="1" s="1"/>
  <c r="M1905" i="1" s="1"/>
  <c r="O1905" i="1" s="1"/>
  <c r="G1904" i="1"/>
  <c r="K1904" i="1" s="1"/>
  <c r="M1904" i="1" s="1"/>
  <c r="O1904" i="1" s="1"/>
  <c r="G1903" i="1"/>
  <c r="G2158" i="1" s="1"/>
  <c r="G1902" i="1"/>
  <c r="K1902" i="1" s="1"/>
  <c r="M1902" i="1" s="1"/>
  <c r="O1902" i="1" s="1"/>
  <c r="G1901" i="1"/>
  <c r="K1901" i="1" s="1"/>
  <c r="M1901" i="1" s="1"/>
  <c r="O1901" i="1" s="1"/>
  <c r="G1900" i="1"/>
  <c r="K1900" i="1" s="1"/>
  <c r="M1900" i="1" s="1"/>
  <c r="O1900" i="1" s="1"/>
  <c r="G1899" i="1"/>
  <c r="G1898" i="1"/>
  <c r="G1897" i="1"/>
  <c r="K1897" i="1" s="1"/>
  <c r="M1897" i="1" s="1"/>
  <c r="O1897" i="1" s="1"/>
  <c r="J1891" i="1"/>
  <c r="I1891" i="1"/>
  <c r="H1891" i="1"/>
  <c r="J1890" i="1"/>
  <c r="I1890" i="1"/>
  <c r="H1890" i="1"/>
  <c r="J1889" i="1"/>
  <c r="I1889" i="1"/>
  <c r="H1889" i="1"/>
  <c r="J1888" i="1"/>
  <c r="I1888" i="1"/>
  <c r="H1888" i="1"/>
  <c r="J1887" i="1"/>
  <c r="I1887" i="1"/>
  <c r="H1887" i="1"/>
  <c r="J1886" i="1"/>
  <c r="I1886" i="1"/>
  <c r="H1886" i="1"/>
  <c r="J1885" i="1"/>
  <c r="I1885" i="1"/>
  <c r="H1885" i="1"/>
  <c r="G1896" i="1"/>
  <c r="K1896" i="1" s="1"/>
  <c r="M1896" i="1" s="1"/>
  <c r="O1896" i="1" s="1"/>
  <c r="B1897" i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J1884" i="1"/>
  <c r="I1884" i="1"/>
  <c r="H1884" i="1"/>
  <c r="J1883" i="1"/>
  <c r="I1883" i="1"/>
  <c r="H1883" i="1"/>
  <c r="J1882" i="1"/>
  <c r="I1882" i="1"/>
  <c r="H1882" i="1"/>
  <c r="J1881" i="1"/>
  <c r="I1881" i="1"/>
  <c r="H1881" i="1"/>
  <c r="J1880" i="1"/>
  <c r="I1880" i="1"/>
  <c r="H1880" i="1"/>
  <c r="J1879" i="1"/>
  <c r="I1879" i="1"/>
  <c r="H1879" i="1"/>
  <c r="J1878" i="1"/>
  <c r="I1878" i="1"/>
  <c r="H1878" i="1"/>
  <c r="J1877" i="1"/>
  <c r="I1877" i="1"/>
  <c r="H1877" i="1"/>
  <c r="J1876" i="1"/>
  <c r="I1876" i="1"/>
  <c r="H1876" i="1"/>
  <c r="J1875" i="1"/>
  <c r="I1875" i="1"/>
  <c r="H1875" i="1"/>
  <c r="J1874" i="1"/>
  <c r="I1874" i="1"/>
  <c r="H1874" i="1"/>
  <c r="J1873" i="1"/>
  <c r="I1873" i="1"/>
  <c r="H1873" i="1"/>
  <c r="J1872" i="1"/>
  <c r="I1872" i="1"/>
  <c r="H1872" i="1"/>
  <c r="J1871" i="1"/>
  <c r="I1871" i="1"/>
  <c r="H1871" i="1"/>
  <c r="J1870" i="1"/>
  <c r="I1870" i="1"/>
  <c r="H1870" i="1"/>
  <c r="J1869" i="1"/>
  <c r="I1869" i="1"/>
  <c r="H1869" i="1"/>
  <c r="J1868" i="1"/>
  <c r="I1868" i="1"/>
  <c r="H1868" i="1"/>
  <c r="J1867" i="1"/>
  <c r="I1867" i="1"/>
  <c r="H1867" i="1"/>
  <c r="J1866" i="1"/>
  <c r="I1866" i="1"/>
  <c r="H1866" i="1"/>
  <c r="J1865" i="1"/>
  <c r="I1865" i="1"/>
  <c r="H1865" i="1"/>
  <c r="J1864" i="1"/>
  <c r="I1864" i="1"/>
  <c r="H1864" i="1"/>
  <c r="J1863" i="1"/>
  <c r="I1863" i="1"/>
  <c r="H1863" i="1"/>
  <c r="J1862" i="1"/>
  <c r="I1862" i="1"/>
  <c r="H1862" i="1"/>
  <c r="J1861" i="1"/>
  <c r="I1861" i="1"/>
  <c r="H1861" i="1"/>
  <c r="J1860" i="1"/>
  <c r="I1860" i="1"/>
  <c r="H1860" i="1"/>
  <c r="J1893" i="1"/>
  <c r="I1893" i="1"/>
  <c r="H1893" i="1"/>
  <c r="J1859" i="1"/>
  <c r="I1859" i="1"/>
  <c r="H1859" i="1"/>
  <c r="N1894" i="1"/>
  <c r="B1893" i="1"/>
  <c r="G1855" i="1"/>
  <c r="G1854" i="1"/>
  <c r="K1854" i="1" s="1"/>
  <c r="M1854" i="1" s="1"/>
  <c r="O1854" i="1" s="1"/>
  <c r="G1853" i="1"/>
  <c r="K1853" i="1" s="1"/>
  <c r="M1853" i="1" s="1"/>
  <c r="O1853" i="1" s="1"/>
  <c r="G1852" i="1"/>
  <c r="K1852" i="1" s="1"/>
  <c r="M1852" i="1" s="1"/>
  <c r="O1852" i="1" s="1"/>
  <c r="G1851" i="1"/>
  <c r="K1851" i="1" s="1"/>
  <c r="M1851" i="1" s="1"/>
  <c r="O1851" i="1" s="1"/>
  <c r="G1850" i="1"/>
  <c r="G1849" i="1"/>
  <c r="G1848" i="1"/>
  <c r="G1847" i="1"/>
  <c r="K1847" i="1" s="1"/>
  <c r="M1847" i="1" s="1"/>
  <c r="O1847" i="1" s="1"/>
  <c r="G1846" i="1"/>
  <c r="K1846" i="1" s="1"/>
  <c r="M1846" i="1" s="1"/>
  <c r="O1846" i="1" s="1"/>
  <c r="G1841" i="1"/>
  <c r="K1841" i="1" s="1"/>
  <c r="M1841" i="1" s="1"/>
  <c r="O1841" i="1" s="1"/>
  <c r="G1840" i="1"/>
  <c r="K1840" i="1" s="1"/>
  <c r="M1840" i="1" s="1"/>
  <c r="O1840" i="1" s="1"/>
  <c r="G1839" i="1"/>
  <c r="K1839" i="1" s="1"/>
  <c r="M1839" i="1" s="1"/>
  <c r="O1839" i="1" s="1"/>
  <c r="G1835" i="1"/>
  <c r="K1835" i="1" s="1"/>
  <c r="M1835" i="1" s="1"/>
  <c r="O1835" i="1" s="1"/>
  <c r="G1834" i="1"/>
  <c r="K1834" i="1" s="1"/>
  <c r="M1834" i="1" s="1"/>
  <c r="O1834" i="1" s="1"/>
  <c r="G1833" i="1"/>
  <c r="K1833" i="1" s="1"/>
  <c r="M1833" i="1" s="1"/>
  <c r="O1833" i="1" s="1"/>
  <c r="G1832" i="1"/>
  <c r="K1832" i="1" s="1"/>
  <c r="M1832" i="1" s="1"/>
  <c r="O1832" i="1" s="1"/>
  <c r="G1831" i="1"/>
  <c r="K1831" i="1" s="1"/>
  <c r="M1831" i="1" s="1"/>
  <c r="O1831" i="1" s="1"/>
  <c r="G1830" i="1"/>
  <c r="K1830" i="1" s="1"/>
  <c r="M1830" i="1" s="1"/>
  <c r="O1830" i="1" s="1"/>
  <c r="G1829" i="1"/>
  <c r="G1828" i="1"/>
  <c r="K1828" i="1" s="1"/>
  <c r="M1828" i="1" s="1"/>
  <c r="O1828" i="1" s="1"/>
  <c r="G1824" i="1"/>
  <c r="K1824" i="1" s="1"/>
  <c r="M1824" i="1" s="1"/>
  <c r="O1824" i="1" s="1"/>
  <c r="G1823" i="1"/>
  <c r="K1823" i="1" s="1"/>
  <c r="M1823" i="1" s="1"/>
  <c r="O1823" i="1" s="1"/>
  <c r="N1857" i="1"/>
  <c r="K1856" i="1"/>
  <c r="M1856" i="1" s="1"/>
  <c r="O1856" i="1" s="1"/>
  <c r="K1845" i="1"/>
  <c r="M1845" i="1" s="1"/>
  <c r="O1845" i="1" s="1"/>
  <c r="K1844" i="1"/>
  <c r="M1844" i="1" s="1"/>
  <c r="O1844" i="1" s="1"/>
  <c r="K1843" i="1"/>
  <c r="M1843" i="1" s="1"/>
  <c r="O1843" i="1" s="1"/>
  <c r="K1842" i="1"/>
  <c r="M1842" i="1" s="1"/>
  <c r="O1842" i="1" s="1"/>
  <c r="K1838" i="1"/>
  <c r="M1838" i="1" s="1"/>
  <c r="O1838" i="1" s="1"/>
  <c r="K1837" i="1"/>
  <c r="M1837" i="1" s="1"/>
  <c r="O1837" i="1" s="1"/>
  <c r="K1836" i="1"/>
  <c r="M1836" i="1" s="1"/>
  <c r="O1836" i="1" s="1"/>
  <c r="K1827" i="1"/>
  <c r="M1827" i="1" s="1"/>
  <c r="O1827" i="1" s="1"/>
  <c r="K1826" i="1"/>
  <c r="M1826" i="1" s="1"/>
  <c r="O1826" i="1" s="1"/>
  <c r="K1825" i="1"/>
  <c r="M1825" i="1" s="1"/>
  <c r="O1825" i="1" s="1"/>
  <c r="B1824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G1819" i="1"/>
  <c r="K1819" i="1" s="1"/>
  <c r="M1819" i="1" s="1"/>
  <c r="O1819" i="1" s="1"/>
  <c r="G1818" i="1"/>
  <c r="K1818" i="1" s="1"/>
  <c r="M1818" i="1" s="1"/>
  <c r="O1818" i="1" s="1"/>
  <c r="G1817" i="1"/>
  <c r="K1817" i="1" s="1"/>
  <c r="M1817" i="1" s="1"/>
  <c r="O1817" i="1" s="1"/>
  <c r="G1816" i="1"/>
  <c r="K1816" i="1" s="1"/>
  <c r="M1816" i="1" s="1"/>
  <c r="O1816" i="1" s="1"/>
  <c r="G1815" i="1"/>
  <c r="K1815" i="1" s="1"/>
  <c r="M1815" i="1" s="1"/>
  <c r="O1815" i="1" s="1"/>
  <c r="G1814" i="1"/>
  <c r="K1814" i="1" s="1"/>
  <c r="M1814" i="1" s="1"/>
  <c r="O1814" i="1" s="1"/>
  <c r="G1813" i="1"/>
  <c r="K1813" i="1" s="1"/>
  <c r="M1813" i="1" s="1"/>
  <c r="O1813" i="1" s="1"/>
  <c r="G1812" i="1"/>
  <c r="K1812" i="1" s="1"/>
  <c r="M1812" i="1" s="1"/>
  <c r="O1812" i="1" s="1"/>
  <c r="G1811" i="1"/>
  <c r="K1811" i="1" s="1"/>
  <c r="M1811" i="1" s="1"/>
  <c r="O1811" i="1" s="1"/>
  <c r="G1810" i="1"/>
  <c r="G1805" i="1"/>
  <c r="K1805" i="1" s="1"/>
  <c r="M1805" i="1" s="1"/>
  <c r="O1805" i="1" s="1"/>
  <c r="G1804" i="1"/>
  <c r="K1804" i="1" s="1"/>
  <c r="M1804" i="1" s="1"/>
  <c r="O1804" i="1" s="1"/>
  <c r="G1803" i="1"/>
  <c r="K1803" i="1" s="1"/>
  <c r="M1803" i="1" s="1"/>
  <c r="O1803" i="1" s="1"/>
  <c r="G1799" i="1"/>
  <c r="K1799" i="1" s="1"/>
  <c r="M1799" i="1" s="1"/>
  <c r="O1799" i="1" s="1"/>
  <c r="G1798" i="1"/>
  <c r="K1798" i="1" s="1"/>
  <c r="M1798" i="1" s="1"/>
  <c r="O1798" i="1" s="1"/>
  <c r="G1797" i="1"/>
  <c r="K1797" i="1" s="1"/>
  <c r="M1797" i="1" s="1"/>
  <c r="O1797" i="1" s="1"/>
  <c r="G1796" i="1"/>
  <c r="K1796" i="1" s="1"/>
  <c r="M1796" i="1" s="1"/>
  <c r="O1796" i="1" s="1"/>
  <c r="G1795" i="1"/>
  <c r="K1795" i="1" s="1"/>
  <c r="M1795" i="1" s="1"/>
  <c r="O1795" i="1" s="1"/>
  <c r="G1794" i="1"/>
  <c r="K1794" i="1" s="1"/>
  <c r="M1794" i="1" s="1"/>
  <c r="O1794" i="1" s="1"/>
  <c r="G1793" i="1"/>
  <c r="K1793" i="1" s="1"/>
  <c r="M1793" i="1" s="1"/>
  <c r="O1793" i="1" s="1"/>
  <c r="G1792" i="1"/>
  <c r="K1792" i="1" s="1"/>
  <c r="M1792" i="1" s="1"/>
  <c r="O1792" i="1" s="1"/>
  <c r="G1788" i="1"/>
  <c r="K1788" i="1" s="1"/>
  <c r="M1788" i="1" s="1"/>
  <c r="O1788" i="1" s="1"/>
  <c r="G1787" i="1"/>
  <c r="K1787" i="1" s="1"/>
  <c r="M1787" i="1" s="1"/>
  <c r="O1787" i="1" s="1"/>
  <c r="N1821" i="1"/>
  <c r="K1820" i="1"/>
  <c r="M1820" i="1" s="1"/>
  <c r="O1820" i="1" s="1"/>
  <c r="K1809" i="1"/>
  <c r="M1809" i="1" s="1"/>
  <c r="O1809" i="1" s="1"/>
  <c r="K1808" i="1"/>
  <c r="M1808" i="1" s="1"/>
  <c r="O1808" i="1" s="1"/>
  <c r="K1807" i="1"/>
  <c r="M1807" i="1" s="1"/>
  <c r="O1807" i="1" s="1"/>
  <c r="K1806" i="1"/>
  <c r="M1806" i="1" s="1"/>
  <c r="O1806" i="1" s="1"/>
  <c r="K1802" i="1"/>
  <c r="M1802" i="1" s="1"/>
  <c r="O1802" i="1" s="1"/>
  <c r="K1801" i="1"/>
  <c r="M1801" i="1" s="1"/>
  <c r="O1801" i="1" s="1"/>
  <c r="K1800" i="1"/>
  <c r="M1800" i="1" s="1"/>
  <c r="O1800" i="1" s="1"/>
  <c r="K1791" i="1"/>
  <c r="M1791" i="1" s="1"/>
  <c r="O1791" i="1" s="1"/>
  <c r="K1790" i="1"/>
  <c r="M1790" i="1" s="1"/>
  <c r="O1790" i="1" s="1"/>
  <c r="K1789" i="1"/>
  <c r="M1789" i="1" s="1"/>
  <c r="O1789" i="1" s="1"/>
  <c r="B1788" i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N1785" i="1"/>
  <c r="J1743" i="1"/>
  <c r="I1743" i="1"/>
  <c r="H1743" i="1"/>
  <c r="J1742" i="1"/>
  <c r="I1742" i="1"/>
  <c r="H1742" i="1"/>
  <c r="J1748" i="1"/>
  <c r="I1748" i="1"/>
  <c r="H1748" i="1"/>
  <c r="G1737" i="1"/>
  <c r="K1737" i="1" s="1"/>
  <c r="M1737" i="1" s="1"/>
  <c r="O1737" i="1" s="1"/>
  <c r="G1736" i="1"/>
  <c r="K1736" i="1" s="1"/>
  <c r="M1736" i="1" s="1"/>
  <c r="O1736" i="1" s="1"/>
  <c r="G1735" i="1"/>
  <c r="K1735" i="1" s="1"/>
  <c r="M1735" i="1" s="1"/>
  <c r="O1735" i="1" s="1"/>
  <c r="N1738" i="1"/>
  <c r="J1717" i="1"/>
  <c r="I1717" i="1"/>
  <c r="H1717" i="1"/>
  <c r="G1714" i="1"/>
  <c r="K1714" i="1" s="1"/>
  <c r="M1714" i="1" s="1"/>
  <c r="O1714" i="1" s="1"/>
  <c r="J1702" i="1"/>
  <c r="G1593" i="1"/>
  <c r="K1593" i="1" s="1"/>
  <c r="M1593" i="1" s="1"/>
  <c r="O1593" i="1" s="1"/>
  <c r="J1692" i="1"/>
  <c r="I1692" i="1"/>
  <c r="H1692" i="1"/>
  <c r="J1691" i="1"/>
  <c r="I1691" i="1"/>
  <c r="H1691" i="1"/>
  <c r="J1690" i="1"/>
  <c r="I1690" i="1"/>
  <c r="H1690" i="1"/>
  <c r="J1689" i="1"/>
  <c r="I1689" i="1"/>
  <c r="H1689" i="1"/>
  <c r="J1688" i="1"/>
  <c r="I1688" i="1"/>
  <c r="H1688" i="1"/>
  <c r="J1687" i="1"/>
  <c r="I1687" i="1"/>
  <c r="H1687" i="1"/>
  <c r="I1702" i="1"/>
  <c r="H1702" i="1"/>
  <c r="J1686" i="1"/>
  <c r="I1686" i="1"/>
  <c r="H1686" i="1"/>
  <c r="J1685" i="1"/>
  <c r="I1685" i="1"/>
  <c r="H1685" i="1"/>
  <c r="J1684" i="1"/>
  <c r="I1684" i="1"/>
  <c r="H1684" i="1"/>
  <c r="J1683" i="1"/>
  <c r="I1683" i="1"/>
  <c r="H1683" i="1"/>
  <c r="J1682" i="1"/>
  <c r="I1682" i="1"/>
  <c r="H1682" i="1"/>
  <c r="J1703" i="1"/>
  <c r="I1703" i="1"/>
  <c r="H1703" i="1"/>
  <c r="J1696" i="1"/>
  <c r="I1696" i="1"/>
  <c r="H1696" i="1"/>
  <c r="J1681" i="1"/>
  <c r="I1681" i="1"/>
  <c r="H1681" i="1"/>
  <c r="J1680" i="1"/>
  <c r="I1680" i="1"/>
  <c r="H1680" i="1"/>
  <c r="J1679" i="1"/>
  <c r="I1679" i="1"/>
  <c r="H1679" i="1"/>
  <c r="J1699" i="1"/>
  <c r="I1699" i="1"/>
  <c r="H1699" i="1"/>
  <c r="J1678" i="1"/>
  <c r="I1678" i="1"/>
  <c r="H1678" i="1"/>
  <c r="J1677" i="1"/>
  <c r="I1677" i="1"/>
  <c r="H1677" i="1"/>
  <c r="J1701" i="1"/>
  <c r="I1701" i="1"/>
  <c r="H1701" i="1"/>
  <c r="J1676" i="1"/>
  <c r="I1676" i="1"/>
  <c r="H1676" i="1"/>
  <c r="J1697" i="1"/>
  <c r="I1697" i="1"/>
  <c r="H1697" i="1"/>
  <c r="J1675" i="1"/>
  <c r="I1675" i="1"/>
  <c r="H1675" i="1"/>
  <c r="J1674" i="1"/>
  <c r="I1674" i="1"/>
  <c r="H1674" i="1"/>
  <c r="J1694" i="1"/>
  <c r="I1694" i="1"/>
  <c r="H1694" i="1"/>
  <c r="J1673" i="1"/>
  <c r="I1673" i="1"/>
  <c r="H1673" i="1"/>
  <c r="J1672" i="1"/>
  <c r="I1672" i="1"/>
  <c r="H1672" i="1"/>
  <c r="J1671" i="1"/>
  <c r="I1671" i="1"/>
  <c r="H1671" i="1"/>
  <c r="J1670" i="1"/>
  <c r="I1670" i="1"/>
  <c r="H1670" i="1"/>
  <c r="J1669" i="1"/>
  <c r="I1669" i="1"/>
  <c r="H1669" i="1"/>
  <c r="J1668" i="1"/>
  <c r="I1668" i="1"/>
  <c r="H1668" i="1"/>
  <c r="J1667" i="1"/>
  <c r="I1667" i="1"/>
  <c r="H1667" i="1"/>
  <c r="J1698" i="1"/>
  <c r="I1698" i="1"/>
  <c r="H1698" i="1"/>
  <c r="J1666" i="1"/>
  <c r="I1666" i="1"/>
  <c r="H1666" i="1"/>
  <c r="J1700" i="1"/>
  <c r="I1700" i="1"/>
  <c r="H1700" i="1"/>
  <c r="J1665" i="1"/>
  <c r="I1665" i="1"/>
  <c r="H1665" i="1"/>
  <c r="J1664" i="1"/>
  <c r="I1664" i="1"/>
  <c r="H1664" i="1"/>
  <c r="J1663" i="1"/>
  <c r="I1663" i="1"/>
  <c r="H1663" i="1"/>
  <c r="J1662" i="1"/>
  <c r="I1662" i="1"/>
  <c r="H1662" i="1"/>
  <c r="J1661" i="1"/>
  <c r="I1661" i="1"/>
  <c r="H1661" i="1"/>
  <c r="J1660" i="1"/>
  <c r="I1660" i="1"/>
  <c r="H1660" i="1"/>
  <c r="J1704" i="1"/>
  <c r="I1704" i="1"/>
  <c r="H1704" i="1"/>
  <c r="J1659" i="1"/>
  <c r="I1659" i="1"/>
  <c r="H1659" i="1"/>
  <c r="J1658" i="1"/>
  <c r="I1658" i="1"/>
  <c r="H1658" i="1"/>
  <c r="J1657" i="1"/>
  <c r="I1657" i="1"/>
  <c r="H1657" i="1"/>
  <c r="J1656" i="1"/>
  <c r="I1656" i="1"/>
  <c r="H1656" i="1"/>
  <c r="J1655" i="1"/>
  <c r="I1655" i="1"/>
  <c r="H1655" i="1"/>
  <c r="J1654" i="1"/>
  <c r="I1654" i="1"/>
  <c r="H1654" i="1"/>
  <c r="J1695" i="1"/>
  <c r="I1695" i="1"/>
  <c r="H1695" i="1"/>
  <c r="N1705" i="1"/>
  <c r="B1655" i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G1651" i="1"/>
  <c r="K1651" i="1" s="1"/>
  <c r="M1651" i="1" s="1"/>
  <c r="O1651" i="1" s="1"/>
  <c r="G1650" i="1"/>
  <c r="K1650" i="1" s="1"/>
  <c r="M1650" i="1" s="1"/>
  <c r="O1650" i="1" s="1"/>
  <c r="G1649" i="1"/>
  <c r="K1649" i="1" s="1"/>
  <c r="M1649" i="1" s="1"/>
  <c r="O1649" i="1" s="1"/>
  <c r="G1648" i="1"/>
  <c r="K1648" i="1" s="1"/>
  <c r="M1648" i="1" s="1"/>
  <c r="O1648" i="1" s="1"/>
  <c r="G1647" i="1"/>
  <c r="K1647" i="1" s="1"/>
  <c r="M1647" i="1" s="1"/>
  <c r="O1647" i="1" s="1"/>
  <c r="G1646" i="1"/>
  <c r="K1646" i="1" s="1"/>
  <c r="M1646" i="1" s="1"/>
  <c r="O1646" i="1" s="1"/>
  <c r="G1644" i="1"/>
  <c r="K1644" i="1" s="1"/>
  <c r="M1644" i="1" s="1"/>
  <c r="O1644" i="1" s="1"/>
  <c r="G1643" i="1"/>
  <c r="K1643" i="1" s="1"/>
  <c r="M1643" i="1" s="1"/>
  <c r="O1643" i="1" s="1"/>
  <c r="G1642" i="1"/>
  <c r="K1642" i="1" s="1"/>
  <c r="M1642" i="1" s="1"/>
  <c r="O1642" i="1" s="1"/>
  <c r="G1641" i="1"/>
  <c r="K1641" i="1" s="1"/>
  <c r="M1641" i="1" s="1"/>
  <c r="O1641" i="1" s="1"/>
  <c r="G1640" i="1"/>
  <c r="K1640" i="1" s="1"/>
  <c r="M1640" i="1" s="1"/>
  <c r="O1640" i="1" s="1"/>
  <c r="G1639" i="1"/>
  <c r="K1639" i="1" s="1"/>
  <c r="M1639" i="1" s="1"/>
  <c r="O1639" i="1" s="1"/>
  <c r="G1638" i="1"/>
  <c r="K1638" i="1" s="1"/>
  <c r="M1638" i="1" s="1"/>
  <c r="O1638" i="1" s="1"/>
  <c r="G1637" i="1"/>
  <c r="K1637" i="1" s="1"/>
  <c r="M1637" i="1" s="1"/>
  <c r="O1637" i="1" s="1"/>
  <c r="G1636" i="1"/>
  <c r="K1636" i="1" s="1"/>
  <c r="M1636" i="1" s="1"/>
  <c r="O1636" i="1" s="1"/>
  <c r="G1635" i="1"/>
  <c r="K1635" i="1" s="1"/>
  <c r="M1635" i="1" s="1"/>
  <c r="O1635" i="1" s="1"/>
  <c r="G1634" i="1"/>
  <c r="K1634" i="1" s="1"/>
  <c r="M1634" i="1" s="1"/>
  <c r="O1634" i="1" s="1"/>
  <c r="G1633" i="1"/>
  <c r="G1632" i="1"/>
  <c r="K1632" i="1" s="1"/>
  <c r="M1632" i="1" s="1"/>
  <c r="O1632" i="1" s="1"/>
  <c r="G1631" i="1"/>
  <c r="K1631" i="1" s="1"/>
  <c r="M1631" i="1" s="1"/>
  <c r="O1631" i="1" s="1"/>
  <c r="G1630" i="1"/>
  <c r="K1630" i="1" s="1"/>
  <c r="M1630" i="1" s="1"/>
  <c r="O1630" i="1" s="1"/>
  <c r="G1629" i="1"/>
  <c r="K1629" i="1" s="1"/>
  <c r="M1629" i="1" s="1"/>
  <c r="O1629" i="1" s="1"/>
  <c r="G1628" i="1"/>
  <c r="G1626" i="1"/>
  <c r="K1626" i="1" s="1"/>
  <c r="M1626" i="1" s="1"/>
  <c r="O1626" i="1" s="1"/>
  <c r="G1625" i="1"/>
  <c r="K1625" i="1" s="1"/>
  <c r="M1625" i="1" s="1"/>
  <c r="O1625" i="1" s="1"/>
  <c r="G1624" i="1"/>
  <c r="K1624" i="1" s="1"/>
  <c r="M1624" i="1" s="1"/>
  <c r="O1624" i="1" s="1"/>
  <c r="G1623" i="1"/>
  <c r="K1623" i="1" s="1"/>
  <c r="M1623" i="1" s="1"/>
  <c r="O1623" i="1" s="1"/>
  <c r="G1622" i="1"/>
  <c r="K1622" i="1" s="1"/>
  <c r="M1622" i="1" s="1"/>
  <c r="O1622" i="1" s="1"/>
  <c r="G1621" i="1"/>
  <c r="K1621" i="1" s="1"/>
  <c r="M1621" i="1" s="1"/>
  <c r="O1621" i="1" s="1"/>
  <c r="G1620" i="1"/>
  <c r="K1620" i="1" s="1"/>
  <c r="M1620" i="1" s="1"/>
  <c r="O1620" i="1" s="1"/>
  <c r="G1618" i="1"/>
  <c r="K1618" i="1" s="1"/>
  <c r="M1618" i="1" s="1"/>
  <c r="O1618" i="1" s="1"/>
  <c r="G1617" i="1"/>
  <c r="K1617" i="1" s="1"/>
  <c r="M1617" i="1" s="1"/>
  <c r="O1617" i="1" s="1"/>
  <c r="G1616" i="1"/>
  <c r="K1616" i="1" s="1"/>
  <c r="M1616" i="1" s="1"/>
  <c r="O1616" i="1" s="1"/>
  <c r="G1615" i="1"/>
  <c r="G1614" i="1"/>
  <c r="K1614" i="1" s="1"/>
  <c r="M1614" i="1" s="1"/>
  <c r="O1614" i="1" s="1"/>
  <c r="G1613" i="1"/>
  <c r="K1613" i="1" s="1"/>
  <c r="M1613" i="1" s="1"/>
  <c r="O1613" i="1" s="1"/>
  <c r="G1612" i="1"/>
  <c r="K1612" i="1" s="1"/>
  <c r="M1612" i="1" s="1"/>
  <c r="O1612" i="1" s="1"/>
  <c r="G1611" i="1"/>
  <c r="K1611" i="1" s="1"/>
  <c r="M1611" i="1" s="1"/>
  <c r="O1611" i="1" s="1"/>
  <c r="G1610" i="1"/>
  <c r="K1610" i="1" s="1"/>
  <c r="M1610" i="1" s="1"/>
  <c r="O1610" i="1" s="1"/>
  <c r="G1609" i="1"/>
  <c r="K1609" i="1" s="1"/>
  <c r="M1609" i="1" s="1"/>
  <c r="O1609" i="1" s="1"/>
  <c r="G1608" i="1"/>
  <c r="K1608" i="1" s="1"/>
  <c r="M1608" i="1" s="1"/>
  <c r="O1608" i="1" s="1"/>
  <c r="G1607" i="1"/>
  <c r="K1607" i="1" s="1"/>
  <c r="M1607" i="1" s="1"/>
  <c r="O1607" i="1" s="1"/>
  <c r="G1606" i="1"/>
  <c r="K1606" i="1" s="1"/>
  <c r="M1606" i="1" s="1"/>
  <c r="O1606" i="1" s="1"/>
  <c r="G1605" i="1"/>
  <c r="K1605" i="1" s="1"/>
  <c r="M1605" i="1" s="1"/>
  <c r="O1605" i="1" s="1"/>
  <c r="G1604" i="1"/>
  <c r="K1604" i="1" s="1"/>
  <c r="M1604" i="1" s="1"/>
  <c r="O1604" i="1" s="1"/>
  <c r="G1603" i="1"/>
  <c r="K1603" i="1" s="1"/>
  <c r="M1603" i="1" s="1"/>
  <c r="O1603" i="1" s="1"/>
  <c r="G1602" i="1"/>
  <c r="K1602" i="1" s="1"/>
  <c r="M1602" i="1" s="1"/>
  <c r="O1602" i="1" s="1"/>
  <c r="N1652" i="1"/>
  <c r="K1645" i="1"/>
  <c r="M1645" i="1" s="1"/>
  <c r="O1645" i="1" s="1"/>
  <c r="K1627" i="1"/>
  <c r="M1627" i="1" s="1"/>
  <c r="O1627" i="1" s="1"/>
  <c r="K1619" i="1"/>
  <c r="M1619" i="1" s="1"/>
  <c r="O1619" i="1" s="1"/>
  <c r="B1603" i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G1599" i="1"/>
  <c r="K1599" i="1" s="1"/>
  <c r="M1599" i="1" s="1"/>
  <c r="O1599" i="1" s="1"/>
  <c r="G1598" i="1"/>
  <c r="K1598" i="1" s="1"/>
  <c r="M1598" i="1" s="1"/>
  <c r="O1598" i="1" s="1"/>
  <c r="G1597" i="1"/>
  <c r="K1597" i="1" s="1"/>
  <c r="M1597" i="1" s="1"/>
  <c r="O1597" i="1" s="1"/>
  <c r="G1596" i="1"/>
  <c r="K1596" i="1" s="1"/>
  <c r="M1596" i="1" s="1"/>
  <c r="O1596" i="1" s="1"/>
  <c r="G1595" i="1"/>
  <c r="K1595" i="1" s="1"/>
  <c r="M1595" i="1" s="1"/>
  <c r="O1595" i="1" s="1"/>
  <c r="G1594" i="1"/>
  <c r="K1594" i="1" s="1"/>
  <c r="M1594" i="1" s="1"/>
  <c r="O1594" i="1" s="1"/>
  <c r="G1592" i="1"/>
  <c r="K1592" i="1" s="1"/>
  <c r="M1592" i="1" s="1"/>
  <c r="O1592" i="1" s="1"/>
  <c r="G1591" i="1"/>
  <c r="K1591" i="1" s="1"/>
  <c r="M1591" i="1" s="1"/>
  <c r="O1591" i="1" s="1"/>
  <c r="G1590" i="1"/>
  <c r="K1590" i="1" s="1"/>
  <c r="M1590" i="1" s="1"/>
  <c r="O1590" i="1" s="1"/>
  <c r="G1589" i="1"/>
  <c r="K1589" i="1" s="1"/>
  <c r="M1589" i="1" s="1"/>
  <c r="O1589" i="1" s="1"/>
  <c r="G1588" i="1"/>
  <c r="K1588" i="1" s="1"/>
  <c r="M1588" i="1" s="1"/>
  <c r="O1588" i="1" s="1"/>
  <c r="G1587" i="1"/>
  <c r="K1587" i="1" s="1"/>
  <c r="M1587" i="1" s="1"/>
  <c r="O1587" i="1" s="1"/>
  <c r="G1586" i="1"/>
  <c r="K1586" i="1" s="1"/>
  <c r="M1586" i="1" s="1"/>
  <c r="O1586" i="1" s="1"/>
  <c r="G1585" i="1"/>
  <c r="K1585" i="1" s="1"/>
  <c r="M1585" i="1" s="1"/>
  <c r="O1585" i="1" s="1"/>
  <c r="G1584" i="1"/>
  <c r="K1584" i="1" s="1"/>
  <c r="M1584" i="1" s="1"/>
  <c r="O1584" i="1" s="1"/>
  <c r="G1583" i="1"/>
  <c r="K1583" i="1" s="1"/>
  <c r="M1583" i="1" s="1"/>
  <c r="O1583" i="1" s="1"/>
  <c r="G1582" i="1"/>
  <c r="K1582" i="1" s="1"/>
  <c r="M1582" i="1" s="1"/>
  <c r="O1582" i="1" s="1"/>
  <c r="G1581" i="1"/>
  <c r="K1581" i="1" s="1"/>
  <c r="M1581" i="1" s="1"/>
  <c r="O1581" i="1" s="1"/>
  <c r="G1580" i="1"/>
  <c r="K1580" i="1" s="1"/>
  <c r="M1580" i="1" s="1"/>
  <c r="O1580" i="1" s="1"/>
  <c r="G1579" i="1"/>
  <c r="K1579" i="1" s="1"/>
  <c r="M1579" i="1" s="1"/>
  <c r="O1579" i="1" s="1"/>
  <c r="G1578" i="1"/>
  <c r="K1578" i="1" s="1"/>
  <c r="M1578" i="1" s="1"/>
  <c r="O1578" i="1" s="1"/>
  <c r="G1577" i="1"/>
  <c r="K1577" i="1" s="1"/>
  <c r="M1577" i="1" s="1"/>
  <c r="O1577" i="1" s="1"/>
  <c r="G1576" i="1"/>
  <c r="K1576" i="1" s="1"/>
  <c r="M1576" i="1" s="1"/>
  <c r="O1576" i="1" s="1"/>
  <c r="G1575" i="1"/>
  <c r="K1575" i="1" s="1"/>
  <c r="M1575" i="1" s="1"/>
  <c r="O1575" i="1" s="1"/>
  <c r="G1574" i="1"/>
  <c r="K1574" i="1" s="1"/>
  <c r="M1574" i="1" s="1"/>
  <c r="O1574" i="1" s="1"/>
  <c r="G1573" i="1"/>
  <c r="K1573" i="1" s="1"/>
  <c r="M1573" i="1" s="1"/>
  <c r="O1573" i="1" s="1"/>
  <c r="G1572" i="1"/>
  <c r="K1572" i="1" s="1"/>
  <c r="M1572" i="1" s="1"/>
  <c r="O1572" i="1" s="1"/>
  <c r="G1571" i="1"/>
  <c r="K1571" i="1" s="1"/>
  <c r="M1571" i="1" s="1"/>
  <c r="O1571" i="1" s="1"/>
  <c r="G1570" i="1"/>
  <c r="K1570" i="1" s="1"/>
  <c r="M1570" i="1" s="1"/>
  <c r="O1570" i="1" s="1"/>
  <c r="G1569" i="1"/>
  <c r="K1569" i="1" s="1"/>
  <c r="M1569" i="1" s="1"/>
  <c r="O1569" i="1" s="1"/>
  <c r="G1568" i="1"/>
  <c r="K1568" i="1" s="1"/>
  <c r="M1568" i="1" s="1"/>
  <c r="O1568" i="1" s="1"/>
  <c r="G1567" i="1"/>
  <c r="K1567" i="1" s="1"/>
  <c r="M1567" i="1" s="1"/>
  <c r="O1567" i="1" s="1"/>
  <c r="G1566" i="1"/>
  <c r="K1566" i="1" s="1"/>
  <c r="M1566" i="1" s="1"/>
  <c r="O1566" i="1" s="1"/>
  <c r="G1565" i="1"/>
  <c r="K1565" i="1" s="1"/>
  <c r="M1565" i="1" s="1"/>
  <c r="O1565" i="1" s="1"/>
  <c r="G1564" i="1"/>
  <c r="K1564" i="1" s="1"/>
  <c r="M1564" i="1" s="1"/>
  <c r="O1564" i="1" s="1"/>
  <c r="G1563" i="1"/>
  <c r="K1563" i="1" s="1"/>
  <c r="M1563" i="1" s="1"/>
  <c r="O1563" i="1" s="1"/>
  <c r="G1562" i="1"/>
  <c r="K1562" i="1" s="1"/>
  <c r="M1562" i="1" s="1"/>
  <c r="O1562" i="1" s="1"/>
  <c r="G1561" i="1"/>
  <c r="K1561" i="1" s="1"/>
  <c r="M1561" i="1" s="1"/>
  <c r="O1561" i="1" s="1"/>
  <c r="G1560" i="1"/>
  <c r="K1560" i="1" s="1"/>
  <c r="M1560" i="1" s="1"/>
  <c r="O1560" i="1" s="1"/>
  <c r="G1559" i="1"/>
  <c r="K1559" i="1" s="1"/>
  <c r="M1559" i="1" s="1"/>
  <c r="O1559" i="1" s="1"/>
  <c r="G1558" i="1"/>
  <c r="K1558" i="1" s="1"/>
  <c r="M1558" i="1" s="1"/>
  <c r="O1558" i="1" s="1"/>
  <c r="G1557" i="1"/>
  <c r="K1557" i="1" s="1"/>
  <c r="M1557" i="1" s="1"/>
  <c r="O1557" i="1" s="1"/>
  <c r="G1556" i="1"/>
  <c r="K1556" i="1" s="1"/>
  <c r="M1556" i="1" s="1"/>
  <c r="O1556" i="1" s="1"/>
  <c r="G1555" i="1"/>
  <c r="K1555" i="1" s="1"/>
  <c r="M1555" i="1" s="1"/>
  <c r="O1555" i="1" s="1"/>
  <c r="G1554" i="1"/>
  <c r="K1554" i="1" s="1"/>
  <c r="M1554" i="1" s="1"/>
  <c r="O1554" i="1" s="1"/>
  <c r="G1553" i="1"/>
  <c r="K1553" i="1" s="1"/>
  <c r="M1553" i="1" s="1"/>
  <c r="O1553" i="1" s="1"/>
  <c r="G1552" i="1"/>
  <c r="K1552" i="1" s="1"/>
  <c r="M1552" i="1" s="1"/>
  <c r="O1552" i="1" s="1"/>
  <c r="G1551" i="1"/>
  <c r="K1551" i="1" s="1"/>
  <c r="M1551" i="1" s="1"/>
  <c r="O1551" i="1" s="1"/>
  <c r="G1550" i="1"/>
  <c r="K1550" i="1" s="1"/>
  <c r="M1550" i="1" s="1"/>
  <c r="O1550" i="1" s="1"/>
  <c r="N1600" i="1"/>
  <c r="B1551" i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N1227" i="1"/>
  <c r="J1226" i="1"/>
  <c r="I1226" i="1"/>
  <c r="H1226" i="1"/>
  <c r="J1225" i="1"/>
  <c r="I1225" i="1"/>
  <c r="H1225" i="1"/>
  <c r="J1224" i="1"/>
  <c r="I1224" i="1"/>
  <c r="H1224" i="1"/>
  <c r="J1223" i="1"/>
  <c r="I1223" i="1"/>
  <c r="H1223" i="1"/>
  <c r="J1222" i="1"/>
  <c r="I1222" i="1"/>
  <c r="H1222" i="1"/>
  <c r="J1221" i="1"/>
  <c r="I1221" i="1"/>
  <c r="H1221" i="1"/>
  <c r="J1220" i="1"/>
  <c r="I1220" i="1"/>
  <c r="H1220" i="1"/>
  <c r="J1219" i="1"/>
  <c r="I1219" i="1"/>
  <c r="H1219" i="1"/>
  <c r="J1218" i="1"/>
  <c r="I1218" i="1"/>
  <c r="H1218" i="1"/>
  <c r="J1217" i="1"/>
  <c r="I1217" i="1"/>
  <c r="H1217" i="1"/>
  <c r="J1216" i="1"/>
  <c r="I1216" i="1"/>
  <c r="H1216" i="1"/>
  <c r="J1215" i="1"/>
  <c r="I1215" i="1"/>
  <c r="H1215" i="1"/>
  <c r="J1214" i="1"/>
  <c r="I1214" i="1"/>
  <c r="H1214" i="1"/>
  <c r="J1213" i="1"/>
  <c r="I1213" i="1"/>
  <c r="H1213" i="1"/>
  <c r="J1212" i="1"/>
  <c r="I1212" i="1"/>
  <c r="H1212" i="1"/>
  <c r="J1211" i="1"/>
  <c r="I1211" i="1"/>
  <c r="H1211" i="1"/>
  <c r="J1210" i="1"/>
  <c r="I1210" i="1"/>
  <c r="H1210" i="1"/>
  <c r="J1209" i="1"/>
  <c r="I1209" i="1"/>
  <c r="H1209" i="1"/>
  <c r="J1208" i="1"/>
  <c r="I1208" i="1"/>
  <c r="H1208" i="1"/>
  <c r="J1207" i="1"/>
  <c r="I1207" i="1"/>
  <c r="H1207" i="1"/>
  <c r="J1206" i="1"/>
  <c r="I1206" i="1"/>
  <c r="H1206" i="1"/>
  <c r="J1205" i="1"/>
  <c r="I1205" i="1"/>
  <c r="H1205" i="1"/>
  <c r="J1204" i="1"/>
  <c r="I1204" i="1"/>
  <c r="H1204" i="1"/>
  <c r="J1203" i="1"/>
  <c r="I1203" i="1"/>
  <c r="H1203" i="1"/>
  <c r="N1749" i="1"/>
  <c r="G1746" i="1"/>
  <c r="K1746" i="1" s="1"/>
  <c r="M1746" i="1" s="1"/>
  <c r="O1746" i="1" s="1"/>
  <c r="G1745" i="1"/>
  <c r="K1745" i="1" s="1"/>
  <c r="M1745" i="1" s="1"/>
  <c r="O1745" i="1" s="1"/>
  <c r="G1744" i="1"/>
  <c r="K1744" i="1" s="1"/>
  <c r="M1744" i="1" s="1"/>
  <c r="O1744" i="1" s="1"/>
  <c r="G1741" i="1"/>
  <c r="K1741" i="1" s="1"/>
  <c r="M1741" i="1" s="1"/>
  <c r="O1741" i="1" s="1"/>
  <c r="G1740" i="1"/>
  <c r="K1740" i="1" s="1"/>
  <c r="M1740" i="1" s="1"/>
  <c r="O1740" i="1" s="1"/>
  <c r="N1718" i="1"/>
  <c r="G1716" i="1"/>
  <c r="K1716" i="1" s="1"/>
  <c r="M1716" i="1" s="1"/>
  <c r="O1716" i="1" s="1"/>
  <c r="J1490" i="1"/>
  <c r="I1490" i="1"/>
  <c r="H1490" i="1"/>
  <c r="J1489" i="1"/>
  <c r="I1489" i="1"/>
  <c r="H1489" i="1"/>
  <c r="J1488" i="1"/>
  <c r="I1488" i="1"/>
  <c r="H1488" i="1"/>
  <c r="J1487" i="1"/>
  <c r="I1487" i="1"/>
  <c r="H1487" i="1"/>
  <c r="J1486" i="1"/>
  <c r="I1486" i="1"/>
  <c r="H1486" i="1"/>
  <c r="J1485" i="1"/>
  <c r="I1485" i="1"/>
  <c r="H1485" i="1"/>
  <c r="J1493" i="1"/>
  <c r="I1493" i="1"/>
  <c r="H1493" i="1"/>
  <c r="J1484" i="1"/>
  <c r="I1484" i="1"/>
  <c r="H1484" i="1"/>
  <c r="J1483" i="1"/>
  <c r="I1483" i="1"/>
  <c r="H1483" i="1"/>
  <c r="J1482" i="1"/>
  <c r="I1482" i="1"/>
  <c r="H1482" i="1"/>
  <c r="J1481" i="1"/>
  <c r="H1481" i="1"/>
  <c r="J1480" i="1"/>
  <c r="I1480" i="1"/>
  <c r="H1480" i="1"/>
  <c r="J1479" i="1"/>
  <c r="I1479" i="1"/>
  <c r="H1479" i="1"/>
  <c r="J1478" i="1"/>
  <c r="I1478" i="1"/>
  <c r="H1478" i="1"/>
  <c r="J1494" i="1"/>
  <c r="I1494" i="1"/>
  <c r="H1494" i="1"/>
  <c r="J1477" i="1"/>
  <c r="I1477" i="1"/>
  <c r="H1477" i="1"/>
  <c r="J1476" i="1"/>
  <c r="I1476" i="1"/>
  <c r="H1476" i="1"/>
  <c r="J1475" i="1"/>
  <c r="I1475" i="1"/>
  <c r="H1475" i="1"/>
  <c r="J1474" i="1"/>
  <c r="I1474" i="1"/>
  <c r="H1474" i="1"/>
  <c r="J1492" i="1"/>
  <c r="I1492" i="1"/>
  <c r="H1492" i="1"/>
  <c r="J1473" i="1"/>
  <c r="I1473" i="1"/>
  <c r="H1473" i="1"/>
  <c r="J1472" i="1"/>
  <c r="I1472" i="1"/>
  <c r="H1472" i="1"/>
  <c r="J1471" i="1"/>
  <c r="I1471" i="1"/>
  <c r="H1471" i="1"/>
  <c r="J1470" i="1"/>
  <c r="I1470" i="1"/>
  <c r="H1470" i="1"/>
  <c r="J1469" i="1"/>
  <c r="I1469" i="1"/>
  <c r="H1469" i="1"/>
  <c r="J1468" i="1"/>
  <c r="I1468" i="1"/>
  <c r="H1468" i="1"/>
  <c r="J1467" i="1"/>
  <c r="I1467" i="1"/>
  <c r="H1467" i="1"/>
  <c r="J1466" i="1"/>
  <c r="I1466" i="1"/>
  <c r="H1466" i="1"/>
  <c r="J1465" i="1"/>
  <c r="I1465" i="1"/>
  <c r="H1465" i="1"/>
  <c r="J1464" i="1"/>
  <c r="I1464" i="1"/>
  <c r="H1464" i="1"/>
  <c r="J1463" i="1"/>
  <c r="I1463" i="1"/>
  <c r="H1463" i="1"/>
  <c r="J1462" i="1"/>
  <c r="I1462" i="1"/>
  <c r="H1462" i="1"/>
  <c r="J1461" i="1"/>
  <c r="I1461" i="1"/>
  <c r="H1461" i="1"/>
  <c r="J1460" i="1"/>
  <c r="I1460" i="1"/>
  <c r="H1460" i="1"/>
  <c r="J1459" i="1"/>
  <c r="I1459" i="1"/>
  <c r="H1459" i="1"/>
  <c r="J1458" i="1"/>
  <c r="I1458" i="1"/>
  <c r="H1458" i="1"/>
  <c r="J1457" i="1"/>
  <c r="I1457" i="1"/>
  <c r="H1457" i="1"/>
  <c r="J1456" i="1"/>
  <c r="I1456" i="1"/>
  <c r="H1456" i="1"/>
  <c r="J1455" i="1"/>
  <c r="I1455" i="1"/>
  <c r="H1455" i="1"/>
  <c r="J1454" i="1"/>
  <c r="I1454" i="1"/>
  <c r="H1454" i="1"/>
  <c r="J1453" i="1"/>
  <c r="I1453" i="1"/>
  <c r="H1453" i="1"/>
  <c r="J1452" i="1"/>
  <c r="I1452" i="1"/>
  <c r="H1452" i="1"/>
  <c r="J1451" i="1"/>
  <c r="I1451" i="1"/>
  <c r="H1451" i="1"/>
  <c r="J1450" i="1"/>
  <c r="I1450" i="1"/>
  <c r="H1450" i="1"/>
  <c r="J1449" i="1"/>
  <c r="I1449" i="1"/>
  <c r="H1449" i="1"/>
  <c r="J1448" i="1"/>
  <c r="I1448" i="1"/>
  <c r="H1448" i="1"/>
  <c r="J1447" i="1"/>
  <c r="I1447" i="1"/>
  <c r="H1447" i="1"/>
  <c r="J1446" i="1"/>
  <c r="I1446" i="1"/>
  <c r="H1446" i="1"/>
  <c r="J1445" i="1"/>
  <c r="I1445" i="1"/>
  <c r="H1445" i="1"/>
  <c r="J1444" i="1"/>
  <c r="I1444" i="1"/>
  <c r="H1444" i="1"/>
  <c r="J1443" i="1"/>
  <c r="I1443" i="1"/>
  <c r="H1443" i="1"/>
  <c r="J1442" i="1"/>
  <c r="I1442" i="1"/>
  <c r="H1442" i="1"/>
  <c r="J1441" i="1"/>
  <c r="I1441" i="1"/>
  <c r="H1441" i="1"/>
  <c r="J1440" i="1"/>
  <c r="I1440" i="1"/>
  <c r="H1440" i="1"/>
  <c r="J1439" i="1"/>
  <c r="I1439" i="1"/>
  <c r="H1439" i="1"/>
  <c r="J1438" i="1"/>
  <c r="I1438" i="1"/>
  <c r="H1438" i="1"/>
  <c r="J1437" i="1"/>
  <c r="I1437" i="1"/>
  <c r="H1437" i="1"/>
  <c r="J1436" i="1"/>
  <c r="I1436" i="1"/>
  <c r="H1436" i="1"/>
  <c r="N1495" i="1"/>
  <c r="B1437" i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N1200" i="1"/>
  <c r="J1202" i="1"/>
  <c r="I1202" i="1"/>
  <c r="H1202" i="1"/>
  <c r="B1203" i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N1118" i="1"/>
  <c r="J1117" i="1"/>
  <c r="I1117" i="1"/>
  <c r="H1117" i="1"/>
  <c r="J1116" i="1"/>
  <c r="I1116" i="1"/>
  <c r="H1116" i="1"/>
  <c r="J1115" i="1"/>
  <c r="I1115" i="1"/>
  <c r="H1115" i="1"/>
  <c r="J1114" i="1"/>
  <c r="I1114" i="1"/>
  <c r="H1114" i="1"/>
  <c r="J1113" i="1"/>
  <c r="I1113" i="1"/>
  <c r="H1113" i="1"/>
  <c r="J1112" i="1"/>
  <c r="I1112" i="1"/>
  <c r="H1112" i="1"/>
  <c r="J1111" i="1"/>
  <c r="I1111" i="1"/>
  <c r="H1111" i="1"/>
  <c r="J1110" i="1"/>
  <c r="I1110" i="1"/>
  <c r="H1110" i="1"/>
  <c r="J1109" i="1"/>
  <c r="I1109" i="1"/>
  <c r="H1109" i="1"/>
  <c r="J1108" i="1"/>
  <c r="I1108" i="1"/>
  <c r="H1108" i="1"/>
  <c r="J1068" i="1"/>
  <c r="I1068" i="1"/>
  <c r="H1068" i="1"/>
  <c r="J1067" i="1"/>
  <c r="I1067" i="1"/>
  <c r="H1067" i="1"/>
  <c r="O3142" i="1" l="1"/>
  <c r="O3143" i="1" s="1"/>
  <c r="B2230" i="1"/>
  <c r="B2170" i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365" i="1"/>
  <c r="B2354" i="1"/>
  <c r="B2355" i="1" s="1"/>
  <c r="B2356" i="1" s="1"/>
  <c r="B2357" i="1" s="1"/>
  <c r="B2358" i="1" s="1"/>
  <c r="B2359" i="1" s="1"/>
  <c r="B2360" i="1" s="1"/>
  <c r="B2361" i="1" s="1"/>
  <c r="B2362" i="1" s="1"/>
  <c r="B2363" i="1" s="1"/>
  <c r="B3120" i="1"/>
  <c r="B2969" i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125" i="1"/>
  <c r="B1698" i="1"/>
  <c r="B1667" i="1"/>
  <c r="B1668" i="1" s="1"/>
  <c r="B1669" i="1" s="1"/>
  <c r="B1670" i="1" s="1"/>
  <c r="B1671" i="1" s="1"/>
  <c r="B1672" i="1" s="1"/>
  <c r="B1673" i="1" s="1"/>
  <c r="G3066" i="1"/>
  <c r="K3066" i="1" s="1"/>
  <c r="M3066" i="1" s="1"/>
  <c r="O3066" i="1" s="1"/>
  <c r="G2973" i="1"/>
  <c r="K2973" i="1" s="1"/>
  <c r="M2973" i="1" s="1"/>
  <c r="O2973" i="1" s="1"/>
  <c r="K2543" i="1"/>
  <c r="M2543" i="1" s="1"/>
  <c r="O2543" i="1" s="1"/>
  <c r="K2544" i="1"/>
  <c r="M2544" i="1" s="1"/>
  <c r="O2544" i="1" s="1"/>
  <c r="K2547" i="1"/>
  <c r="M2547" i="1" s="1"/>
  <c r="O2547" i="1" s="1"/>
  <c r="K2487" i="1"/>
  <c r="M2487" i="1" s="1"/>
  <c r="O2487" i="1" s="1"/>
  <c r="K2546" i="1"/>
  <c r="M2546" i="1" s="1"/>
  <c r="O2546" i="1" s="1"/>
  <c r="G2957" i="1"/>
  <c r="K2957" i="1" s="1"/>
  <c r="M2957" i="1" s="1"/>
  <c r="O2957" i="1" s="1"/>
  <c r="G2985" i="1"/>
  <c r="K2985" i="1" s="1"/>
  <c r="M2985" i="1" s="1"/>
  <c r="O2985" i="1" s="1"/>
  <c r="K2541" i="1"/>
  <c r="M2541" i="1" s="1"/>
  <c r="O2541" i="1" s="1"/>
  <c r="O2939" i="1"/>
  <c r="G2953" i="1"/>
  <c r="K2953" i="1" s="1"/>
  <c r="M2953" i="1" s="1"/>
  <c r="O2953" i="1" s="1"/>
  <c r="G2980" i="1"/>
  <c r="K2980" i="1" s="1"/>
  <c r="M2980" i="1" s="1"/>
  <c r="O2980" i="1" s="1"/>
  <c r="G2960" i="1"/>
  <c r="K2960" i="1" s="1"/>
  <c r="M2960" i="1" s="1"/>
  <c r="O2960" i="1" s="1"/>
  <c r="K2386" i="1"/>
  <c r="M2386" i="1" s="1"/>
  <c r="O2386" i="1" s="1"/>
  <c r="G2955" i="1"/>
  <c r="M2955" i="1" s="1"/>
  <c r="O2955" i="1" s="1"/>
  <c r="K2387" i="1"/>
  <c r="M2387" i="1" s="1"/>
  <c r="O2387" i="1" s="1"/>
  <c r="G2998" i="1"/>
  <c r="K2998" i="1" s="1"/>
  <c r="M2998" i="1" s="1"/>
  <c r="O2998" i="1" s="1"/>
  <c r="G3070" i="1"/>
  <c r="K3070" i="1" s="1"/>
  <c r="M3070" i="1" s="1"/>
  <c r="O3070" i="1" s="1"/>
  <c r="G3082" i="1"/>
  <c r="K3082" i="1" s="1"/>
  <c r="M3082" i="1" s="1"/>
  <c r="O3082" i="1" s="1"/>
  <c r="K2407" i="1"/>
  <c r="M2407" i="1" s="1"/>
  <c r="O2407" i="1" s="1"/>
  <c r="G3053" i="1"/>
  <c r="K3053" i="1" s="1"/>
  <c r="M3053" i="1" s="1"/>
  <c r="O3053" i="1" s="1"/>
  <c r="G3017" i="1"/>
  <c r="K3017" i="1" s="1"/>
  <c r="M3017" i="1" s="1"/>
  <c r="O3017" i="1" s="1"/>
  <c r="K2473" i="1"/>
  <c r="M2473" i="1" s="1"/>
  <c r="O2473" i="1" s="1"/>
  <c r="G3087" i="1"/>
  <c r="K3087" i="1" s="1"/>
  <c r="M3087" i="1" s="1"/>
  <c r="O3087" i="1" s="1"/>
  <c r="G3123" i="1"/>
  <c r="K3123" i="1" s="1"/>
  <c r="M3123" i="1" s="1"/>
  <c r="O3123" i="1" s="1"/>
  <c r="K2393" i="1"/>
  <c r="M2393" i="1" s="1"/>
  <c r="O2393" i="1" s="1"/>
  <c r="K2545" i="1"/>
  <c r="M2545" i="1" s="1"/>
  <c r="O2545" i="1" s="1"/>
  <c r="G2975" i="1"/>
  <c r="K2975" i="1" s="1"/>
  <c r="M2975" i="1" s="1"/>
  <c r="O2975" i="1" s="1"/>
  <c r="G3111" i="1"/>
  <c r="M3111" i="1" s="1"/>
  <c r="O3111" i="1" s="1"/>
  <c r="G2962" i="1"/>
  <c r="K2962" i="1" s="1"/>
  <c r="M2962" i="1" s="1"/>
  <c r="O2962" i="1" s="1"/>
  <c r="G3083" i="1"/>
  <c r="M3083" i="1" s="1"/>
  <c r="O3083" i="1" s="1"/>
  <c r="G3121" i="1"/>
  <c r="K3121" i="1" s="1"/>
  <c r="M3121" i="1" s="1"/>
  <c r="O3121" i="1" s="1"/>
  <c r="G2950" i="1"/>
  <c r="K2950" i="1" s="1"/>
  <c r="M2950" i="1" s="1"/>
  <c r="O2950" i="1" s="1"/>
  <c r="K2489" i="1"/>
  <c r="M2489" i="1" s="1"/>
  <c r="O2489" i="1" s="1"/>
  <c r="G3012" i="1"/>
  <c r="K3012" i="1" s="1"/>
  <c r="M3012" i="1" s="1"/>
  <c r="O3012" i="1" s="1"/>
  <c r="K2502" i="1"/>
  <c r="M2502" i="1" s="1"/>
  <c r="O2502" i="1" s="1"/>
  <c r="G3124" i="1"/>
  <c r="K3124" i="1" s="1"/>
  <c r="M3124" i="1" s="1"/>
  <c r="O3124" i="1" s="1"/>
  <c r="G2970" i="1"/>
  <c r="K2970" i="1" s="1"/>
  <c r="M2970" i="1" s="1"/>
  <c r="O2970" i="1" s="1"/>
  <c r="G3048" i="1"/>
  <c r="K3048" i="1" s="1"/>
  <c r="M3048" i="1" s="1"/>
  <c r="O3048" i="1" s="1"/>
  <c r="K2504" i="1"/>
  <c r="M2504" i="1" s="1"/>
  <c r="O2504" i="1" s="1"/>
  <c r="G2979" i="1"/>
  <c r="K2979" i="1" s="1"/>
  <c r="M2979" i="1" s="1"/>
  <c r="O2979" i="1" s="1"/>
  <c r="G2956" i="1"/>
  <c r="K2956" i="1" s="1"/>
  <c r="M2956" i="1" s="1"/>
  <c r="O2956" i="1" s="1"/>
  <c r="K2466" i="1"/>
  <c r="M2466" i="1" s="1"/>
  <c r="O2466" i="1" s="1"/>
  <c r="K2505" i="1"/>
  <c r="M2505" i="1" s="1"/>
  <c r="O2505" i="1" s="1"/>
  <c r="G2954" i="1"/>
  <c r="K2954" i="1" s="1"/>
  <c r="M2954" i="1" s="1"/>
  <c r="O2954" i="1" s="1"/>
  <c r="G3113" i="1"/>
  <c r="K3113" i="1" s="1"/>
  <c r="M3113" i="1" s="1"/>
  <c r="O3113" i="1" s="1"/>
  <c r="G3047" i="1"/>
  <c r="K3047" i="1" s="1"/>
  <c r="M3047" i="1" s="1"/>
  <c r="O3047" i="1" s="1"/>
  <c r="K2467" i="1"/>
  <c r="M2467" i="1" s="1"/>
  <c r="O2467" i="1" s="1"/>
  <c r="K2506" i="1"/>
  <c r="M2506" i="1" s="1"/>
  <c r="O2506" i="1" s="1"/>
  <c r="G2989" i="1"/>
  <c r="K2989" i="1" s="1"/>
  <c r="M2989" i="1" s="1"/>
  <c r="O2989" i="1" s="1"/>
  <c r="K2507" i="1"/>
  <c r="M2507" i="1" s="1"/>
  <c r="O2507" i="1" s="1"/>
  <c r="G3126" i="1"/>
  <c r="K3126" i="1" s="1"/>
  <c r="M3126" i="1" s="1"/>
  <c r="O3126" i="1" s="1"/>
  <c r="K2511" i="1"/>
  <c r="M2511" i="1" s="1"/>
  <c r="O2511" i="1" s="1"/>
  <c r="G3109" i="1"/>
  <c r="K3109" i="1" s="1"/>
  <c r="M3109" i="1" s="1"/>
  <c r="O3109" i="1" s="1"/>
  <c r="G3110" i="1"/>
  <c r="K3110" i="1" s="1"/>
  <c r="M3110" i="1" s="1"/>
  <c r="O3110" i="1" s="1"/>
  <c r="G3072" i="1"/>
  <c r="K3072" i="1" s="1"/>
  <c r="M3072" i="1" s="1"/>
  <c r="O3072" i="1" s="1"/>
  <c r="K2427" i="1"/>
  <c r="M2427" i="1" s="1"/>
  <c r="O2427" i="1" s="1"/>
  <c r="K2527" i="1"/>
  <c r="M2527" i="1" s="1"/>
  <c r="O2527" i="1" s="1"/>
  <c r="G3085" i="1"/>
  <c r="K3085" i="1" s="1"/>
  <c r="M3085" i="1" s="1"/>
  <c r="O3085" i="1" s="1"/>
  <c r="G3055" i="1"/>
  <c r="K3055" i="1" s="1"/>
  <c r="M3055" i="1" s="1"/>
  <c r="O3055" i="1" s="1"/>
  <c r="K2430" i="1"/>
  <c r="M2430" i="1" s="1"/>
  <c r="O2430" i="1" s="1"/>
  <c r="G3008" i="1"/>
  <c r="K3008" i="1" s="1"/>
  <c r="M3008" i="1" s="1"/>
  <c r="O3008" i="1" s="1"/>
  <c r="G3086" i="1"/>
  <c r="K3086" i="1" s="1"/>
  <c r="M3086" i="1" s="1"/>
  <c r="O3086" i="1" s="1"/>
  <c r="G3035" i="1"/>
  <c r="K3035" i="1" s="1"/>
  <c r="M3035" i="1" s="1"/>
  <c r="O3035" i="1" s="1"/>
  <c r="K2542" i="1"/>
  <c r="M2542" i="1" s="1"/>
  <c r="O2542" i="1" s="1"/>
  <c r="G2994" i="1"/>
  <c r="K2994" i="1" s="1"/>
  <c r="M2994" i="1" s="1"/>
  <c r="O2994" i="1" s="1"/>
  <c r="G2990" i="1"/>
  <c r="K2990" i="1" s="1"/>
  <c r="M2990" i="1" s="1"/>
  <c r="O2990" i="1" s="1"/>
  <c r="K2394" i="1"/>
  <c r="M2394" i="1" s="1"/>
  <c r="O2394" i="1" s="1"/>
  <c r="G3021" i="1"/>
  <c r="K3021" i="1" s="1"/>
  <c r="M3021" i="1" s="1"/>
  <c r="O3021" i="1" s="1"/>
  <c r="K2391" i="1"/>
  <c r="M2391" i="1" s="1"/>
  <c r="O2391" i="1" s="1"/>
  <c r="G2963" i="1"/>
  <c r="K2963" i="1" s="1"/>
  <c r="M2963" i="1" s="1"/>
  <c r="O2963" i="1" s="1"/>
  <c r="K2531" i="1"/>
  <c r="M2531" i="1" s="1"/>
  <c r="O2531" i="1" s="1"/>
  <c r="G3092" i="1"/>
  <c r="K3092" i="1" s="1"/>
  <c r="M3092" i="1" s="1"/>
  <c r="O3092" i="1" s="1"/>
  <c r="G2952" i="1"/>
  <c r="M2952" i="1" s="1"/>
  <c r="O2952" i="1" s="1"/>
  <c r="G2978" i="1"/>
  <c r="K2978" i="1" s="1"/>
  <c r="M2978" i="1" s="1"/>
  <c r="O2978" i="1" s="1"/>
  <c r="G3095" i="1"/>
  <c r="K3095" i="1" s="1"/>
  <c r="M3095" i="1" s="1"/>
  <c r="O3095" i="1" s="1"/>
  <c r="G3074" i="1"/>
  <c r="K3074" i="1" s="1"/>
  <c r="M3074" i="1" s="1"/>
  <c r="O3074" i="1" s="1"/>
  <c r="K2515" i="1"/>
  <c r="M2515" i="1" s="1"/>
  <c r="O2515" i="1" s="1"/>
  <c r="G3077" i="1"/>
  <c r="K3077" i="1" s="1"/>
  <c r="M3077" i="1" s="1"/>
  <c r="O3077" i="1" s="1"/>
  <c r="K2532" i="1"/>
  <c r="M2532" i="1" s="1"/>
  <c r="O2532" i="1" s="1"/>
  <c r="G3093" i="1"/>
  <c r="K3093" i="1" s="1"/>
  <c r="M3093" i="1" s="1"/>
  <c r="O3093" i="1" s="1"/>
  <c r="G3003" i="1"/>
  <c r="K3003" i="1" s="1"/>
  <c r="M3003" i="1" s="1"/>
  <c r="O3003" i="1" s="1"/>
  <c r="G3117" i="1"/>
  <c r="K3117" i="1" s="1"/>
  <c r="M3117" i="1" s="1"/>
  <c r="O3117" i="1" s="1"/>
  <c r="G2997" i="1"/>
  <c r="K2997" i="1" s="1"/>
  <c r="M2997" i="1" s="1"/>
  <c r="O2997" i="1" s="1"/>
  <c r="G2946" i="1"/>
  <c r="K2946" i="1" s="1"/>
  <c r="M2946" i="1" s="1"/>
  <c r="O2946" i="1" s="1"/>
  <c r="K2415" i="1"/>
  <c r="M2415" i="1" s="1"/>
  <c r="O2415" i="1" s="1"/>
  <c r="G2982" i="1"/>
  <c r="K2982" i="1" s="1"/>
  <c r="M2982" i="1" s="1"/>
  <c r="O2982" i="1" s="1"/>
  <c r="K2392" i="1"/>
  <c r="M2392" i="1" s="1"/>
  <c r="O2392" i="1" s="1"/>
  <c r="K2533" i="1"/>
  <c r="M2533" i="1" s="1"/>
  <c r="O2533" i="1" s="1"/>
  <c r="G3094" i="1"/>
  <c r="K3094" i="1" s="1"/>
  <c r="M3094" i="1" s="1"/>
  <c r="O3094" i="1" s="1"/>
  <c r="K2553" i="1"/>
  <c r="M2553" i="1" s="1"/>
  <c r="O2553" i="1" s="1"/>
  <c r="G3114" i="1"/>
  <c r="K3114" i="1" s="1"/>
  <c r="M3114" i="1" s="1"/>
  <c r="O3114" i="1" s="1"/>
  <c r="G2999" i="1"/>
  <c r="K2999" i="1" s="1"/>
  <c r="M2999" i="1" s="1"/>
  <c r="O2999" i="1" s="1"/>
  <c r="G3112" i="1"/>
  <c r="K3112" i="1" s="1"/>
  <c r="M3112" i="1" s="1"/>
  <c r="O3112" i="1" s="1"/>
  <c r="G3101" i="1"/>
  <c r="K3101" i="1" s="1"/>
  <c r="M3101" i="1" s="1"/>
  <c r="O3101" i="1" s="1"/>
  <c r="G2988" i="1"/>
  <c r="K2988" i="1" s="1"/>
  <c r="M2988" i="1" s="1"/>
  <c r="O2988" i="1" s="1"/>
  <c r="G3078" i="1"/>
  <c r="K3078" i="1" s="1"/>
  <c r="M3078" i="1" s="1"/>
  <c r="O3078" i="1" s="1"/>
  <c r="G3042" i="1"/>
  <c r="K3042" i="1" s="1"/>
  <c r="M3042" i="1" s="1"/>
  <c r="O3042" i="1" s="1"/>
  <c r="K2536" i="1"/>
  <c r="M2536" i="1" s="1"/>
  <c r="O2536" i="1" s="1"/>
  <c r="K2459" i="1"/>
  <c r="M2459" i="1" s="1"/>
  <c r="O2459" i="1" s="1"/>
  <c r="G3024" i="1"/>
  <c r="M3024" i="1" s="1"/>
  <c r="O3024" i="1" s="1"/>
  <c r="K2479" i="1"/>
  <c r="M2479" i="1" s="1"/>
  <c r="O2479" i="1" s="1"/>
  <c r="G3044" i="1"/>
  <c r="M3044" i="1" s="1"/>
  <c r="O3044" i="1" s="1"/>
  <c r="K2519" i="1"/>
  <c r="M2519" i="1" s="1"/>
  <c r="O2519" i="1" s="1"/>
  <c r="G3080" i="1"/>
  <c r="K3080" i="1" s="1"/>
  <c r="M3080" i="1" s="1"/>
  <c r="O3080" i="1" s="1"/>
  <c r="G3004" i="1"/>
  <c r="K3004" i="1" s="1"/>
  <c r="M3004" i="1" s="1"/>
  <c r="O3004" i="1" s="1"/>
  <c r="G3019" i="1"/>
  <c r="K3019" i="1" s="1"/>
  <c r="M3019" i="1" s="1"/>
  <c r="O3019" i="1" s="1"/>
  <c r="K2460" i="1"/>
  <c r="M2460" i="1" s="1"/>
  <c r="O2460" i="1" s="1"/>
  <c r="G3025" i="1"/>
  <c r="K3025" i="1" s="1"/>
  <c r="M3025" i="1" s="1"/>
  <c r="O3025" i="1" s="1"/>
  <c r="K2480" i="1"/>
  <c r="M2480" i="1" s="1"/>
  <c r="O2480" i="1" s="1"/>
  <c r="G3045" i="1"/>
  <c r="K3045" i="1" s="1"/>
  <c r="M3045" i="1" s="1"/>
  <c r="O3045" i="1" s="1"/>
  <c r="K2500" i="1"/>
  <c r="M2500" i="1" s="1"/>
  <c r="O2500" i="1" s="1"/>
  <c r="G3065" i="1"/>
  <c r="K3065" i="1" s="1"/>
  <c r="M3065" i="1" s="1"/>
  <c r="O3065" i="1" s="1"/>
  <c r="K2520" i="1"/>
  <c r="M2520" i="1" s="1"/>
  <c r="O2520" i="1" s="1"/>
  <c r="G3081" i="1"/>
  <c r="K3081" i="1" s="1"/>
  <c r="M3081" i="1" s="1"/>
  <c r="O3081" i="1" s="1"/>
  <c r="K2560" i="1"/>
  <c r="M2560" i="1" s="1"/>
  <c r="O2560" i="1" s="1"/>
  <c r="G2942" i="1"/>
  <c r="K2942" i="1" s="1"/>
  <c r="M2942" i="1" s="1"/>
  <c r="O2942" i="1" s="1"/>
  <c r="G2941" i="1"/>
  <c r="G2987" i="1"/>
  <c r="K2987" i="1" s="1"/>
  <c r="M2987" i="1" s="1"/>
  <c r="O2987" i="1" s="1"/>
  <c r="G3061" i="1"/>
  <c r="K3061" i="1" s="1"/>
  <c r="M3061" i="1" s="1"/>
  <c r="O3061" i="1" s="1"/>
  <c r="K2457" i="1"/>
  <c r="M2457" i="1" s="1"/>
  <c r="O2457" i="1" s="1"/>
  <c r="G3022" i="1"/>
  <c r="K3022" i="1" s="1"/>
  <c r="M3022" i="1" s="1"/>
  <c r="O3022" i="1" s="1"/>
  <c r="K2474" i="1"/>
  <c r="M2474" i="1" s="1"/>
  <c r="O2474" i="1" s="1"/>
  <c r="K2571" i="1"/>
  <c r="M2571" i="1" s="1"/>
  <c r="O2571" i="1" s="1"/>
  <c r="K2561" i="1"/>
  <c r="M2561" i="1" s="1"/>
  <c r="O2561" i="1" s="1"/>
  <c r="G2943" i="1"/>
  <c r="M2943" i="1" s="1"/>
  <c r="O2943" i="1" s="1"/>
  <c r="G3056" i="1"/>
  <c r="K3056" i="1" s="1"/>
  <c r="M3056" i="1" s="1"/>
  <c r="O3056" i="1" s="1"/>
  <c r="K2446" i="1"/>
  <c r="M2446" i="1" s="1"/>
  <c r="O2446" i="1" s="1"/>
  <c r="K2475" i="1"/>
  <c r="M2475" i="1" s="1"/>
  <c r="O2475" i="1" s="1"/>
  <c r="K2572" i="1"/>
  <c r="M2572" i="1" s="1"/>
  <c r="O2572" i="1" s="1"/>
  <c r="K2562" i="1"/>
  <c r="M2562" i="1" s="1"/>
  <c r="O2562" i="1" s="1"/>
  <c r="G2944" i="1"/>
  <c r="K2944" i="1" s="1"/>
  <c r="M2944" i="1" s="1"/>
  <c r="O2944" i="1" s="1"/>
  <c r="G3099" i="1"/>
  <c r="K3099" i="1" s="1"/>
  <c r="M3099" i="1" s="1"/>
  <c r="O3099" i="1" s="1"/>
  <c r="G3005" i="1"/>
  <c r="K3005" i="1" s="1"/>
  <c r="M3005" i="1" s="1"/>
  <c r="O3005" i="1" s="1"/>
  <c r="G3046" i="1"/>
  <c r="K3046" i="1" s="1"/>
  <c r="M3046" i="1" s="1"/>
  <c r="O3046" i="1" s="1"/>
  <c r="G2949" i="1"/>
  <c r="K2949" i="1" s="1"/>
  <c r="M2949" i="1" s="1"/>
  <c r="O2949" i="1" s="1"/>
  <c r="G3015" i="1"/>
  <c r="K3015" i="1" s="1"/>
  <c r="M3015" i="1" s="1"/>
  <c r="O3015" i="1" s="1"/>
  <c r="K2476" i="1"/>
  <c r="M2476" i="1" s="1"/>
  <c r="O2476" i="1" s="1"/>
  <c r="K2563" i="1"/>
  <c r="M2563" i="1" s="1"/>
  <c r="O2563" i="1" s="1"/>
  <c r="G2945" i="1"/>
  <c r="K2945" i="1" s="1"/>
  <c r="M2945" i="1" s="1"/>
  <c r="O2945" i="1" s="1"/>
  <c r="G3079" i="1"/>
  <c r="K3079" i="1" s="1"/>
  <c r="M3079" i="1" s="1"/>
  <c r="O3079" i="1" s="1"/>
  <c r="G3120" i="1"/>
  <c r="K3120" i="1" s="1"/>
  <c r="M3120" i="1" s="1"/>
  <c r="O3120" i="1" s="1"/>
  <c r="G3029" i="1"/>
  <c r="K3029" i="1" s="1"/>
  <c r="M3029" i="1" s="1"/>
  <c r="O3029" i="1" s="1"/>
  <c r="G2969" i="1"/>
  <c r="K2969" i="1" s="1"/>
  <c r="M2969" i="1" s="1"/>
  <c r="O2969" i="1" s="1"/>
  <c r="G2995" i="1"/>
  <c r="M2995" i="1" s="1"/>
  <c r="O2995" i="1" s="1"/>
  <c r="K2434" i="1"/>
  <c r="M2434" i="1" s="1"/>
  <c r="O2434" i="1" s="1"/>
  <c r="G3000" i="1"/>
  <c r="K3000" i="1" s="1"/>
  <c r="M3000" i="1" s="1"/>
  <c r="O3000" i="1" s="1"/>
  <c r="K2495" i="1"/>
  <c r="M2495" i="1" s="1"/>
  <c r="O2495" i="1" s="1"/>
  <c r="G3060" i="1"/>
  <c r="K3060" i="1" s="1"/>
  <c r="M3060" i="1" s="1"/>
  <c r="O3060" i="1" s="1"/>
  <c r="K2539" i="1"/>
  <c r="M2539" i="1" s="1"/>
  <c r="O2539" i="1" s="1"/>
  <c r="G3100" i="1"/>
  <c r="K3100" i="1" s="1"/>
  <c r="M3100" i="1" s="1"/>
  <c r="O3100" i="1" s="1"/>
  <c r="K2404" i="1"/>
  <c r="M2404" i="1" s="1"/>
  <c r="O2404" i="1" s="1"/>
  <c r="G2971" i="1"/>
  <c r="K2971" i="1" s="1"/>
  <c r="M2971" i="1" s="1"/>
  <c r="O2971" i="1" s="1"/>
  <c r="K2424" i="1"/>
  <c r="M2424" i="1" s="1"/>
  <c r="O2424" i="1" s="1"/>
  <c r="G2991" i="1"/>
  <c r="K2991" i="1" s="1"/>
  <c r="K2444" i="1"/>
  <c r="M2444" i="1" s="1"/>
  <c r="O2444" i="1" s="1"/>
  <c r="G3009" i="1"/>
  <c r="K3009" i="1" s="1"/>
  <c r="M3009" i="1" s="1"/>
  <c r="O3009" i="1" s="1"/>
  <c r="G3075" i="1"/>
  <c r="K3075" i="1" s="1"/>
  <c r="M3075" i="1" s="1"/>
  <c r="O3075" i="1" s="1"/>
  <c r="G3098" i="1"/>
  <c r="K3098" i="1" s="1"/>
  <c r="M3098" i="1" s="1"/>
  <c r="O3098" i="1" s="1"/>
  <c r="G3036" i="1"/>
  <c r="M3036" i="1" s="1"/>
  <c r="O3036" i="1" s="1"/>
  <c r="G2948" i="1"/>
  <c r="K2948" i="1" s="1"/>
  <c r="M2948" i="1" s="1"/>
  <c r="O2948" i="1" s="1"/>
  <c r="G2986" i="1"/>
  <c r="K2986" i="1" s="1"/>
  <c r="M2986" i="1" s="1"/>
  <c r="O2986" i="1" s="1"/>
  <c r="G3062" i="1"/>
  <c r="K3062" i="1" s="1"/>
  <c r="M3062" i="1" s="1"/>
  <c r="O3062" i="1" s="1"/>
  <c r="G3071" i="1"/>
  <c r="K3071" i="1" s="1"/>
  <c r="M3071" i="1" s="1"/>
  <c r="O3071" i="1" s="1"/>
  <c r="G2976" i="1"/>
  <c r="K2976" i="1" s="1"/>
  <c r="M2976" i="1" s="1"/>
  <c r="O2976" i="1" s="1"/>
  <c r="K2465" i="1"/>
  <c r="M2465" i="1" s="1"/>
  <c r="O2465" i="1" s="1"/>
  <c r="G3030" i="1"/>
  <c r="K3030" i="1" s="1"/>
  <c r="M3030" i="1" s="1"/>
  <c r="O3030" i="1" s="1"/>
  <c r="K2485" i="1"/>
  <c r="M2485" i="1" s="1"/>
  <c r="O2485" i="1" s="1"/>
  <c r="G3050" i="1"/>
  <c r="K3050" i="1" s="1"/>
  <c r="M3050" i="1" s="1"/>
  <c r="O3050" i="1" s="1"/>
  <c r="K2565" i="1"/>
  <c r="M2565" i="1" s="1"/>
  <c r="O2565" i="1" s="1"/>
  <c r="G2947" i="1"/>
  <c r="K2947" i="1" s="1"/>
  <c r="M2947" i="1" s="1"/>
  <c r="O2947" i="1" s="1"/>
  <c r="G3063" i="1"/>
  <c r="K3063" i="1" s="1"/>
  <c r="M3063" i="1" s="1"/>
  <c r="O3063" i="1" s="1"/>
  <c r="G3043" i="1"/>
  <c r="K3043" i="1" s="1"/>
  <c r="M3043" i="1" s="1"/>
  <c r="O3043" i="1" s="1"/>
  <c r="G3002" i="1"/>
  <c r="K3002" i="1" s="1"/>
  <c r="M3002" i="1" s="1"/>
  <c r="O3002" i="1" s="1"/>
  <c r="G3059" i="1"/>
  <c r="K3059" i="1" s="1"/>
  <c r="M3059" i="1" s="1"/>
  <c r="O3059" i="1" s="1"/>
  <c r="G3049" i="1"/>
  <c r="K3049" i="1" s="1"/>
  <c r="M3049" i="1" s="1"/>
  <c r="O3049" i="1" s="1"/>
  <c r="K2395" i="1"/>
  <c r="M2395" i="1" s="1"/>
  <c r="O2395" i="1" s="1"/>
  <c r="G2966" i="1"/>
  <c r="K2966" i="1" s="1"/>
  <c r="M2966" i="1" s="1"/>
  <c r="O2966" i="1" s="1"/>
  <c r="K2397" i="1"/>
  <c r="M2397" i="1" s="1"/>
  <c r="O2397" i="1" s="1"/>
  <c r="G2967" i="1"/>
  <c r="K2967" i="1" s="1"/>
  <c r="M2967" i="1" s="1"/>
  <c r="O2967" i="1" s="1"/>
  <c r="K2493" i="1"/>
  <c r="M2493" i="1" s="1"/>
  <c r="O2493" i="1" s="1"/>
  <c r="G3128" i="1"/>
  <c r="K3128" i="1" s="1"/>
  <c r="M3128" i="1" s="1"/>
  <c r="O3128" i="1" s="1"/>
  <c r="G3016" i="1"/>
  <c r="K3016" i="1" s="1"/>
  <c r="M3016" i="1" s="1"/>
  <c r="O3016" i="1" s="1"/>
  <c r="G3023" i="1"/>
  <c r="G3076" i="1"/>
  <c r="M3076" i="1" s="1"/>
  <c r="O3076" i="1" s="1"/>
  <c r="G3037" i="1"/>
  <c r="K3037" i="1" s="1"/>
  <c r="M3037" i="1" s="1"/>
  <c r="O3037" i="1" s="1"/>
  <c r="G3130" i="1"/>
  <c r="K3130" i="1" s="1"/>
  <c r="M3130" i="1" s="1"/>
  <c r="O3130" i="1" s="1"/>
  <c r="K2414" i="1"/>
  <c r="M2414" i="1" s="1"/>
  <c r="O2414" i="1" s="1"/>
  <c r="G2981" i="1"/>
  <c r="K2981" i="1" s="1"/>
  <c r="M2981" i="1" s="1"/>
  <c r="O2981" i="1" s="1"/>
  <c r="K2435" i="1"/>
  <c r="M2435" i="1" s="1"/>
  <c r="O2435" i="1" s="1"/>
  <c r="G3001" i="1"/>
  <c r="K3001" i="1" s="1"/>
  <c r="M3001" i="1" s="1"/>
  <c r="O3001" i="1" s="1"/>
  <c r="K2425" i="1"/>
  <c r="M2425" i="1" s="1"/>
  <c r="O2425" i="1" s="1"/>
  <c r="G2992" i="1"/>
  <c r="K2992" i="1" s="1"/>
  <c r="M2992" i="1" s="1"/>
  <c r="O2992" i="1" s="1"/>
  <c r="G3007" i="1"/>
  <c r="K3007" i="1" s="1"/>
  <c r="M3007" i="1" s="1"/>
  <c r="O3007" i="1" s="1"/>
  <c r="G3084" i="1"/>
  <c r="K3084" i="1" s="1"/>
  <c r="M3084" i="1" s="1"/>
  <c r="O3084" i="1" s="1"/>
  <c r="G3051" i="1"/>
  <c r="K3051" i="1" s="1"/>
  <c r="M3051" i="1" s="1"/>
  <c r="O3051" i="1" s="1"/>
  <c r="G3034" i="1"/>
  <c r="K3034" i="1" s="1"/>
  <c r="M3034" i="1" s="1"/>
  <c r="O3034" i="1" s="1"/>
  <c r="G3115" i="1"/>
  <c r="K3115" i="1" s="1"/>
  <c r="M3115" i="1" s="1"/>
  <c r="O3115" i="1" s="1"/>
  <c r="K2426" i="1"/>
  <c r="M2426" i="1" s="1"/>
  <c r="O2426" i="1" s="1"/>
  <c r="K2528" i="1"/>
  <c r="M2528" i="1" s="1"/>
  <c r="O2528" i="1" s="1"/>
  <c r="G3089" i="1"/>
  <c r="K3089" i="1" s="1"/>
  <c r="M3089" i="1" s="1"/>
  <c r="O3089" i="1" s="1"/>
  <c r="G3033" i="1"/>
  <c r="K3033" i="1" s="1"/>
  <c r="M3033" i="1" s="1"/>
  <c r="O3033" i="1" s="1"/>
  <c r="G3006" i="1"/>
  <c r="K3006" i="1" s="1"/>
  <c r="M3006" i="1" s="1"/>
  <c r="O3006" i="1" s="1"/>
  <c r="G3057" i="1"/>
  <c r="K3057" i="1" s="1"/>
  <c r="M3057" i="1" s="1"/>
  <c r="O3057" i="1" s="1"/>
  <c r="G3027" i="1"/>
  <c r="K3027" i="1" s="1"/>
  <c r="M3027" i="1" s="1"/>
  <c r="O3027" i="1" s="1"/>
  <c r="G3116" i="1"/>
  <c r="M3116" i="1" s="1"/>
  <c r="O3116" i="1" s="1"/>
  <c r="K2455" i="1"/>
  <c r="M2455" i="1" s="1"/>
  <c r="O2455" i="1" s="1"/>
  <c r="G3020" i="1"/>
  <c r="K3020" i="1" s="1"/>
  <c r="M3020" i="1" s="1"/>
  <c r="O3020" i="1" s="1"/>
  <c r="K2417" i="1"/>
  <c r="M2417" i="1" s="1"/>
  <c r="O2417" i="1" s="1"/>
  <c r="G2984" i="1"/>
  <c r="K2984" i="1" s="1"/>
  <c r="M2984" i="1" s="1"/>
  <c r="O2984" i="1" s="1"/>
  <c r="K2445" i="1"/>
  <c r="M2445" i="1" s="1"/>
  <c r="O2445" i="1" s="1"/>
  <c r="G3010" i="1"/>
  <c r="K3010" i="1" s="1"/>
  <c r="M3010" i="1" s="1"/>
  <c r="O3010" i="1" s="1"/>
  <c r="K2499" i="1"/>
  <c r="M2499" i="1" s="1"/>
  <c r="O2499" i="1" s="1"/>
  <c r="K2389" i="1"/>
  <c r="M2389" i="1" s="1"/>
  <c r="O2389" i="1" s="1"/>
  <c r="G2961" i="1"/>
  <c r="K2961" i="1" s="1"/>
  <c r="M2961" i="1" s="1"/>
  <c r="O2961" i="1" s="1"/>
  <c r="K2449" i="1"/>
  <c r="M2449" i="1" s="1"/>
  <c r="O2449" i="1" s="1"/>
  <c r="G3014" i="1"/>
  <c r="K3014" i="1" s="1"/>
  <c r="M3014" i="1" s="1"/>
  <c r="O3014" i="1" s="1"/>
  <c r="K2529" i="1"/>
  <c r="M2529" i="1" s="1"/>
  <c r="O2529" i="1" s="1"/>
  <c r="G3090" i="1"/>
  <c r="K3090" i="1" s="1"/>
  <c r="M3090" i="1" s="1"/>
  <c r="O3090" i="1" s="1"/>
  <c r="G3018" i="1"/>
  <c r="K3018" i="1" s="1"/>
  <c r="M3018" i="1" s="1"/>
  <c r="O3018" i="1" s="1"/>
  <c r="G2968" i="1"/>
  <c r="M2968" i="1" s="1"/>
  <c r="O2968" i="1" s="1"/>
  <c r="G3125" i="1"/>
  <c r="K3125" i="1" s="1"/>
  <c r="M3125" i="1" s="1"/>
  <c r="O3125" i="1" s="1"/>
  <c r="K2410" i="1"/>
  <c r="M2410" i="1" s="1"/>
  <c r="O2410" i="1" s="1"/>
  <c r="G2977" i="1"/>
  <c r="K2977" i="1" s="1"/>
  <c r="M2977" i="1" s="1"/>
  <c r="O2977" i="1" s="1"/>
  <c r="K2530" i="1"/>
  <c r="M2530" i="1" s="1"/>
  <c r="O2530" i="1" s="1"/>
  <c r="G3091" i="1"/>
  <c r="K3091" i="1" s="1"/>
  <c r="M3091" i="1" s="1"/>
  <c r="O3091" i="1" s="1"/>
  <c r="G2951" i="1"/>
  <c r="K2951" i="1" s="1"/>
  <c r="M2951" i="1" s="1"/>
  <c r="O2951" i="1" s="1"/>
  <c r="G3013" i="1"/>
  <c r="K3013" i="1" s="1"/>
  <c r="M3013" i="1" s="1"/>
  <c r="O3013" i="1" s="1"/>
  <c r="G2983" i="1"/>
  <c r="K2983" i="1" s="1"/>
  <c r="M2983" i="1" s="1"/>
  <c r="O2983" i="1" s="1"/>
  <c r="G3028" i="1"/>
  <c r="K3028" i="1" s="1"/>
  <c r="M3028" i="1" s="1"/>
  <c r="O3028" i="1" s="1"/>
  <c r="G3096" i="1"/>
  <c r="K3096" i="1" s="1"/>
  <c r="M3096" i="1" s="1"/>
  <c r="O3096" i="1" s="1"/>
  <c r="G3026" i="1"/>
  <c r="K3026" i="1" s="1"/>
  <c r="M3026" i="1" s="1"/>
  <c r="O3026" i="1" s="1"/>
  <c r="K2316" i="1"/>
  <c r="M2316" i="1" s="1"/>
  <c r="O2316" i="1" s="1"/>
  <c r="K2291" i="1"/>
  <c r="M2291" i="1" s="1"/>
  <c r="O2291" i="1" s="1"/>
  <c r="K2341" i="1"/>
  <c r="M2341" i="1" s="1"/>
  <c r="O2341" i="1" s="1"/>
  <c r="B2473" i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H2353" i="1"/>
  <c r="K2325" i="1"/>
  <c r="M2325" i="1" s="1"/>
  <c r="O2325" i="1" s="1"/>
  <c r="K2319" i="1"/>
  <c r="M2319" i="1" s="1"/>
  <c r="O2319" i="1" s="1"/>
  <c r="K2326" i="1"/>
  <c r="M2326" i="1" s="1"/>
  <c r="O2326" i="1" s="1"/>
  <c r="H2363" i="1"/>
  <c r="K2302" i="1"/>
  <c r="M2302" i="1" s="1"/>
  <c r="O2302" i="1" s="1"/>
  <c r="H2361" i="1"/>
  <c r="K2330" i="1"/>
  <c r="M2330" i="1" s="1"/>
  <c r="O2330" i="1" s="1"/>
  <c r="K2297" i="1"/>
  <c r="M2297" i="1" s="1"/>
  <c r="O2297" i="1" s="1"/>
  <c r="K2318" i="1"/>
  <c r="M2318" i="1" s="1"/>
  <c r="O2318" i="1" s="1"/>
  <c r="H2355" i="1"/>
  <c r="G2348" i="1"/>
  <c r="H2359" i="1"/>
  <c r="K2296" i="1"/>
  <c r="M2296" i="1" s="1"/>
  <c r="O2296" i="1" s="1"/>
  <c r="K2313" i="1"/>
  <c r="M2313" i="1" s="1"/>
  <c r="O2313" i="1" s="1"/>
  <c r="H2351" i="1"/>
  <c r="H2350" i="1"/>
  <c r="K2350" i="1" s="1"/>
  <c r="M2350" i="1" s="1"/>
  <c r="O2350" i="1" s="1"/>
  <c r="K2342" i="1"/>
  <c r="M2342" i="1" s="1"/>
  <c r="O2342" i="1" s="1"/>
  <c r="G2357" i="1"/>
  <c r="H2356" i="1"/>
  <c r="K2344" i="1"/>
  <c r="M2344" i="1" s="1"/>
  <c r="O2344" i="1" s="1"/>
  <c r="K2317" i="1"/>
  <c r="M2317" i="1" s="1"/>
  <c r="O2317" i="1" s="1"/>
  <c r="K2321" i="1"/>
  <c r="M2321" i="1" s="1"/>
  <c r="O2321" i="1" s="1"/>
  <c r="K2345" i="1"/>
  <c r="M2345" i="1" s="1"/>
  <c r="O2345" i="1" s="1"/>
  <c r="K2322" i="1"/>
  <c r="M2322" i="1" s="1"/>
  <c r="O2322" i="1" s="1"/>
  <c r="K2304" i="1"/>
  <c r="M2304" i="1" s="1"/>
  <c r="O2304" i="1" s="1"/>
  <c r="H2349" i="1"/>
  <c r="G2351" i="1"/>
  <c r="G2355" i="1"/>
  <c r="K2305" i="1"/>
  <c r="M2305" i="1" s="1"/>
  <c r="O2305" i="1" s="1"/>
  <c r="H2348" i="1"/>
  <c r="K2335" i="1"/>
  <c r="M2335" i="1" s="1"/>
  <c r="O2335" i="1" s="1"/>
  <c r="K2311" i="1"/>
  <c r="M2311" i="1" s="1"/>
  <c r="O2311" i="1" s="1"/>
  <c r="K2332" i="1"/>
  <c r="M2332" i="1" s="1"/>
  <c r="O2332" i="1" s="1"/>
  <c r="G2354" i="1"/>
  <c r="H2365" i="1"/>
  <c r="G2365" i="1"/>
  <c r="K2336" i="1"/>
  <c r="M2336" i="1" s="1"/>
  <c r="O2336" i="1" s="1"/>
  <c r="G2356" i="1"/>
  <c r="H2352" i="1"/>
  <c r="K2352" i="1" s="1"/>
  <c r="M2352" i="1" s="1"/>
  <c r="O2352" i="1" s="1"/>
  <c r="K2298" i="1"/>
  <c r="M2298" i="1" s="1"/>
  <c r="O2298" i="1" s="1"/>
  <c r="K2301" i="1"/>
  <c r="M2301" i="1" s="1"/>
  <c r="O2301" i="1" s="1"/>
  <c r="K2337" i="1"/>
  <c r="M2337" i="1" s="1"/>
  <c r="O2337" i="1" s="1"/>
  <c r="K2339" i="1"/>
  <c r="M2339" i="1" s="1"/>
  <c r="O2339" i="1" s="1"/>
  <c r="G2360" i="1"/>
  <c r="K2320" i="1"/>
  <c r="M2320" i="1" s="1"/>
  <c r="O2320" i="1" s="1"/>
  <c r="K2323" i="1"/>
  <c r="M2323" i="1" s="1"/>
  <c r="O2323" i="1" s="1"/>
  <c r="K2340" i="1"/>
  <c r="M2340" i="1" s="1"/>
  <c r="O2340" i="1" s="1"/>
  <c r="G2361" i="1"/>
  <c r="H2360" i="1"/>
  <c r="K2306" i="1"/>
  <c r="M2306" i="1" s="1"/>
  <c r="O2306" i="1" s="1"/>
  <c r="K2310" i="1"/>
  <c r="M2310" i="1" s="1"/>
  <c r="O2310" i="1" s="1"/>
  <c r="K2324" i="1"/>
  <c r="M2324" i="1" s="1"/>
  <c r="O2324" i="1" s="1"/>
  <c r="G2363" i="1"/>
  <c r="K2307" i="1"/>
  <c r="M2307" i="1" s="1"/>
  <c r="O2307" i="1" s="1"/>
  <c r="H2362" i="1"/>
  <c r="K2295" i="1"/>
  <c r="M2295" i="1" s="1"/>
  <c r="O2295" i="1" s="1"/>
  <c r="K2315" i="1"/>
  <c r="M2315" i="1" s="1"/>
  <c r="O2315" i="1" s="1"/>
  <c r="K2294" i="1"/>
  <c r="M2294" i="1" s="1"/>
  <c r="O2294" i="1" s="1"/>
  <c r="G2353" i="1"/>
  <c r="G2362" i="1"/>
  <c r="H2357" i="1"/>
  <c r="K2299" i="1"/>
  <c r="M2299" i="1" s="1"/>
  <c r="O2299" i="1" s="1"/>
  <c r="G2349" i="1"/>
  <c r="G2358" i="1"/>
  <c r="K2338" i="1"/>
  <c r="M2338" i="1" s="1"/>
  <c r="O2338" i="1" s="1"/>
  <c r="K2292" i="1"/>
  <c r="M2292" i="1" s="1"/>
  <c r="O2292" i="1" s="1"/>
  <c r="G2359" i="1"/>
  <c r="K2293" i="1"/>
  <c r="M2293" i="1" s="1"/>
  <c r="O2293" i="1" s="1"/>
  <c r="K2312" i="1"/>
  <c r="M2312" i="1" s="1"/>
  <c r="O2312" i="1" s="1"/>
  <c r="H2354" i="1"/>
  <c r="K2329" i="1"/>
  <c r="M2329" i="1" s="1"/>
  <c r="O2329" i="1" s="1"/>
  <c r="H2358" i="1"/>
  <c r="K2300" i="1"/>
  <c r="M2300" i="1" s="1"/>
  <c r="O2300" i="1" s="1"/>
  <c r="K2303" i="1"/>
  <c r="M2303" i="1" s="1"/>
  <c r="O2303" i="1" s="1"/>
  <c r="G2215" i="1"/>
  <c r="K2215" i="1" s="1"/>
  <c r="M2215" i="1" s="1"/>
  <c r="O2215" i="1" s="1"/>
  <c r="G2273" i="1"/>
  <c r="K2273" i="1" s="1"/>
  <c r="M2273" i="1" s="1"/>
  <c r="O2273" i="1" s="1"/>
  <c r="G2160" i="1"/>
  <c r="K2160" i="1" s="1"/>
  <c r="M2160" i="1" s="1"/>
  <c r="O2160" i="1" s="1"/>
  <c r="G2197" i="1"/>
  <c r="K2197" i="1" s="1"/>
  <c r="M2197" i="1" s="1"/>
  <c r="O2197" i="1" s="1"/>
  <c r="G2183" i="1"/>
  <c r="K2183" i="1" s="1"/>
  <c r="M2183" i="1" s="1"/>
  <c r="O2183" i="1" s="1"/>
  <c r="G2224" i="1"/>
  <c r="K2224" i="1" s="1"/>
  <c r="M2224" i="1" s="1"/>
  <c r="O2224" i="1" s="1"/>
  <c r="G2288" i="1"/>
  <c r="K2288" i="1" s="1"/>
  <c r="M2288" i="1" s="1"/>
  <c r="O2288" i="1" s="1"/>
  <c r="O2289" i="1" s="1"/>
  <c r="G2274" i="1"/>
  <c r="K2274" i="1" s="1"/>
  <c r="M2274" i="1" s="1"/>
  <c r="O2274" i="1" s="1"/>
  <c r="G2181" i="1"/>
  <c r="K2181" i="1" s="1"/>
  <c r="M2181" i="1" s="1"/>
  <c r="O2181" i="1" s="1"/>
  <c r="G2200" i="1"/>
  <c r="K2200" i="1" s="1"/>
  <c r="M2200" i="1" s="1"/>
  <c r="O2200" i="1" s="1"/>
  <c r="K1903" i="1"/>
  <c r="M1903" i="1" s="1"/>
  <c r="O1903" i="1" s="1"/>
  <c r="G2276" i="1"/>
  <c r="K2276" i="1" s="1"/>
  <c r="M2276" i="1" s="1"/>
  <c r="O2276" i="1" s="1"/>
  <c r="K2279" i="1"/>
  <c r="M2279" i="1" s="1"/>
  <c r="O2279" i="1" s="1"/>
  <c r="O2280" i="1" s="1"/>
  <c r="G2228" i="1"/>
  <c r="K2228" i="1" s="1"/>
  <c r="M2228" i="1" s="1"/>
  <c r="O2228" i="1" s="1"/>
  <c r="G2154" i="1"/>
  <c r="K2154" i="1" s="1"/>
  <c r="M2154" i="1" s="1"/>
  <c r="O2154" i="1" s="1"/>
  <c r="G2275" i="1"/>
  <c r="K2275" i="1" s="1"/>
  <c r="M2275" i="1" s="1"/>
  <c r="O2275" i="1" s="1"/>
  <c r="G2233" i="1"/>
  <c r="K2233" i="1" s="1"/>
  <c r="M2233" i="1" s="1"/>
  <c r="O2233" i="1" s="1"/>
  <c r="K2135" i="1"/>
  <c r="M2135" i="1" s="1"/>
  <c r="O2135" i="1" s="1"/>
  <c r="G2234" i="1"/>
  <c r="K2234" i="1" s="1"/>
  <c r="M2234" i="1" s="1"/>
  <c r="O2234" i="1" s="1"/>
  <c r="G2188" i="1"/>
  <c r="K2188" i="1" s="1"/>
  <c r="M2188" i="1" s="1"/>
  <c r="O2188" i="1" s="1"/>
  <c r="G2186" i="1"/>
  <c r="K2186" i="1" s="1"/>
  <c r="M2186" i="1" s="1"/>
  <c r="O2186" i="1" s="1"/>
  <c r="K2085" i="1"/>
  <c r="M2085" i="1" s="1"/>
  <c r="O2085" i="1" s="1"/>
  <c r="G2173" i="1"/>
  <c r="K2173" i="1" s="1"/>
  <c r="M2173" i="1" s="1"/>
  <c r="O2173" i="1" s="1"/>
  <c r="G2187" i="1"/>
  <c r="K2187" i="1" s="1"/>
  <c r="M2187" i="1" s="1"/>
  <c r="O2187" i="1" s="1"/>
  <c r="K2091" i="1"/>
  <c r="M2091" i="1" s="1"/>
  <c r="O2091" i="1" s="1"/>
  <c r="G2166" i="1"/>
  <c r="K2166" i="1" s="1"/>
  <c r="M2166" i="1" s="1"/>
  <c r="O2166" i="1" s="1"/>
  <c r="G2207" i="1"/>
  <c r="K2207" i="1" s="1"/>
  <c r="M2207" i="1" s="1"/>
  <c r="O2207" i="1" s="1"/>
  <c r="G2180" i="1"/>
  <c r="K2180" i="1" s="1"/>
  <c r="M2180" i="1" s="1"/>
  <c r="O2180" i="1" s="1"/>
  <c r="G2199" i="1"/>
  <c r="K2199" i="1" s="1"/>
  <c r="M2199" i="1" s="1"/>
  <c r="O2199" i="1" s="1"/>
  <c r="K2101" i="1"/>
  <c r="M2101" i="1" s="1"/>
  <c r="O2101" i="1" s="1"/>
  <c r="O2271" i="1"/>
  <c r="K2261" i="1"/>
  <c r="M2261" i="1" s="1"/>
  <c r="O2261" i="1" s="1"/>
  <c r="K2264" i="1"/>
  <c r="M2264" i="1" s="1"/>
  <c r="O2264" i="1" s="1"/>
  <c r="K2255" i="1"/>
  <c r="M2255" i="1" s="1"/>
  <c r="O2255" i="1" s="1"/>
  <c r="O2259" i="1" s="1"/>
  <c r="O2253" i="1"/>
  <c r="O2247" i="1"/>
  <c r="G2226" i="1"/>
  <c r="K2226" i="1" s="1"/>
  <c r="M2226" i="1" s="1"/>
  <c r="O2226" i="1" s="1"/>
  <c r="K1910" i="1"/>
  <c r="M1910" i="1" s="1"/>
  <c r="O1910" i="1" s="1"/>
  <c r="G2156" i="1"/>
  <c r="K2156" i="1" s="1"/>
  <c r="M2156" i="1" s="1"/>
  <c r="O2156" i="1" s="1"/>
  <c r="G2192" i="1"/>
  <c r="K2192" i="1" s="1"/>
  <c r="M2192" i="1" s="1"/>
  <c r="O2192" i="1" s="1"/>
  <c r="G2214" i="1"/>
  <c r="K2214" i="1" s="1"/>
  <c r="M2214" i="1" s="1"/>
  <c r="O2214" i="1" s="1"/>
  <c r="G2182" i="1"/>
  <c r="K2182" i="1" s="1"/>
  <c r="M2182" i="1" s="1"/>
  <c r="O2182" i="1" s="1"/>
  <c r="G2170" i="1"/>
  <c r="K2170" i="1" s="1"/>
  <c r="M2170" i="1" s="1"/>
  <c r="O2170" i="1" s="1"/>
  <c r="G2189" i="1"/>
  <c r="K2189" i="1" s="1"/>
  <c r="M2189" i="1" s="1"/>
  <c r="O2189" i="1" s="1"/>
  <c r="G2208" i="1"/>
  <c r="K2208" i="1" s="1"/>
  <c r="M2208" i="1" s="1"/>
  <c r="O2208" i="1" s="1"/>
  <c r="G2221" i="1"/>
  <c r="K2221" i="1" s="1"/>
  <c r="M2221" i="1" s="1"/>
  <c r="O2221" i="1" s="1"/>
  <c r="K1963" i="1"/>
  <c r="M1963" i="1" s="1"/>
  <c r="O1963" i="1" s="1"/>
  <c r="G2204" i="1"/>
  <c r="K2204" i="1" s="1"/>
  <c r="M2204" i="1" s="1"/>
  <c r="O2204" i="1" s="1"/>
  <c r="G2227" i="1"/>
  <c r="K2227" i="1" s="1"/>
  <c r="M2227" i="1" s="1"/>
  <c r="O2227" i="1" s="1"/>
  <c r="G2171" i="1"/>
  <c r="K2171" i="1" s="1"/>
  <c r="M2171" i="1" s="1"/>
  <c r="O2171" i="1" s="1"/>
  <c r="G2151" i="1"/>
  <c r="G2177" i="1"/>
  <c r="K2177" i="1" s="1"/>
  <c r="M2177" i="1" s="1"/>
  <c r="O2177" i="1" s="1"/>
  <c r="K2107" i="1"/>
  <c r="M2107" i="1" s="1"/>
  <c r="O2107" i="1" s="1"/>
  <c r="G2163" i="1"/>
  <c r="K2163" i="1" s="1"/>
  <c r="M2163" i="1" s="1"/>
  <c r="O2163" i="1" s="1"/>
  <c r="G2210" i="1"/>
  <c r="K2210" i="1" s="1"/>
  <c r="M2210" i="1" s="1"/>
  <c r="O2210" i="1" s="1"/>
  <c r="G2172" i="1"/>
  <c r="K2172" i="1" s="1"/>
  <c r="M2172" i="1" s="1"/>
  <c r="O2172" i="1" s="1"/>
  <c r="G2205" i="1"/>
  <c r="K2205" i="1" s="1"/>
  <c r="M2205" i="1" s="1"/>
  <c r="O2205" i="1" s="1"/>
  <c r="G2194" i="1"/>
  <c r="K2194" i="1" s="1"/>
  <c r="M2194" i="1" s="1"/>
  <c r="O2194" i="1" s="1"/>
  <c r="G2178" i="1"/>
  <c r="K2178" i="1" s="1"/>
  <c r="M2178" i="1" s="1"/>
  <c r="O2178" i="1" s="1"/>
  <c r="G2168" i="1"/>
  <c r="K2168" i="1" s="1"/>
  <c r="M2168" i="1" s="1"/>
  <c r="O2168" i="1" s="1"/>
  <c r="G2223" i="1"/>
  <c r="K2223" i="1" s="1"/>
  <c r="M2223" i="1" s="1"/>
  <c r="O2223" i="1" s="1"/>
  <c r="G2176" i="1"/>
  <c r="K2176" i="1" s="1"/>
  <c r="M2176" i="1" s="1"/>
  <c r="O2176" i="1" s="1"/>
  <c r="G2195" i="1"/>
  <c r="K2195" i="1" s="1"/>
  <c r="M2195" i="1" s="1"/>
  <c r="O2195" i="1" s="1"/>
  <c r="G2217" i="1"/>
  <c r="K2217" i="1" s="1"/>
  <c r="M2217" i="1" s="1"/>
  <c r="O2217" i="1" s="1"/>
  <c r="G2164" i="1"/>
  <c r="K2164" i="1" s="1"/>
  <c r="M2164" i="1" s="1"/>
  <c r="O2164" i="1" s="1"/>
  <c r="G2211" i="1"/>
  <c r="K2211" i="1" s="1"/>
  <c r="M2211" i="1" s="1"/>
  <c r="O2211" i="1" s="1"/>
  <c r="G2167" i="1"/>
  <c r="K2167" i="1" s="1"/>
  <c r="M2167" i="1" s="1"/>
  <c r="O2167" i="1" s="1"/>
  <c r="G2169" i="1"/>
  <c r="K2169" i="1" s="1"/>
  <c r="M2169" i="1" s="1"/>
  <c r="O2169" i="1" s="1"/>
  <c r="G2218" i="1"/>
  <c r="K2218" i="1" s="1"/>
  <c r="M2218" i="1" s="1"/>
  <c r="O2218" i="1" s="1"/>
  <c r="G2201" i="1"/>
  <c r="K2201" i="1" s="1"/>
  <c r="M2201" i="1" s="1"/>
  <c r="O2201" i="1" s="1"/>
  <c r="K2014" i="1"/>
  <c r="M2014" i="1" s="1"/>
  <c r="O2014" i="1" s="1"/>
  <c r="G2230" i="1"/>
  <c r="K2230" i="1" s="1"/>
  <c r="M2230" i="1" s="1"/>
  <c r="O2230" i="1" s="1"/>
  <c r="G2193" i="1"/>
  <c r="K2193" i="1" s="1"/>
  <c r="M2193" i="1" s="1"/>
  <c r="O2193" i="1" s="1"/>
  <c r="G2219" i="1"/>
  <c r="K2219" i="1" s="1"/>
  <c r="M2219" i="1" s="1"/>
  <c r="O2219" i="1" s="1"/>
  <c r="G2159" i="1"/>
  <c r="K2159" i="1" s="1"/>
  <c r="M2159" i="1" s="1"/>
  <c r="O2159" i="1" s="1"/>
  <c r="G2206" i="1"/>
  <c r="K2206" i="1" s="1"/>
  <c r="M2206" i="1" s="1"/>
  <c r="O2206" i="1" s="1"/>
  <c r="K2062" i="1"/>
  <c r="M2062" i="1" s="1"/>
  <c r="O2062" i="1" s="1"/>
  <c r="G2198" i="1"/>
  <c r="K2198" i="1" s="1"/>
  <c r="M2198" i="1" s="1"/>
  <c r="O2198" i="1" s="1"/>
  <c r="G2196" i="1"/>
  <c r="K2196" i="1" s="1"/>
  <c r="M2196" i="1" s="1"/>
  <c r="O2196" i="1" s="1"/>
  <c r="G2153" i="1"/>
  <c r="G2202" i="1"/>
  <c r="K2202" i="1" s="1"/>
  <c r="M2202" i="1" s="1"/>
  <c r="O2202" i="1" s="1"/>
  <c r="G2191" i="1"/>
  <c r="K2191" i="1" s="1"/>
  <c r="M2191" i="1" s="1"/>
  <c r="O2191" i="1" s="1"/>
  <c r="K2239" i="1"/>
  <c r="M2239" i="1" s="1"/>
  <c r="O2239" i="1" s="1"/>
  <c r="K2240" i="1"/>
  <c r="M2240" i="1" s="1"/>
  <c r="O2240" i="1" s="1"/>
  <c r="G2155" i="1"/>
  <c r="K2155" i="1" s="1"/>
  <c r="M2155" i="1" s="1"/>
  <c r="O2155" i="1" s="1"/>
  <c r="G2220" i="1"/>
  <c r="K2220" i="1" s="1"/>
  <c r="M2220" i="1" s="1"/>
  <c r="O2220" i="1" s="1"/>
  <c r="G2225" i="1"/>
  <c r="K2225" i="1" s="1"/>
  <c r="M2225" i="1" s="1"/>
  <c r="O2225" i="1" s="1"/>
  <c r="K1848" i="1"/>
  <c r="M1848" i="1" s="1"/>
  <c r="O1848" i="1" s="1"/>
  <c r="K2128" i="1"/>
  <c r="M2128" i="1" s="1"/>
  <c r="O2128" i="1" s="1"/>
  <c r="K1849" i="1"/>
  <c r="M1849" i="1" s="1"/>
  <c r="O1849" i="1" s="1"/>
  <c r="K1913" i="1"/>
  <c r="M1913" i="1" s="1"/>
  <c r="O1913" i="1" s="1"/>
  <c r="K1973" i="1"/>
  <c r="M1973" i="1" s="1"/>
  <c r="O1973" i="1" s="1"/>
  <c r="K1850" i="1"/>
  <c r="M1850" i="1" s="1"/>
  <c r="O1850" i="1" s="1"/>
  <c r="K1914" i="1"/>
  <c r="M1914" i="1" s="1"/>
  <c r="O1914" i="1" s="1"/>
  <c r="K2027" i="1"/>
  <c r="M2027" i="1" s="1"/>
  <c r="O2027" i="1" s="1"/>
  <c r="G2216" i="1"/>
  <c r="K2216" i="1" s="1"/>
  <c r="M2216" i="1" s="1"/>
  <c r="O2216" i="1" s="1"/>
  <c r="K1978" i="1"/>
  <c r="M1978" i="1" s="1"/>
  <c r="O1978" i="1" s="1"/>
  <c r="K1899" i="1"/>
  <c r="M1899" i="1" s="1"/>
  <c r="O1899" i="1" s="1"/>
  <c r="K2113" i="1"/>
  <c r="M2113" i="1" s="1"/>
  <c r="O2113" i="1" s="1"/>
  <c r="K2137" i="1"/>
  <c r="M2137" i="1" s="1"/>
  <c r="O2137" i="1" s="1"/>
  <c r="G2157" i="1"/>
  <c r="K2157" i="1" s="1"/>
  <c r="M2157" i="1" s="1"/>
  <c r="O2157" i="1" s="1"/>
  <c r="G2162" i="1"/>
  <c r="K2162" i="1" s="1"/>
  <c r="M2162" i="1" s="1"/>
  <c r="O2162" i="1" s="1"/>
  <c r="G2174" i="1"/>
  <c r="K2174" i="1" s="1"/>
  <c r="M2174" i="1" s="1"/>
  <c r="O2174" i="1" s="1"/>
  <c r="G2184" i="1"/>
  <c r="K2184" i="1" s="1"/>
  <c r="M2184" i="1" s="1"/>
  <c r="O2184" i="1" s="1"/>
  <c r="G2203" i="1"/>
  <c r="K2203" i="1" s="1"/>
  <c r="M2203" i="1" s="1"/>
  <c r="O2203" i="1" s="1"/>
  <c r="G2212" i="1"/>
  <c r="K2212" i="1" s="1"/>
  <c r="M2212" i="1" s="1"/>
  <c r="O2212" i="1" s="1"/>
  <c r="G2222" i="1"/>
  <c r="K2222" i="1" s="1"/>
  <c r="M2222" i="1" s="1"/>
  <c r="O2222" i="1" s="1"/>
  <c r="K1829" i="1"/>
  <c r="M1829" i="1" s="1"/>
  <c r="O1829" i="1" s="1"/>
  <c r="K2033" i="1"/>
  <c r="M2033" i="1" s="1"/>
  <c r="O2033" i="1" s="1"/>
  <c r="K2088" i="1"/>
  <c r="M2088" i="1" s="1"/>
  <c r="O2088" i="1" s="1"/>
  <c r="K2114" i="1"/>
  <c r="M2114" i="1" s="1"/>
  <c r="O2114" i="1" s="1"/>
  <c r="K2138" i="1"/>
  <c r="M2138" i="1" s="1"/>
  <c r="O2138" i="1" s="1"/>
  <c r="G2161" i="1"/>
  <c r="K2161" i="1" s="1"/>
  <c r="M2161" i="1" s="1"/>
  <c r="O2161" i="1" s="1"/>
  <c r="K2108" i="1"/>
  <c r="M2108" i="1" s="1"/>
  <c r="O2108" i="1" s="1"/>
  <c r="K1855" i="1"/>
  <c r="M1855" i="1" s="1"/>
  <c r="O1855" i="1" s="1"/>
  <c r="K1810" i="1"/>
  <c r="M1810" i="1" s="1"/>
  <c r="O1810" i="1" s="1"/>
  <c r="G2179" i="1"/>
  <c r="K2179" i="1" s="1"/>
  <c r="M2179" i="1" s="1"/>
  <c r="O2179" i="1" s="1"/>
  <c r="K2034" i="1"/>
  <c r="M2034" i="1" s="1"/>
  <c r="O2034" i="1" s="1"/>
  <c r="K2089" i="1"/>
  <c r="M2089" i="1" s="1"/>
  <c r="O2089" i="1" s="1"/>
  <c r="K2139" i="1"/>
  <c r="M2139" i="1" s="1"/>
  <c r="O2139" i="1" s="1"/>
  <c r="K1898" i="1"/>
  <c r="M1898" i="1" s="1"/>
  <c r="O1898" i="1" s="1"/>
  <c r="G2152" i="1"/>
  <c r="K2238" i="1" s="1"/>
  <c r="M2238" i="1" s="1"/>
  <c r="O2238" i="1" s="1"/>
  <c r="K2013" i="1"/>
  <c r="M2013" i="1" s="1"/>
  <c r="O2013" i="1" s="1"/>
  <c r="K2039" i="1"/>
  <c r="M2039" i="1" s="1"/>
  <c r="O2039" i="1" s="1"/>
  <c r="G2231" i="1"/>
  <c r="K2231" i="1" s="1"/>
  <c r="M2231" i="1" s="1"/>
  <c r="O2231" i="1" s="1"/>
  <c r="K2158" i="1"/>
  <c r="M2158" i="1" s="1"/>
  <c r="O2158" i="1" s="1"/>
  <c r="K2144" i="1"/>
  <c r="M2144" i="1" s="1"/>
  <c r="O2144" i="1" s="1"/>
  <c r="G2232" i="1"/>
  <c r="K2232" i="1" s="1"/>
  <c r="M2232" i="1" s="1"/>
  <c r="O2232" i="1" s="1"/>
  <c r="K2094" i="1"/>
  <c r="M2094" i="1" s="1"/>
  <c r="O2094" i="1" s="1"/>
  <c r="G2185" i="1"/>
  <c r="K2185" i="1" s="1"/>
  <c r="M2185" i="1" s="1"/>
  <c r="O2185" i="1" s="1"/>
  <c r="G2190" i="1"/>
  <c r="K2190" i="1" s="1"/>
  <c r="M2190" i="1" s="1"/>
  <c r="O2190" i="1" s="1"/>
  <c r="G2209" i="1"/>
  <c r="K2209" i="1" s="1"/>
  <c r="M2209" i="1" s="1"/>
  <c r="O2209" i="1" s="1"/>
  <c r="G2175" i="1"/>
  <c r="K2175" i="1" s="1"/>
  <c r="M2175" i="1" s="1"/>
  <c r="O2175" i="1" s="1"/>
  <c r="K2213" i="1"/>
  <c r="M2213" i="1" s="1"/>
  <c r="O2213" i="1" s="1"/>
  <c r="K2165" i="1"/>
  <c r="M2165" i="1" s="1"/>
  <c r="O2165" i="1" s="1"/>
  <c r="O2149" i="1"/>
  <c r="O2064" i="1"/>
  <c r="O1857" i="1"/>
  <c r="O1821" i="1"/>
  <c r="O1738" i="1"/>
  <c r="K1615" i="1"/>
  <c r="M1615" i="1" s="1"/>
  <c r="O1615" i="1" s="1"/>
  <c r="O1652" i="1" s="1"/>
  <c r="K1628" i="1"/>
  <c r="M1628" i="1" s="1"/>
  <c r="O1628" i="1" s="1"/>
  <c r="K1633" i="1"/>
  <c r="M1633" i="1" s="1"/>
  <c r="O1633" i="1" s="1"/>
  <c r="O1600" i="1"/>
  <c r="G1784" i="1"/>
  <c r="G1783" i="1"/>
  <c r="K1783" i="1" s="1"/>
  <c r="M1783" i="1" s="1"/>
  <c r="O1783" i="1" s="1"/>
  <c r="G1782" i="1"/>
  <c r="K1782" i="1" s="1"/>
  <c r="M1782" i="1" s="1"/>
  <c r="O1782" i="1" s="1"/>
  <c r="G1781" i="1"/>
  <c r="K1781" i="1" s="1"/>
  <c r="M1781" i="1" s="1"/>
  <c r="O1781" i="1" s="1"/>
  <c r="G1780" i="1"/>
  <c r="K1780" i="1" s="1"/>
  <c r="M1780" i="1" s="1"/>
  <c r="O1780" i="1" s="1"/>
  <c r="G1779" i="1"/>
  <c r="G1778" i="1"/>
  <c r="K1778" i="1" s="1"/>
  <c r="M1778" i="1" s="1"/>
  <c r="O1778" i="1" s="1"/>
  <c r="G1777" i="1"/>
  <c r="K1777" i="1" s="1"/>
  <c r="M1777" i="1" s="1"/>
  <c r="O1777" i="1" s="1"/>
  <c r="G1776" i="1"/>
  <c r="K1776" i="1" s="1"/>
  <c r="M1776" i="1" s="1"/>
  <c r="O1776" i="1" s="1"/>
  <c r="G1775" i="1"/>
  <c r="G1774" i="1"/>
  <c r="K1774" i="1" s="1"/>
  <c r="M1774" i="1" s="1"/>
  <c r="O1774" i="1" s="1"/>
  <c r="G1773" i="1"/>
  <c r="G1772" i="1"/>
  <c r="G1771" i="1"/>
  <c r="G1770" i="1"/>
  <c r="G1769" i="1"/>
  <c r="G1768" i="1"/>
  <c r="K1768" i="1" s="1"/>
  <c r="M1768" i="1" s="1"/>
  <c r="O1768" i="1" s="1"/>
  <c r="G1767" i="1"/>
  <c r="K1767" i="1" s="1"/>
  <c r="M1767" i="1" s="1"/>
  <c r="O1767" i="1" s="1"/>
  <c r="G1766" i="1"/>
  <c r="G1765" i="1"/>
  <c r="G1764" i="1"/>
  <c r="G1763" i="1"/>
  <c r="K1763" i="1" s="1"/>
  <c r="M1763" i="1" s="1"/>
  <c r="O1763" i="1" s="1"/>
  <c r="G1762" i="1"/>
  <c r="K1762" i="1" s="1"/>
  <c r="M1762" i="1" s="1"/>
  <c r="O1762" i="1" s="1"/>
  <c r="G1761" i="1"/>
  <c r="K1761" i="1" s="1"/>
  <c r="M1761" i="1" s="1"/>
  <c r="O1761" i="1" s="1"/>
  <c r="G1760" i="1"/>
  <c r="G1759" i="1"/>
  <c r="K1759" i="1" s="1"/>
  <c r="M1759" i="1" s="1"/>
  <c r="O1759" i="1" s="1"/>
  <c r="G1758" i="1"/>
  <c r="K1758" i="1" s="1"/>
  <c r="M1758" i="1" s="1"/>
  <c r="O1758" i="1" s="1"/>
  <c r="G1757" i="1"/>
  <c r="K1757" i="1" s="1"/>
  <c r="M1757" i="1" s="1"/>
  <c r="O1757" i="1" s="1"/>
  <c r="G1756" i="1"/>
  <c r="K1756" i="1" s="1"/>
  <c r="M1756" i="1" s="1"/>
  <c r="O1756" i="1" s="1"/>
  <c r="G1755" i="1"/>
  <c r="G1754" i="1"/>
  <c r="G1753" i="1"/>
  <c r="G1752" i="1"/>
  <c r="K1752" i="1" s="1"/>
  <c r="M1752" i="1" s="1"/>
  <c r="O1752" i="1" s="1"/>
  <c r="G1751" i="1"/>
  <c r="K1751" i="1" s="1"/>
  <c r="M1751" i="1" s="1"/>
  <c r="O1751" i="1" s="1"/>
  <c r="B1752" i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G1731" i="1"/>
  <c r="K1731" i="1" s="1"/>
  <c r="M1731" i="1" s="1"/>
  <c r="O1731" i="1" s="1"/>
  <c r="G1732" i="1"/>
  <c r="K1732" i="1" s="1"/>
  <c r="M1732" i="1" s="1"/>
  <c r="O1732" i="1" s="1"/>
  <c r="G1730" i="1"/>
  <c r="K1730" i="1" s="1"/>
  <c r="M1730" i="1" s="1"/>
  <c r="O1730" i="1" s="1"/>
  <c r="N1733" i="1"/>
  <c r="B2231" i="1" l="1"/>
  <c r="B3127" i="1"/>
  <c r="B3126" i="1"/>
  <c r="B1694" i="1"/>
  <c r="B1674" i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2232" i="1"/>
  <c r="B3119" i="1"/>
  <c r="B3070" i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24" i="1"/>
  <c r="B3123" i="1"/>
  <c r="B1697" i="1"/>
  <c r="M2351" i="1"/>
  <c r="O2351" i="1" s="1"/>
  <c r="M2991" i="1"/>
  <c r="O2991" i="1" s="1"/>
  <c r="K2237" i="1"/>
  <c r="M2237" i="1" s="1"/>
  <c r="O2237" i="1" s="1"/>
  <c r="O2241" i="1" s="1"/>
  <c r="K2151" i="1"/>
  <c r="M2151" i="1" s="1"/>
  <c r="O2151" i="1" s="1"/>
  <c r="M3023" i="1"/>
  <c r="O3023" i="1" s="1"/>
  <c r="O2557" i="1"/>
  <c r="O2748" i="1"/>
  <c r="K2361" i="1"/>
  <c r="M2361" i="1" s="1"/>
  <c r="O2361" i="1" s="1"/>
  <c r="K2365" i="1"/>
  <c r="M2365" i="1" s="1"/>
  <c r="O2365" i="1" s="1"/>
  <c r="K2363" i="1"/>
  <c r="M2363" i="1" s="1"/>
  <c r="O2363" i="1" s="1"/>
  <c r="K2941" i="1"/>
  <c r="M2941" i="1" s="1"/>
  <c r="O2941" i="1" s="1"/>
  <c r="K3133" i="1"/>
  <c r="M3133" i="1" s="1"/>
  <c r="O3133" i="1" s="1"/>
  <c r="O3134" i="1" s="1"/>
  <c r="O2346" i="1"/>
  <c r="K2362" i="1"/>
  <c r="M2362" i="1" s="1"/>
  <c r="O2362" i="1" s="1"/>
  <c r="K2353" i="1"/>
  <c r="M2353" i="1" s="1"/>
  <c r="O2353" i="1" s="1"/>
  <c r="K2357" i="1"/>
  <c r="M2357" i="1" s="1"/>
  <c r="O2357" i="1" s="1"/>
  <c r="K2359" i="1"/>
  <c r="M2359" i="1" s="1"/>
  <c r="O2359" i="1" s="1"/>
  <c r="K2356" i="1"/>
  <c r="M2356" i="1" s="1"/>
  <c r="O2356" i="1" s="1"/>
  <c r="K2354" i="1"/>
  <c r="M2354" i="1" s="1"/>
  <c r="O2354" i="1" s="1"/>
  <c r="K2348" i="1"/>
  <c r="M2348" i="1" s="1"/>
  <c r="O2348" i="1" s="1"/>
  <c r="K2355" i="1"/>
  <c r="M2355" i="1" s="1"/>
  <c r="O2355" i="1" s="1"/>
  <c r="M2349" i="1"/>
  <c r="O2349" i="1" s="1"/>
  <c r="K2360" i="1"/>
  <c r="M2360" i="1" s="1"/>
  <c r="O2360" i="1" s="1"/>
  <c r="O2327" i="1"/>
  <c r="O2308" i="1"/>
  <c r="K2358" i="1"/>
  <c r="M2358" i="1" s="1"/>
  <c r="O2358" i="1" s="1"/>
  <c r="G1885" i="1"/>
  <c r="K1885" i="1" s="1"/>
  <c r="M1885" i="1" s="1"/>
  <c r="O1885" i="1" s="1"/>
  <c r="G1884" i="1"/>
  <c r="K1884" i="1" s="1"/>
  <c r="M1884" i="1" s="1"/>
  <c r="O1884" i="1" s="1"/>
  <c r="O2277" i="1"/>
  <c r="G1866" i="1"/>
  <c r="K1866" i="1" s="1"/>
  <c r="M1866" i="1" s="1"/>
  <c r="O1866" i="1" s="1"/>
  <c r="O1979" i="1"/>
  <c r="G1883" i="1"/>
  <c r="K1883" i="1" s="1"/>
  <c r="M1883" i="1" s="1"/>
  <c r="O1883" i="1" s="1"/>
  <c r="O2265" i="1"/>
  <c r="G1869" i="1"/>
  <c r="K1869" i="1" s="1"/>
  <c r="M1869" i="1" s="1"/>
  <c r="O1869" i="1" s="1"/>
  <c r="G1888" i="1"/>
  <c r="K1888" i="1" s="1"/>
  <c r="M1888" i="1" s="1"/>
  <c r="O1888" i="1" s="1"/>
  <c r="G1890" i="1"/>
  <c r="K1890" i="1" s="1"/>
  <c r="M1890" i="1" s="1"/>
  <c r="O1890" i="1" s="1"/>
  <c r="K2153" i="1"/>
  <c r="M2153" i="1" s="1"/>
  <c r="O2153" i="1" s="1"/>
  <c r="K1772" i="1"/>
  <c r="M1772" i="1" s="1"/>
  <c r="O1772" i="1" s="1"/>
  <c r="G1879" i="1"/>
  <c r="K1879" i="1" s="1"/>
  <c r="M1879" i="1" s="1"/>
  <c r="O1879" i="1" s="1"/>
  <c r="K1770" i="1"/>
  <c r="M1770" i="1" s="1"/>
  <c r="O1770" i="1" s="1"/>
  <c r="G1877" i="1"/>
  <c r="K1877" i="1" s="1"/>
  <c r="M1877" i="1" s="1"/>
  <c r="O1877" i="1" s="1"/>
  <c r="K1753" i="1"/>
  <c r="M1753" i="1" s="1"/>
  <c r="O1753" i="1" s="1"/>
  <c r="G1860" i="1"/>
  <c r="K1860" i="1" s="1"/>
  <c r="M1860" i="1" s="1"/>
  <c r="O1860" i="1" s="1"/>
  <c r="K1773" i="1"/>
  <c r="M1773" i="1" s="1"/>
  <c r="O1773" i="1" s="1"/>
  <c r="G1880" i="1"/>
  <c r="K1880" i="1" s="1"/>
  <c r="M1880" i="1" s="1"/>
  <c r="O1880" i="1" s="1"/>
  <c r="K1754" i="1"/>
  <c r="M1754" i="1" s="1"/>
  <c r="O1754" i="1" s="1"/>
  <c r="G1861" i="1"/>
  <c r="K1861" i="1" s="1"/>
  <c r="M1861" i="1" s="1"/>
  <c r="O1861" i="1" s="1"/>
  <c r="K1775" i="1"/>
  <c r="M1775" i="1" s="1"/>
  <c r="O1775" i="1" s="1"/>
  <c r="G1882" i="1"/>
  <c r="K1882" i="1" s="1"/>
  <c r="M1882" i="1" s="1"/>
  <c r="O1882" i="1" s="1"/>
  <c r="K1769" i="1"/>
  <c r="M1769" i="1" s="1"/>
  <c r="O1769" i="1" s="1"/>
  <c r="G1876" i="1"/>
  <c r="K1876" i="1" s="1"/>
  <c r="M1876" i="1" s="1"/>
  <c r="O1876" i="1" s="1"/>
  <c r="K1760" i="1"/>
  <c r="M1760" i="1" s="1"/>
  <c r="O1760" i="1" s="1"/>
  <c r="G1867" i="1"/>
  <c r="K1867" i="1" s="1"/>
  <c r="M1867" i="1" s="1"/>
  <c r="O1867" i="1" s="1"/>
  <c r="G1875" i="1"/>
  <c r="K1875" i="1" s="1"/>
  <c r="M1875" i="1" s="1"/>
  <c r="O1875" i="1" s="1"/>
  <c r="G1887" i="1"/>
  <c r="K1887" i="1" s="1"/>
  <c r="M1887" i="1" s="1"/>
  <c r="O1887" i="1" s="1"/>
  <c r="G1870" i="1"/>
  <c r="K1870" i="1" s="1"/>
  <c r="M1870" i="1" s="1"/>
  <c r="O1870" i="1" s="1"/>
  <c r="K1771" i="1"/>
  <c r="M1771" i="1" s="1"/>
  <c r="O1771" i="1" s="1"/>
  <c r="G1878" i="1"/>
  <c r="K1878" i="1" s="1"/>
  <c r="M1878" i="1" s="1"/>
  <c r="O1878" i="1" s="1"/>
  <c r="K1755" i="1"/>
  <c r="M1755" i="1" s="1"/>
  <c r="O1755" i="1" s="1"/>
  <c r="G1862" i="1"/>
  <c r="K1862" i="1" s="1"/>
  <c r="M1862" i="1" s="1"/>
  <c r="O1862" i="1" s="1"/>
  <c r="G1893" i="1"/>
  <c r="K1893" i="1" s="1"/>
  <c r="M1893" i="1" s="1"/>
  <c r="O1893" i="1" s="1"/>
  <c r="K1779" i="1"/>
  <c r="M1779" i="1" s="1"/>
  <c r="O1779" i="1" s="1"/>
  <c r="G1886" i="1"/>
  <c r="K1886" i="1" s="1"/>
  <c r="M1886" i="1" s="1"/>
  <c r="O1886" i="1" s="1"/>
  <c r="G1868" i="1"/>
  <c r="K1868" i="1" s="1"/>
  <c r="M1868" i="1" s="1"/>
  <c r="O1868" i="1" s="1"/>
  <c r="G1874" i="1"/>
  <c r="M1874" i="1" s="1"/>
  <c r="O1874" i="1" s="1"/>
  <c r="G1863" i="1"/>
  <c r="K1863" i="1" s="1"/>
  <c r="M1863" i="1" s="1"/>
  <c r="O1863" i="1" s="1"/>
  <c r="G1881" i="1"/>
  <c r="K1881" i="1" s="1"/>
  <c r="M1881" i="1" s="1"/>
  <c r="O1881" i="1" s="1"/>
  <c r="K1766" i="1"/>
  <c r="M1766" i="1" s="1"/>
  <c r="O1766" i="1" s="1"/>
  <c r="G1873" i="1"/>
  <c r="K1873" i="1" s="1"/>
  <c r="M1873" i="1" s="1"/>
  <c r="O1873" i="1" s="1"/>
  <c r="K2152" i="1"/>
  <c r="M2152" i="1" s="1"/>
  <c r="O2152" i="1" s="1"/>
  <c r="K1764" i="1"/>
  <c r="M1764" i="1" s="1"/>
  <c r="O1764" i="1" s="1"/>
  <c r="G1871" i="1"/>
  <c r="K1871" i="1" s="1"/>
  <c r="M1871" i="1" s="1"/>
  <c r="O1871" i="1" s="1"/>
  <c r="K1784" i="1"/>
  <c r="M1784" i="1" s="1"/>
  <c r="O1784" i="1" s="1"/>
  <c r="G1891" i="1"/>
  <c r="K1891" i="1" s="1"/>
  <c r="M1891" i="1" s="1"/>
  <c r="O1891" i="1" s="1"/>
  <c r="G1889" i="1"/>
  <c r="M1889" i="1" s="1"/>
  <c r="O1889" i="1" s="1"/>
  <c r="G1864" i="1"/>
  <c r="K1864" i="1" s="1"/>
  <c r="M1864" i="1" s="1"/>
  <c r="O1864" i="1" s="1"/>
  <c r="K1765" i="1"/>
  <c r="M1765" i="1" s="1"/>
  <c r="O1765" i="1" s="1"/>
  <c r="G1872" i="1"/>
  <c r="K1872" i="1" s="1"/>
  <c r="M1872" i="1" s="1"/>
  <c r="O1872" i="1" s="1"/>
  <c r="G1865" i="1"/>
  <c r="K1865" i="1" s="1"/>
  <c r="M1865" i="1" s="1"/>
  <c r="O1865" i="1" s="1"/>
  <c r="G1859" i="1"/>
  <c r="K1859" i="1" s="1"/>
  <c r="M1859" i="1" s="1"/>
  <c r="O1859" i="1" s="1"/>
  <c r="O1733" i="1"/>
  <c r="N1728" i="1"/>
  <c r="G1727" i="1"/>
  <c r="K1727" i="1" s="1"/>
  <c r="M1727" i="1" s="1"/>
  <c r="O1727" i="1" s="1"/>
  <c r="G1726" i="1"/>
  <c r="K1726" i="1" s="1"/>
  <c r="M1726" i="1" s="1"/>
  <c r="O1726" i="1" s="1"/>
  <c r="G1725" i="1"/>
  <c r="K1725" i="1" s="1"/>
  <c r="M1725" i="1" s="1"/>
  <c r="O1725" i="1" s="1"/>
  <c r="G1724" i="1"/>
  <c r="G1743" i="1" s="1"/>
  <c r="G1723" i="1"/>
  <c r="G1742" i="1" s="1"/>
  <c r="G1722" i="1"/>
  <c r="G1748" i="1" s="1"/>
  <c r="G1721" i="1"/>
  <c r="K1721" i="1" s="1"/>
  <c r="M1721" i="1" s="1"/>
  <c r="O1721" i="1" s="1"/>
  <c r="G1720" i="1"/>
  <c r="K1720" i="1" s="1"/>
  <c r="M1720" i="1" s="1"/>
  <c r="O1720" i="1" s="1"/>
  <c r="G1712" i="1"/>
  <c r="N1710" i="1"/>
  <c r="G1540" i="1"/>
  <c r="G1539" i="1"/>
  <c r="G1538" i="1"/>
  <c r="G1537" i="1"/>
  <c r="G1536" i="1"/>
  <c r="G1535" i="1"/>
  <c r="G1526" i="1"/>
  <c r="G1517" i="1"/>
  <c r="G1511" i="1"/>
  <c r="G1510" i="1"/>
  <c r="G1396" i="1"/>
  <c r="G1395" i="1"/>
  <c r="G1394" i="1"/>
  <c r="G1378" i="1"/>
  <c r="G1371" i="1"/>
  <c r="G1370" i="1"/>
  <c r="G1369" i="1"/>
  <c r="G1368" i="1"/>
  <c r="G1367" i="1"/>
  <c r="G1360" i="1"/>
  <c r="G1359" i="1"/>
  <c r="G1358" i="1"/>
  <c r="G1339" i="1"/>
  <c r="G1336" i="1"/>
  <c r="G1335" i="1"/>
  <c r="G1334" i="1"/>
  <c r="G1325" i="1"/>
  <c r="G1324" i="1"/>
  <c r="G1323" i="1"/>
  <c r="G1318" i="1"/>
  <c r="G1431" i="1"/>
  <c r="G1430" i="1"/>
  <c r="G1429" i="1"/>
  <c r="G1428" i="1"/>
  <c r="G1427" i="1"/>
  <c r="G1420" i="1"/>
  <c r="G1419" i="1"/>
  <c r="G1418" i="1"/>
  <c r="G1399" i="1"/>
  <c r="G1385" i="1"/>
  <c r="G1384" i="1"/>
  <c r="G1383" i="1"/>
  <c r="G1546" i="1"/>
  <c r="G1547" i="1"/>
  <c r="G1709" i="1"/>
  <c r="K1709" i="1" s="1"/>
  <c r="M1709" i="1" s="1"/>
  <c r="O1709" i="1" s="1"/>
  <c r="G1708" i="1"/>
  <c r="K1708" i="1" s="1"/>
  <c r="M1708" i="1" s="1"/>
  <c r="O1708" i="1" s="1"/>
  <c r="N1548" i="1"/>
  <c r="G1545" i="1"/>
  <c r="G1544" i="1"/>
  <c r="G1543" i="1"/>
  <c r="G1542" i="1"/>
  <c r="G1541" i="1"/>
  <c r="G1534" i="1"/>
  <c r="G1533" i="1"/>
  <c r="G1532" i="1"/>
  <c r="G1531" i="1"/>
  <c r="G1530" i="1"/>
  <c r="G1529" i="1"/>
  <c r="G1528" i="1"/>
  <c r="G1527" i="1"/>
  <c r="G1525" i="1"/>
  <c r="G1524" i="1"/>
  <c r="G1523" i="1"/>
  <c r="G1522" i="1"/>
  <c r="G1521" i="1"/>
  <c r="G1520" i="1"/>
  <c r="G1519" i="1"/>
  <c r="G1518" i="1"/>
  <c r="G1516" i="1"/>
  <c r="G1515" i="1"/>
  <c r="G1514" i="1"/>
  <c r="G1513" i="1"/>
  <c r="G1512" i="1"/>
  <c r="G1509" i="1"/>
  <c r="G1508" i="1"/>
  <c r="G1507" i="1"/>
  <c r="G1506" i="1"/>
  <c r="G1505" i="1"/>
  <c r="G1504" i="1"/>
  <c r="G1502" i="1"/>
  <c r="G1501" i="1"/>
  <c r="G1503" i="1"/>
  <c r="G1500" i="1"/>
  <c r="G1499" i="1"/>
  <c r="G1498" i="1"/>
  <c r="B1696" i="1" l="1"/>
  <c r="B3122" i="1"/>
  <c r="O3131" i="1"/>
  <c r="O2366" i="1"/>
  <c r="O2235" i="1"/>
  <c r="O1894" i="1"/>
  <c r="O1785" i="1"/>
  <c r="G1717" i="1"/>
  <c r="K1717" i="1" s="1"/>
  <c r="M1717" i="1" s="1"/>
  <c r="O1717" i="1" s="1"/>
  <c r="O1718" i="1" s="1"/>
  <c r="K1536" i="1"/>
  <c r="G1682" i="1"/>
  <c r="M1682" i="1" s="1"/>
  <c r="O1682" i="1" s="1"/>
  <c r="K1500" i="1"/>
  <c r="M1500" i="1" s="1"/>
  <c r="O1500" i="1" s="1"/>
  <c r="G1655" i="1"/>
  <c r="K1655" i="1" s="1"/>
  <c r="M1655" i="1" s="1"/>
  <c r="O1655" i="1" s="1"/>
  <c r="K1525" i="1"/>
  <c r="M1525" i="1" s="1"/>
  <c r="O1525" i="1" s="1"/>
  <c r="G1697" i="1"/>
  <c r="K1697" i="1" s="1"/>
  <c r="M1697" i="1" s="1"/>
  <c r="O1697" i="1" s="1"/>
  <c r="K1505" i="1"/>
  <c r="M1505" i="1" s="1"/>
  <c r="O1505" i="1" s="1"/>
  <c r="G1704" i="1"/>
  <c r="K1704" i="1" s="1"/>
  <c r="M1704" i="1" s="1"/>
  <c r="O1704" i="1" s="1"/>
  <c r="K1506" i="1"/>
  <c r="M1506" i="1" s="1"/>
  <c r="O1506" i="1" s="1"/>
  <c r="G1660" i="1"/>
  <c r="K1660" i="1" s="1"/>
  <c r="M1660" i="1" s="1"/>
  <c r="O1660" i="1" s="1"/>
  <c r="K1507" i="1"/>
  <c r="M1507" i="1" s="1"/>
  <c r="O1507" i="1" s="1"/>
  <c r="G1661" i="1"/>
  <c r="K1661" i="1" s="1"/>
  <c r="M1661" i="1" s="1"/>
  <c r="O1661" i="1" s="1"/>
  <c r="K1533" i="1"/>
  <c r="M1533" i="1" s="1"/>
  <c r="O1533" i="1" s="1"/>
  <c r="G1681" i="1"/>
  <c r="K1545" i="1"/>
  <c r="M1545" i="1" s="1"/>
  <c r="O1545" i="1" s="1"/>
  <c r="G1690" i="1"/>
  <c r="M1690" i="1" s="1"/>
  <c r="O1690" i="1" s="1"/>
  <c r="K1519" i="1"/>
  <c r="M1519" i="1" s="1"/>
  <c r="O1519" i="1" s="1"/>
  <c r="G1671" i="1"/>
  <c r="K1671" i="1" s="1"/>
  <c r="M1671" i="1" s="1"/>
  <c r="O1671" i="1" s="1"/>
  <c r="K1526" i="1"/>
  <c r="M1526" i="1" s="1"/>
  <c r="O1526" i="1" s="1"/>
  <c r="G1676" i="1"/>
  <c r="K1676" i="1" s="1"/>
  <c r="M1676" i="1" s="1"/>
  <c r="O1676" i="1" s="1"/>
  <c r="K1520" i="1"/>
  <c r="M1520" i="1" s="1"/>
  <c r="O1520" i="1" s="1"/>
  <c r="G1672" i="1"/>
  <c r="M1672" i="1" s="1"/>
  <c r="O1672" i="1" s="1"/>
  <c r="K1498" i="1"/>
  <c r="M1498" i="1" s="1"/>
  <c r="O1498" i="1" s="1"/>
  <c r="G1695" i="1"/>
  <c r="K1695" i="1" s="1"/>
  <c r="M1695" i="1" s="1"/>
  <c r="O1695" i="1" s="1"/>
  <c r="K1522" i="1"/>
  <c r="M1522" i="1" s="1"/>
  <c r="O1522" i="1" s="1"/>
  <c r="G1694" i="1"/>
  <c r="K1694" i="1" s="1"/>
  <c r="M1694" i="1" s="1"/>
  <c r="O1694" i="1" s="1"/>
  <c r="K1537" i="1"/>
  <c r="M1537" i="1" s="1"/>
  <c r="O1537" i="1" s="1"/>
  <c r="G1683" i="1"/>
  <c r="K1683" i="1" s="1"/>
  <c r="M1683" i="1" s="1"/>
  <c r="O1683" i="1" s="1"/>
  <c r="K1523" i="1"/>
  <c r="M1523" i="1" s="1"/>
  <c r="O1523" i="1" s="1"/>
  <c r="G1674" i="1"/>
  <c r="K1674" i="1" s="1"/>
  <c r="M1674" i="1" s="1"/>
  <c r="O1674" i="1" s="1"/>
  <c r="K1503" i="1"/>
  <c r="M1503" i="1" s="1"/>
  <c r="O1503" i="1" s="1"/>
  <c r="G1658" i="1"/>
  <c r="K1658" i="1" s="1"/>
  <c r="M1658" i="1" s="1"/>
  <c r="O1658" i="1" s="1"/>
  <c r="K1501" i="1"/>
  <c r="M1501" i="1" s="1"/>
  <c r="O1501" i="1" s="1"/>
  <c r="G1656" i="1"/>
  <c r="K1656" i="1" s="1"/>
  <c r="M1656" i="1" s="1"/>
  <c r="O1656" i="1" s="1"/>
  <c r="K1504" i="1"/>
  <c r="M1504" i="1" s="1"/>
  <c r="O1504" i="1" s="1"/>
  <c r="G1659" i="1"/>
  <c r="M1659" i="1" s="1"/>
  <c r="O1659" i="1" s="1"/>
  <c r="K1530" i="1"/>
  <c r="M1530" i="1" s="1"/>
  <c r="O1530" i="1" s="1"/>
  <c r="G1699" i="1"/>
  <c r="K1699" i="1" s="1"/>
  <c r="M1699" i="1" s="1"/>
  <c r="O1699" i="1" s="1"/>
  <c r="K1531" i="1"/>
  <c r="M1531" i="1" s="1"/>
  <c r="O1531" i="1" s="1"/>
  <c r="G1679" i="1"/>
  <c r="M1679" i="1" s="1"/>
  <c r="O1679" i="1" s="1"/>
  <c r="K1508" i="1"/>
  <c r="M1508" i="1" s="1"/>
  <c r="O1508" i="1" s="1"/>
  <c r="G1662" i="1"/>
  <c r="M1662" i="1" s="1"/>
  <c r="O1662" i="1" s="1"/>
  <c r="K1509" i="1"/>
  <c r="M1509" i="1" s="1"/>
  <c r="O1509" i="1" s="1"/>
  <c r="G1663" i="1"/>
  <c r="K1663" i="1" s="1"/>
  <c r="M1663" i="1" s="1"/>
  <c r="O1663" i="1" s="1"/>
  <c r="K1512" i="1"/>
  <c r="M1512" i="1" s="1"/>
  <c r="O1512" i="1" s="1"/>
  <c r="G1700" i="1"/>
  <c r="K1700" i="1" s="1"/>
  <c r="M1700" i="1" s="1"/>
  <c r="O1700" i="1" s="1"/>
  <c r="K1534" i="1"/>
  <c r="M1534" i="1" s="1"/>
  <c r="O1534" i="1" s="1"/>
  <c r="G1696" i="1"/>
  <c r="K1696" i="1" s="1"/>
  <c r="M1696" i="1" s="1"/>
  <c r="O1696" i="1" s="1"/>
  <c r="K1518" i="1"/>
  <c r="M1518" i="1" s="1"/>
  <c r="O1518" i="1" s="1"/>
  <c r="G1670" i="1"/>
  <c r="K1670" i="1" s="1"/>
  <c r="M1670" i="1" s="1"/>
  <c r="O1670" i="1" s="1"/>
  <c r="K1517" i="1"/>
  <c r="M1517" i="1" s="1"/>
  <c r="O1517" i="1" s="1"/>
  <c r="G1669" i="1"/>
  <c r="K1669" i="1" s="1"/>
  <c r="M1669" i="1" s="1"/>
  <c r="O1669" i="1" s="1"/>
  <c r="K1499" i="1"/>
  <c r="M1499" i="1" s="1"/>
  <c r="O1499" i="1" s="1"/>
  <c r="G1654" i="1"/>
  <c r="K1654" i="1" s="1"/>
  <c r="M1654" i="1" s="1"/>
  <c r="O1654" i="1" s="1"/>
  <c r="K1547" i="1"/>
  <c r="M1547" i="1" s="1"/>
  <c r="O1547" i="1" s="1"/>
  <c r="G1692" i="1"/>
  <c r="K1692" i="1" s="1"/>
  <c r="M1692" i="1" s="1"/>
  <c r="O1692" i="1" s="1"/>
  <c r="K1546" i="1"/>
  <c r="M1546" i="1" s="1"/>
  <c r="O1546" i="1" s="1"/>
  <c r="G1691" i="1"/>
  <c r="K1691" i="1" s="1"/>
  <c r="M1691" i="1" s="1"/>
  <c r="O1691" i="1" s="1"/>
  <c r="K1539" i="1"/>
  <c r="M1539" i="1" s="1"/>
  <c r="O1539" i="1" s="1"/>
  <c r="G1685" i="1"/>
  <c r="M1685" i="1" s="1"/>
  <c r="O1685" i="1" s="1"/>
  <c r="K1502" i="1"/>
  <c r="G1657" i="1"/>
  <c r="K1657" i="1" s="1"/>
  <c r="M1657" i="1" s="1"/>
  <c r="O1657" i="1" s="1"/>
  <c r="K1528" i="1"/>
  <c r="M1528" i="1" s="1"/>
  <c r="O1528" i="1" s="1"/>
  <c r="G1677" i="1"/>
  <c r="K1677" i="1" s="1"/>
  <c r="M1677" i="1" s="1"/>
  <c r="O1677" i="1" s="1"/>
  <c r="K1514" i="1"/>
  <c r="M1514" i="1" s="1"/>
  <c r="O1514" i="1" s="1"/>
  <c r="G1698" i="1"/>
  <c r="K1698" i="1" s="1"/>
  <c r="M1698" i="1" s="1"/>
  <c r="O1698" i="1" s="1"/>
  <c r="K1543" i="1"/>
  <c r="M1543" i="1" s="1"/>
  <c r="O1543" i="1" s="1"/>
  <c r="G1688" i="1"/>
  <c r="K1688" i="1" s="1"/>
  <c r="M1688" i="1" s="1"/>
  <c r="O1688" i="1" s="1"/>
  <c r="K1510" i="1"/>
  <c r="M1510" i="1" s="1"/>
  <c r="O1510" i="1" s="1"/>
  <c r="G1664" i="1"/>
  <c r="K1664" i="1" s="1"/>
  <c r="M1664" i="1" s="1"/>
  <c r="O1664" i="1" s="1"/>
  <c r="K1535" i="1"/>
  <c r="M1535" i="1" s="1"/>
  <c r="O1535" i="1" s="1"/>
  <c r="G1703" i="1"/>
  <c r="K1703" i="1" s="1"/>
  <c r="M1703" i="1" s="1"/>
  <c r="O1703" i="1" s="1"/>
  <c r="K1521" i="1"/>
  <c r="M1521" i="1" s="1"/>
  <c r="O1521" i="1" s="1"/>
  <c r="G1673" i="1"/>
  <c r="K1673" i="1" s="1"/>
  <c r="M1673" i="1" s="1"/>
  <c r="O1673" i="1" s="1"/>
  <c r="K1538" i="1"/>
  <c r="M1538" i="1" s="1"/>
  <c r="O1538" i="1" s="1"/>
  <c r="G1684" i="1"/>
  <c r="M1684" i="1" s="1"/>
  <c r="O1684" i="1" s="1"/>
  <c r="K1524" i="1"/>
  <c r="M1524" i="1" s="1"/>
  <c r="O1524" i="1" s="1"/>
  <c r="G1675" i="1"/>
  <c r="M1675" i="1" s="1"/>
  <c r="O1675" i="1" s="1"/>
  <c r="K1540" i="1"/>
  <c r="M1540" i="1" s="1"/>
  <c r="O1540" i="1" s="1"/>
  <c r="G1686" i="1"/>
  <c r="M1686" i="1" s="1"/>
  <c r="O1686" i="1" s="1"/>
  <c r="K1527" i="1"/>
  <c r="M1527" i="1" s="1"/>
  <c r="O1527" i="1" s="1"/>
  <c r="G1701" i="1"/>
  <c r="K1701" i="1" s="1"/>
  <c r="M1701" i="1" s="1"/>
  <c r="O1701" i="1" s="1"/>
  <c r="K1529" i="1"/>
  <c r="M1529" i="1" s="1"/>
  <c r="O1529" i="1" s="1"/>
  <c r="G1678" i="1"/>
  <c r="M1678" i="1" s="1"/>
  <c r="O1678" i="1" s="1"/>
  <c r="K1532" i="1"/>
  <c r="M1532" i="1" s="1"/>
  <c r="O1532" i="1" s="1"/>
  <c r="G1680" i="1"/>
  <c r="M1680" i="1" s="1"/>
  <c r="O1680" i="1" s="1"/>
  <c r="K1513" i="1"/>
  <c r="M1513" i="1" s="1"/>
  <c r="O1513" i="1" s="1"/>
  <c r="G1666" i="1"/>
  <c r="K1666" i="1" s="1"/>
  <c r="M1666" i="1" s="1"/>
  <c r="O1666" i="1" s="1"/>
  <c r="K1541" i="1"/>
  <c r="M1541" i="1" s="1"/>
  <c r="O1541" i="1" s="1"/>
  <c r="G1702" i="1"/>
  <c r="K1702" i="1" s="1"/>
  <c r="M1702" i="1" s="1"/>
  <c r="O1702" i="1" s="1"/>
  <c r="K1542" i="1"/>
  <c r="M1542" i="1" s="1"/>
  <c r="O1542" i="1" s="1"/>
  <c r="G1687" i="1"/>
  <c r="K1687" i="1" s="1"/>
  <c r="M1687" i="1" s="1"/>
  <c r="O1687" i="1" s="1"/>
  <c r="K1515" i="1"/>
  <c r="M1515" i="1" s="1"/>
  <c r="O1515" i="1" s="1"/>
  <c r="G1667" i="1"/>
  <c r="K1667" i="1" s="1"/>
  <c r="M1667" i="1" s="1"/>
  <c r="O1667" i="1" s="1"/>
  <c r="K1516" i="1"/>
  <c r="M1516" i="1" s="1"/>
  <c r="O1516" i="1" s="1"/>
  <c r="G1668" i="1"/>
  <c r="K1668" i="1" s="1"/>
  <c r="M1668" i="1" s="1"/>
  <c r="O1668" i="1" s="1"/>
  <c r="K1544" i="1"/>
  <c r="M1544" i="1" s="1"/>
  <c r="O1544" i="1" s="1"/>
  <c r="G1689" i="1"/>
  <c r="K1511" i="1"/>
  <c r="M1511" i="1" s="1"/>
  <c r="O1511" i="1" s="1"/>
  <c r="G1665" i="1"/>
  <c r="K1665" i="1" s="1"/>
  <c r="M1665" i="1" s="1"/>
  <c r="O1665" i="1" s="1"/>
  <c r="K1723" i="1"/>
  <c r="M1723" i="1" s="1"/>
  <c r="O1723" i="1" s="1"/>
  <c r="K1742" i="1"/>
  <c r="M1742" i="1" s="1"/>
  <c r="O1742" i="1" s="1"/>
  <c r="K1724" i="1"/>
  <c r="M1724" i="1" s="1"/>
  <c r="O1724" i="1" s="1"/>
  <c r="K1743" i="1"/>
  <c r="M1743" i="1" s="1"/>
  <c r="O1743" i="1" s="1"/>
  <c r="K1722" i="1"/>
  <c r="M1722" i="1" s="1"/>
  <c r="O1722" i="1" s="1"/>
  <c r="K1748" i="1"/>
  <c r="M1748" i="1" s="1"/>
  <c r="O1748" i="1" s="1"/>
  <c r="K1712" i="1"/>
  <c r="M1712" i="1" s="1"/>
  <c r="O1712" i="1" s="1"/>
  <c r="O1710" i="1"/>
  <c r="M1536" i="1"/>
  <c r="O1536" i="1" s="1"/>
  <c r="M1502" i="1"/>
  <c r="O1502" i="1" s="1"/>
  <c r="B1296" i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G1242" i="1"/>
  <c r="G1231" i="1"/>
  <c r="G1247" i="1"/>
  <c r="G1257" i="1"/>
  <c r="G1234" i="1"/>
  <c r="G1279" i="1"/>
  <c r="G1253" i="1"/>
  <c r="G1268" i="1"/>
  <c r="G1267" i="1"/>
  <c r="G1232" i="1"/>
  <c r="G1251" i="1"/>
  <c r="G1266" i="1"/>
  <c r="G1237" i="1"/>
  <c r="G1275" i="1"/>
  <c r="G1145" i="1"/>
  <c r="G1238" i="1"/>
  <c r="G1241" i="1"/>
  <c r="G1286" i="1"/>
  <c r="G1230" i="1"/>
  <c r="G1281" i="1"/>
  <c r="G1433" i="1"/>
  <c r="K1433" i="1" s="1"/>
  <c r="M1433" i="1" s="1"/>
  <c r="O1433" i="1" s="1"/>
  <c r="G1432" i="1"/>
  <c r="K1432" i="1" s="1"/>
  <c r="M1432" i="1" s="1"/>
  <c r="O1432" i="1" s="1"/>
  <c r="K1431" i="1"/>
  <c r="M1431" i="1" s="1"/>
  <c r="O1431" i="1" s="1"/>
  <c r="K1430" i="1"/>
  <c r="M1430" i="1" s="1"/>
  <c r="O1430" i="1" s="1"/>
  <c r="K1429" i="1"/>
  <c r="M1429" i="1" s="1"/>
  <c r="O1429" i="1" s="1"/>
  <c r="K1428" i="1"/>
  <c r="M1428" i="1" s="1"/>
  <c r="O1428" i="1" s="1"/>
  <c r="K1427" i="1"/>
  <c r="M1427" i="1" s="1"/>
  <c r="O1427" i="1" s="1"/>
  <c r="G1426" i="1"/>
  <c r="K1426" i="1" s="1"/>
  <c r="M1426" i="1" s="1"/>
  <c r="O1426" i="1" s="1"/>
  <c r="G1425" i="1"/>
  <c r="K1425" i="1" s="1"/>
  <c r="M1425" i="1" s="1"/>
  <c r="O1425" i="1" s="1"/>
  <c r="G1424" i="1"/>
  <c r="K1424" i="1" s="1"/>
  <c r="M1424" i="1" s="1"/>
  <c r="O1424" i="1" s="1"/>
  <c r="G1423" i="1"/>
  <c r="K1423" i="1" s="1"/>
  <c r="M1423" i="1" s="1"/>
  <c r="O1423" i="1" s="1"/>
  <c r="G1422" i="1"/>
  <c r="K1422" i="1" s="1"/>
  <c r="M1422" i="1" s="1"/>
  <c r="O1422" i="1" s="1"/>
  <c r="G1421" i="1"/>
  <c r="K1421" i="1" s="1"/>
  <c r="M1421" i="1" s="1"/>
  <c r="O1421" i="1" s="1"/>
  <c r="K1420" i="1"/>
  <c r="M1420" i="1" s="1"/>
  <c r="O1420" i="1" s="1"/>
  <c r="K1419" i="1"/>
  <c r="M1419" i="1" s="1"/>
  <c r="O1419" i="1" s="1"/>
  <c r="K1418" i="1"/>
  <c r="M1418" i="1" s="1"/>
  <c r="O1418" i="1" s="1"/>
  <c r="G1417" i="1"/>
  <c r="K1417" i="1" s="1"/>
  <c r="M1417" i="1" s="1"/>
  <c r="O1417" i="1" s="1"/>
  <c r="G1416" i="1"/>
  <c r="K1416" i="1" s="1"/>
  <c r="M1416" i="1" s="1"/>
  <c r="O1416" i="1" s="1"/>
  <c r="G1415" i="1"/>
  <c r="K1415" i="1" s="1"/>
  <c r="M1415" i="1" s="1"/>
  <c r="O1415" i="1" s="1"/>
  <c r="G1414" i="1"/>
  <c r="K1414" i="1" s="1"/>
  <c r="M1414" i="1" s="1"/>
  <c r="O1414" i="1" s="1"/>
  <c r="G1413" i="1"/>
  <c r="K1413" i="1" s="1"/>
  <c r="M1413" i="1" s="1"/>
  <c r="O1413" i="1" s="1"/>
  <c r="G1412" i="1"/>
  <c r="K1412" i="1" s="1"/>
  <c r="M1412" i="1" s="1"/>
  <c r="O1412" i="1" s="1"/>
  <c r="G1411" i="1"/>
  <c r="K1411" i="1" s="1"/>
  <c r="M1411" i="1" s="1"/>
  <c r="O1411" i="1" s="1"/>
  <c r="G1410" i="1"/>
  <c r="K1410" i="1" s="1"/>
  <c r="M1410" i="1" s="1"/>
  <c r="O1410" i="1" s="1"/>
  <c r="G1409" i="1"/>
  <c r="K1409" i="1" s="1"/>
  <c r="M1409" i="1" s="1"/>
  <c r="O1409" i="1" s="1"/>
  <c r="G1408" i="1"/>
  <c r="K1408" i="1" s="1"/>
  <c r="M1408" i="1" s="1"/>
  <c r="O1408" i="1" s="1"/>
  <c r="G1407" i="1"/>
  <c r="K1407" i="1" s="1"/>
  <c r="M1407" i="1" s="1"/>
  <c r="O1407" i="1" s="1"/>
  <c r="G1406" i="1"/>
  <c r="K1406" i="1" s="1"/>
  <c r="M1406" i="1" s="1"/>
  <c r="O1406" i="1" s="1"/>
  <c r="G1405" i="1"/>
  <c r="K1405" i="1" s="1"/>
  <c r="M1405" i="1" s="1"/>
  <c r="O1405" i="1" s="1"/>
  <c r="G1404" i="1"/>
  <c r="K1404" i="1" s="1"/>
  <c r="M1404" i="1" s="1"/>
  <c r="O1404" i="1" s="1"/>
  <c r="G1403" i="1"/>
  <c r="K1403" i="1" s="1"/>
  <c r="M1403" i="1" s="1"/>
  <c r="O1403" i="1" s="1"/>
  <c r="G1402" i="1"/>
  <c r="K1402" i="1" s="1"/>
  <c r="M1402" i="1" s="1"/>
  <c r="O1402" i="1" s="1"/>
  <c r="G1401" i="1"/>
  <c r="K1401" i="1" s="1"/>
  <c r="M1401" i="1" s="1"/>
  <c r="O1401" i="1" s="1"/>
  <c r="G1400" i="1"/>
  <c r="K1400" i="1" s="1"/>
  <c r="M1400" i="1" s="1"/>
  <c r="O1400" i="1" s="1"/>
  <c r="K1399" i="1"/>
  <c r="M1399" i="1" s="1"/>
  <c r="O1399" i="1" s="1"/>
  <c r="G1398" i="1"/>
  <c r="K1398" i="1" s="1"/>
  <c r="M1398" i="1" s="1"/>
  <c r="O1398" i="1" s="1"/>
  <c r="G1397" i="1"/>
  <c r="K1397" i="1" s="1"/>
  <c r="M1397" i="1" s="1"/>
  <c r="O1397" i="1" s="1"/>
  <c r="K1396" i="1"/>
  <c r="M1396" i="1" s="1"/>
  <c r="O1396" i="1" s="1"/>
  <c r="K1395" i="1"/>
  <c r="M1395" i="1" s="1"/>
  <c r="O1395" i="1" s="1"/>
  <c r="K1394" i="1"/>
  <c r="M1394" i="1" s="1"/>
  <c r="O1394" i="1" s="1"/>
  <c r="G1393" i="1"/>
  <c r="K1393" i="1" s="1"/>
  <c r="M1393" i="1" s="1"/>
  <c r="O1393" i="1" s="1"/>
  <c r="G1392" i="1"/>
  <c r="K1392" i="1" s="1"/>
  <c r="M1392" i="1" s="1"/>
  <c r="O1392" i="1" s="1"/>
  <c r="G1391" i="1"/>
  <c r="K1391" i="1" s="1"/>
  <c r="M1391" i="1" s="1"/>
  <c r="O1391" i="1" s="1"/>
  <c r="G1390" i="1"/>
  <c r="K1390" i="1" s="1"/>
  <c r="M1390" i="1" s="1"/>
  <c r="O1390" i="1" s="1"/>
  <c r="G1389" i="1"/>
  <c r="K1389" i="1" s="1"/>
  <c r="M1389" i="1" s="1"/>
  <c r="O1389" i="1" s="1"/>
  <c r="G1388" i="1"/>
  <c r="K1388" i="1" s="1"/>
  <c r="M1388" i="1" s="1"/>
  <c r="O1388" i="1" s="1"/>
  <c r="G1387" i="1"/>
  <c r="K1387" i="1" s="1"/>
  <c r="M1387" i="1" s="1"/>
  <c r="O1387" i="1" s="1"/>
  <c r="G1386" i="1"/>
  <c r="K1386" i="1" s="1"/>
  <c r="M1386" i="1" s="1"/>
  <c r="O1386" i="1" s="1"/>
  <c r="G1239" i="1"/>
  <c r="K1325" i="1"/>
  <c r="M1325" i="1" s="1"/>
  <c r="O1325" i="1" s="1"/>
  <c r="K1324" i="1"/>
  <c r="M1324" i="1" s="1"/>
  <c r="O1324" i="1" s="1"/>
  <c r="K1323" i="1"/>
  <c r="M1323" i="1" s="1"/>
  <c r="O1323" i="1" s="1"/>
  <c r="G1322" i="1"/>
  <c r="K1322" i="1" s="1"/>
  <c r="M1322" i="1" s="1"/>
  <c r="O1322" i="1" s="1"/>
  <c r="G1321" i="1"/>
  <c r="K1321" i="1" s="1"/>
  <c r="M1321" i="1" s="1"/>
  <c r="O1321" i="1" s="1"/>
  <c r="G1320" i="1"/>
  <c r="K1320" i="1" s="1"/>
  <c r="M1320" i="1" s="1"/>
  <c r="O1320" i="1" s="1"/>
  <c r="G1319" i="1"/>
  <c r="K1319" i="1" s="1"/>
  <c r="M1319" i="1" s="1"/>
  <c r="O1319" i="1" s="1"/>
  <c r="K1385" i="1"/>
  <c r="M1385" i="1" s="1"/>
  <c r="O1385" i="1" s="1"/>
  <c r="K1384" i="1"/>
  <c r="M1384" i="1" s="1"/>
  <c r="O1384" i="1" s="1"/>
  <c r="K1383" i="1"/>
  <c r="M1383" i="1" s="1"/>
  <c r="O1383" i="1" s="1"/>
  <c r="G1382" i="1"/>
  <c r="K1382" i="1" s="1"/>
  <c r="M1382" i="1" s="1"/>
  <c r="O1382" i="1" s="1"/>
  <c r="G1381" i="1"/>
  <c r="K1381" i="1" s="1"/>
  <c r="M1381" i="1" s="1"/>
  <c r="O1381" i="1" s="1"/>
  <c r="G1380" i="1"/>
  <c r="K1380" i="1" s="1"/>
  <c r="M1380" i="1" s="1"/>
  <c r="O1380" i="1" s="1"/>
  <c r="G1379" i="1"/>
  <c r="K1379" i="1" s="1"/>
  <c r="M1379" i="1" s="1"/>
  <c r="O1379" i="1" s="1"/>
  <c r="K1378" i="1"/>
  <c r="M1378" i="1" s="1"/>
  <c r="O1378" i="1" s="1"/>
  <c r="G1377" i="1"/>
  <c r="K1377" i="1" s="1"/>
  <c r="M1377" i="1" s="1"/>
  <c r="O1377" i="1" s="1"/>
  <c r="G1376" i="1"/>
  <c r="K1376" i="1" s="1"/>
  <c r="M1376" i="1" s="1"/>
  <c r="O1376" i="1" s="1"/>
  <c r="G1373" i="1"/>
  <c r="K1373" i="1" s="1"/>
  <c r="M1373" i="1" s="1"/>
  <c r="O1373" i="1" s="1"/>
  <c r="G1372" i="1"/>
  <c r="K1372" i="1" s="1"/>
  <c r="M1372" i="1" s="1"/>
  <c r="O1372" i="1" s="1"/>
  <c r="K1371" i="1"/>
  <c r="M1371" i="1" s="1"/>
  <c r="O1371" i="1" s="1"/>
  <c r="K1370" i="1"/>
  <c r="M1370" i="1" s="1"/>
  <c r="O1370" i="1" s="1"/>
  <c r="K1369" i="1"/>
  <c r="M1369" i="1" s="1"/>
  <c r="O1369" i="1" s="1"/>
  <c r="K1368" i="1"/>
  <c r="M1368" i="1" s="1"/>
  <c r="O1368" i="1" s="1"/>
  <c r="K1367" i="1"/>
  <c r="M1367" i="1" s="1"/>
  <c r="O1367" i="1" s="1"/>
  <c r="G1366" i="1"/>
  <c r="K1366" i="1" s="1"/>
  <c r="M1366" i="1" s="1"/>
  <c r="O1366" i="1" s="1"/>
  <c r="G1365" i="1"/>
  <c r="K1365" i="1" s="1"/>
  <c r="M1365" i="1" s="1"/>
  <c r="O1365" i="1" s="1"/>
  <c r="G1364" i="1"/>
  <c r="K1364" i="1" s="1"/>
  <c r="M1364" i="1" s="1"/>
  <c r="O1364" i="1" s="1"/>
  <c r="G1363" i="1"/>
  <c r="K1363" i="1" s="1"/>
  <c r="M1363" i="1" s="1"/>
  <c r="O1363" i="1" s="1"/>
  <c r="G1362" i="1"/>
  <c r="K1362" i="1" s="1"/>
  <c r="M1362" i="1" s="1"/>
  <c r="O1362" i="1" s="1"/>
  <c r="G1361" i="1"/>
  <c r="K1361" i="1" s="1"/>
  <c r="M1361" i="1" s="1"/>
  <c r="O1361" i="1" s="1"/>
  <c r="K1360" i="1"/>
  <c r="M1360" i="1" s="1"/>
  <c r="O1360" i="1" s="1"/>
  <c r="G1357" i="1"/>
  <c r="K1357" i="1" s="1"/>
  <c r="M1357" i="1" s="1"/>
  <c r="O1357" i="1" s="1"/>
  <c r="G1356" i="1"/>
  <c r="K1356" i="1" s="1"/>
  <c r="M1356" i="1" s="1"/>
  <c r="O1356" i="1" s="1"/>
  <c r="G1355" i="1"/>
  <c r="K1355" i="1" s="1"/>
  <c r="M1355" i="1" s="1"/>
  <c r="O1355" i="1" s="1"/>
  <c r="G1354" i="1"/>
  <c r="K1354" i="1" s="1"/>
  <c r="M1354" i="1" s="1"/>
  <c r="O1354" i="1" s="1"/>
  <c r="G1353" i="1"/>
  <c r="K1353" i="1" s="1"/>
  <c r="M1353" i="1" s="1"/>
  <c r="O1353" i="1" s="1"/>
  <c r="G1352" i="1"/>
  <c r="K1352" i="1" s="1"/>
  <c r="M1352" i="1" s="1"/>
  <c r="O1352" i="1" s="1"/>
  <c r="G1351" i="1"/>
  <c r="K1351" i="1" s="1"/>
  <c r="M1351" i="1" s="1"/>
  <c r="O1351" i="1" s="1"/>
  <c r="G1350" i="1"/>
  <c r="K1350" i="1" s="1"/>
  <c r="M1350" i="1" s="1"/>
  <c r="O1350" i="1" s="1"/>
  <c r="G1349" i="1"/>
  <c r="K1349" i="1" s="1"/>
  <c r="M1349" i="1" s="1"/>
  <c r="O1349" i="1" s="1"/>
  <c r="G1348" i="1"/>
  <c r="K1348" i="1" s="1"/>
  <c r="M1348" i="1" s="1"/>
  <c r="O1348" i="1" s="1"/>
  <c r="G1347" i="1"/>
  <c r="K1347" i="1" s="1"/>
  <c r="M1347" i="1" s="1"/>
  <c r="O1347" i="1" s="1"/>
  <c r="G1346" i="1"/>
  <c r="K1346" i="1" s="1"/>
  <c r="M1346" i="1" s="1"/>
  <c r="O1346" i="1" s="1"/>
  <c r="G1345" i="1"/>
  <c r="K1345" i="1" s="1"/>
  <c r="M1345" i="1" s="1"/>
  <c r="O1345" i="1" s="1"/>
  <c r="G1344" i="1"/>
  <c r="K1344" i="1" s="1"/>
  <c r="M1344" i="1" s="1"/>
  <c r="O1344" i="1" s="1"/>
  <c r="G1343" i="1"/>
  <c r="K1343" i="1" s="1"/>
  <c r="M1343" i="1" s="1"/>
  <c r="O1343" i="1" s="1"/>
  <c r="G1342" i="1"/>
  <c r="K1342" i="1" s="1"/>
  <c r="M1342" i="1" s="1"/>
  <c r="O1342" i="1" s="1"/>
  <c r="G1341" i="1"/>
  <c r="K1341" i="1" s="1"/>
  <c r="M1341" i="1" s="1"/>
  <c r="O1341" i="1" s="1"/>
  <c r="G1340" i="1"/>
  <c r="K1340" i="1" s="1"/>
  <c r="M1340" i="1" s="1"/>
  <c r="O1340" i="1" s="1"/>
  <c r="K1339" i="1"/>
  <c r="M1339" i="1" s="1"/>
  <c r="O1339" i="1" s="1"/>
  <c r="G1338" i="1"/>
  <c r="K1338" i="1" s="1"/>
  <c r="M1338" i="1" s="1"/>
  <c r="O1338" i="1" s="1"/>
  <c r="G1337" i="1"/>
  <c r="K1337" i="1" s="1"/>
  <c r="M1337" i="1" s="1"/>
  <c r="O1337" i="1" s="1"/>
  <c r="K1336" i="1"/>
  <c r="M1336" i="1" s="1"/>
  <c r="O1336" i="1" s="1"/>
  <c r="K1335" i="1"/>
  <c r="M1335" i="1" s="1"/>
  <c r="O1335" i="1" s="1"/>
  <c r="K1334" i="1"/>
  <c r="M1334" i="1" s="1"/>
  <c r="O1334" i="1" s="1"/>
  <c r="G1333" i="1"/>
  <c r="K1333" i="1" s="1"/>
  <c r="M1333" i="1" s="1"/>
  <c r="O1333" i="1" s="1"/>
  <c r="G1332" i="1"/>
  <c r="K1332" i="1" s="1"/>
  <c r="M1332" i="1" s="1"/>
  <c r="O1332" i="1" s="1"/>
  <c r="G1331" i="1"/>
  <c r="K1331" i="1" s="1"/>
  <c r="M1331" i="1" s="1"/>
  <c r="O1331" i="1" s="1"/>
  <c r="G1330" i="1"/>
  <c r="K1330" i="1" s="1"/>
  <c r="M1330" i="1" s="1"/>
  <c r="O1330" i="1" s="1"/>
  <c r="G1329" i="1"/>
  <c r="K1329" i="1" s="1"/>
  <c r="M1329" i="1" s="1"/>
  <c r="O1329" i="1" s="1"/>
  <c r="G1328" i="1"/>
  <c r="K1328" i="1" s="1"/>
  <c r="M1328" i="1" s="1"/>
  <c r="O1328" i="1" s="1"/>
  <c r="G1327" i="1"/>
  <c r="K1327" i="1" s="1"/>
  <c r="M1327" i="1" s="1"/>
  <c r="O1327" i="1" s="1"/>
  <c r="G1326" i="1"/>
  <c r="K1326" i="1" s="1"/>
  <c r="M1326" i="1" s="1"/>
  <c r="O1326" i="1" s="1"/>
  <c r="K1318" i="1"/>
  <c r="M1318" i="1" s="1"/>
  <c r="O1318" i="1" s="1"/>
  <c r="G1317" i="1"/>
  <c r="K1317" i="1" s="1"/>
  <c r="M1317" i="1" s="1"/>
  <c r="O1317" i="1" s="1"/>
  <c r="G1316" i="1"/>
  <c r="K1316" i="1" s="1"/>
  <c r="M1316" i="1" s="1"/>
  <c r="O1316" i="1" s="1"/>
  <c r="B1499" i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N1434" i="1"/>
  <c r="B1377" i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N1374" i="1"/>
  <c r="K1359" i="1"/>
  <c r="M1359" i="1" s="1"/>
  <c r="O1359" i="1" s="1"/>
  <c r="K1358" i="1"/>
  <c r="M1358" i="1" s="1"/>
  <c r="O1358" i="1" s="1"/>
  <c r="B1317" i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N1288" i="1"/>
  <c r="G1287" i="1"/>
  <c r="G1236" i="1"/>
  <c r="G1235" i="1"/>
  <c r="G1233" i="1"/>
  <c r="G1285" i="1"/>
  <c r="G1284" i="1"/>
  <c r="G1283" i="1"/>
  <c r="G1282" i="1"/>
  <c r="G1280" i="1"/>
  <c r="G1278" i="1"/>
  <c r="G1277" i="1"/>
  <c r="G1276" i="1"/>
  <c r="G1274" i="1"/>
  <c r="G1273" i="1"/>
  <c r="G1272" i="1"/>
  <c r="G1271" i="1"/>
  <c r="G1270" i="1"/>
  <c r="G1269" i="1"/>
  <c r="G1265" i="1"/>
  <c r="G1264" i="1"/>
  <c r="G1263" i="1"/>
  <c r="G1262" i="1"/>
  <c r="G1261" i="1"/>
  <c r="G1260" i="1"/>
  <c r="G1259" i="1"/>
  <c r="G1258" i="1"/>
  <c r="G1256" i="1"/>
  <c r="G1255" i="1"/>
  <c r="G1254" i="1"/>
  <c r="G1252" i="1"/>
  <c r="G1250" i="1"/>
  <c r="G1249" i="1"/>
  <c r="G1248" i="1"/>
  <c r="G1246" i="1"/>
  <c r="G1245" i="1"/>
  <c r="G1244" i="1"/>
  <c r="G1243" i="1"/>
  <c r="G1240" i="1"/>
  <c r="B1231" i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G1199" i="1"/>
  <c r="K1199" i="1" s="1"/>
  <c r="L1199" i="1" s="1"/>
  <c r="M1199" i="1" s="1"/>
  <c r="O1199" i="1" s="1"/>
  <c r="G1198" i="1"/>
  <c r="K1198" i="1" s="1"/>
  <c r="L1198" i="1" s="1"/>
  <c r="M1198" i="1" s="1"/>
  <c r="O1198" i="1" s="1"/>
  <c r="G1197" i="1"/>
  <c r="K1197" i="1" s="1"/>
  <c r="L1197" i="1" s="1"/>
  <c r="M1197" i="1" s="1"/>
  <c r="O1197" i="1" s="1"/>
  <c r="G1196" i="1"/>
  <c r="K1196" i="1" s="1"/>
  <c r="L1196" i="1" s="1"/>
  <c r="M1196" i="1" s="1"/>
  <c r="O1196" i="1" s="1"/>
  <c r="G1195" i="1"/>
  <c r="K1195" i="1" s="1"/>
  <c r="L1195" i="1" s="1"/>
  <c r="M1195" i="1" s="1"/>
  <c r="O1195" i="1" s="1"/>
  <c r="G1194" i="1"/>
  <c r="K1194" i="1" s="1"/>
  <c r="L1194" i="1" s="1"/>
  <c r="M1194" i="1" s="1"/>
  <c r="O1194" i="1" s="1"/>
  <c r="G1193" i="1"/>
  <c r="K1193" i="1" s="1"/>
  <c r="L1193" i="1" s="1"/>
  <c r="M1193" i="1" s="1"/>
  <c r="O1193" i="1" s="1"/>
  <c r="G1192" i="1"/>
  <c r="K1192" i="1" s="1"/>
  <c r="L1192" i="1" s="1"/>
  <c r="M1192" i="1" s="1"/>
  <c r="O1192" i="1" s="1"/>
  <c r="G1191" i="1"/>
  <c r="K1191" i="1" s="1"/>
  <c r="L1191" i="1" s="1"/>
  <c r="M1191" i="1" s="1"/>
  <c r="O1191" i="1" s="1"/>
  <c r="G1190" i="1"/>
  <c r="K1190" i="1" s="1"/>
  <c r="L1190" i="1" s="1"/>
  <c r="M1190" i="1" s="1"/>
  <c r="O1190" i="1" s="1"/>
  <c r="G1189" i="1"/>
  <c r="K1189" i="1" s="1"/>
  <c r="L1189" i="1" s="1"/>
  <c r="M1189" i="1" s="1"/>
  <c r="O1189" i="1" s="1"/>
  <c r="G1188" i="1"/>
  <c r="K1188" i="1" s="1"/>
  <c r="L1188" i="1" s="1"/>
  <c r="M1188" i="1" s="1"/>
  <c r="O1188" i="1" s="1"/>
  <c r="G1187" i="1"/>
  <c r="K1187" i="1" s="1"/>
  <c r="L1187" i="1" s="1"/>
  <c r="M1187" i="1" s="1"/>
  <c r="O1187" i="1" s="1"/>
  <c r="G1186" i="1"/>
  <c r="K1186" i="1" s="1"/>
  <c r="L1186" i="1" s="1"/>
  <c r="M1186" i="1" s="1"/>
  <c r="O1186" i="1" s="1"/>
  <c r="G1185" i="1"/>
  <c r="K1185" i="1" s="1"/>
  <c r="L1185" i="1" s="1"/>
  <c r="M1185" i="1" s="1"/>
  <c r="O1185" i="1" s="1"/>
  <c r="G1184" i="1"/>
  <c r="K1184" i="1" s="1"/>
  <c r="L1184" i="1" s="1"/>
  <c r="M1184" i="1" s="1"/>
  <c r="O1184" i="1" s="1"/>
  <c r="G1183" i="1"/>
  <c r="K1183" i="1" s="1"/>
  <c r="L1183" i="1" s="1"/>
  <c r="M1183" i="1" s="1"/>
  <c r="O1183" i="1" s="1"/>
  <c r="G1182" i="1"/>
  <c r="K1182" i="1" s="1"/>
  <c r="L1182" i="1" s="1"/>
  <c r="M1182" i="1" s="1"/>
  <c r="O1182" i="1" s="1"/>
  <c r="G1181" i="1"/>
  <c r="K1181" i="1" s="1"/>
  <c r="L1181" i="1" s="1"/>
  <c r="M1181" i="1" s="1"/>
  <c r="O1181" i="1" s="1"/>
  <c r="G1180" i="1"/>
  <c r="K1180" i="1" s="1"/>
  <c r="L1180" i="1" s="1"/>
  <c r="M1180" i="1" s="1"/>
  <c r="O1180" i="1" s="1"/>
  <c r="G1179" i="1"/>
  <c r="K1179" i="1" s="1"/>
  <c r="L1179" i="1" s="1"/>
  <c r="M1179" i="1" s="1"/>
  <c r="O1179" i="1" s="1"/>
  <c r="G1178" i="1"/>
  <c r="K1178" i="1" s="1"/>
  <c r="L1178" i="1" s="1"/>
  <c r="M1178" i="1" s="1"/>
  <c r="O1178" i="1" s="1"/>
  <c r="G1177" i="1"/>
  <c r="K1177" i="1" s="1"/>
  <c r="L1177" i="1" s="1"/>
  <c r="M1177" i="1" s="1"/>
  <c r="O1177" i="1" s="1"/>
  <c r="G1176" i="1"/>
  <c r="K1176" i="1" s="1"/>
  <c r="L1176" i="1" s="1"/>
  <c r="M1176" i="1" s="1"/>
  <c r="O1176" i="1" s="1"/>
  <c r="G1175" i="1"/>
  <c r="K1175" i="1" s="1"/>
  <c r="L1175" i="1" s="1"/>
  <c r="M1175" i="1" s="1"/>
  <c r="O1175" i="1" s="1"/>
  <c r="B1176" i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G1172" i="1"/>
  <c r="K1172" i="1" s="1"/>
  <c r="L1172" i="1" s="1"/>
  <c r="M1172" i="1" s="1"/>
  <c r="O1172" i="1" s="1"/>
  <c r="G1171" i="1"/>
  <c r="K1171" i="1" s="1"/>
  <c r="L1171" i="1" s="1"/>
  <c r="M1171" i="1" s="1"/>
  <c r="O1171" i="1" s="1"/>
  <c r="G1170" i="1"/>
  <c r="K1170" i="1" s="1"/>
  <c r="L1170" i="1" s="1"/>
  <c r="M1170" i="1" s="1"/>
  <c r="O1170" i="1" s="1"/>
  <c r="G1169" i="1"/>
  <c r="K1169" i="1" s="1"/>
  <c r="L1169" i="1" s="1"/>
  <c r="M1169" i="1" s="1"/>
  <c r="O1169" i="1" s="1"/>
  <c r="G1168" i="1"/>
  <c r="K1168" i="1" s="1"/>
  <c r="L1168" i="1" s="1"/>
  <c r="M1168" i="1" s="1"/>
  <c r="O1168" i="1" s="1"/>
  <c r="G1167" i="1"/>
  <c r="K1167" i="1" s="1"/>
  <c r="L1167" i="1" s="1"/>
  <c r="M1167" i="1" s="1"/>
  <c r="O1167" i="1" s="1"/>
  <c r="G1166" i="1"/>
  <c r="K1166" i="1" s="1"/>
  <c r="L1166" i="1" s="1"/>
  <c r="M1166" i="1" s="1"/>
  <c r="O1166" i="1" s="1"/>
  <c r="G1165" i="1"/>
  <c r="K1165" i="1" s="1"/>
  <c r="L1165" i="1" s="1"/>
  <c r="M1165" i="1" s="1"/>
  <c r="O1165" i="1" s="1"/>
  <c r="G1164" i="1"/>
  <c r="K1164" i="1" s="1"/>
  <c r="L1164" i="1" s="1"/>
  <c r="M1164" i="1" s="1"/>
  <c r="O1164" i="1" s="1"/>
  <c r="G1163" i="1"/>
  <c r="K1163" i="1" s="1"/>
  <c r="L1163" i="1" s="1"/>
  <c r="M1163" i="1" s="1"/>
  <c r="O1163" i="1" s="1"/>
  <c r="G1162" i="1"/>
  <c r="K1162" i="1" s="1"/>
  <c r="L1162" i="1" s="1"/>
  <c r="M1162" i="1" s="1"/>
  <c r="O1162" i="1" s="1"/>
  <c r="G1161" i="1"/>
  <c r="K1161" i="1" s="1"/>
  <c r="L1161" i="1" s="1"/>
  <c r="M1161" i="1" s="1"/>
  <c r="O1161" i="1" s="1"/>
  <c r="G1160" i="1"/>
  <c r="K1160" i="1" s="1"/>
  <c r="L1160" i="1" s="1"/>
  <c r="M1160" i="1" s="1"/>
  <c r="O1160" i="1" s="1"/>
  <c r="G1159" i="1"/>
  <c r="K1159" i="1" s="1"/>
  <c r="L1159" i="1" s="1"/>
  <c r="M1159" i="1" s="1"/>
  <c r="O1159" i="1" s="1"/>
  <c r="G1158" i="1"/>
  <c r="K1158" i="1" s="1"/>
  <c r="L1158" i="1" s="1"/>
  <c r="M1158" i="1" s="1"/>
  <c r="O1158" i="1" s="1"/>
  <c r="G1157" i="1"/>
  <c r="K1157" i="1" s="1"/>
  <c r="L1157" i="1" s="1"/>
  <c r="M1157" i="1" s="1"/>
  <c r="O1157" i="1" s="1"/>
  <c r="G1156" i="1"/>
  <c r="K1156" i="1" s="1"/>
  <c r="L1156" i="1" s="1"/>
  <c r="M1156" i="1" s="1"/>
  <c r="O1156" i="1" s="1"/>
  <c r="G1155" i="1"/>
  <c r="K1155" i="1" s="1"/>
  <c r="L1155" i="1" s="1"/>
  <c r="M1155" i="1" s="1"/>
  <c r="O1155" i="1" s="1"/>
  <c r="G1154" i="1"/>
  <c r="K1154" i="1" s="1"/>
  <c r="L1154" i="1" s="1"/>
  <c r="M1154" i="1" s="1"/>
  <c r="O1154" i="1" s="1"/>
  <c r="G1153" i="1"/>
  <c r="K1153" i="1" s="1"/>
  <c r="L1153" i="1" s="1"/>
  <c r="M1153" i="1" s="1"/>
  <c r="O1153" i="1" s="1"/>
  <c r="G1152" i="1"/>
  <c r="K1152" i="1" s="1"/>
  <c r="L1152" i="1" s="1"/>
  <c r="M1152" i="1" s="1"/>
  <c r="O1152" i="1" s="1"/>
  <c r="G1151" i="1"/>
  <c r="K1151" i="1" s="1"/>
  <c r="L1151" i="1" s="1"/>
  <c r="M1151" i="1" s="1"/>
  <c r="O1151" i="1" s="1"/>
  <c r="G1150" i="1"/>
  <c r="K1150" i="1" s="1"/>
  <c r="L1150" i="1" s="1"/>
  <c r="M1150" i="1" s="1"/>
  <c r="O1150" i="1" s="1"/>
  <c r="G1149" i="1"/>
  <c r="K1149" i="1" s="1"/>
  <c r="L1149" i="1" s="1"/>
  <c r="M1149" i="1" s="1"/>
  <c r="O1149" i="1" s="1"/>
  <c r="G1148" i="1"/>
  <c r="K1148" i="1" s="1"/>
  <c r="L1148" i="1" s="1"/>
  <c r="M1148" i="1" s="1"/>
  <c r="O1148" i="1" s="1"/>
  <c r="N1173" i="1"/>
  <c r="B1149" i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N1146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B1122" i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G1105" i="1"/>
  <c r="K1105" i="1" s="1"/>
  <c r="L1105" i="1" s="1"/>
  <c r="M1105" i="1" s="1"/>
  <c r="O1105" i="1" s="1"/>
  <c r="G1104" i="1"/>
  <c r="K1104" i="1" s="1"/>
  <c r="L1104" i="1" s="1"/>
  <c r="M1104" i="1" s="1"/>
  <c r="O1104" i="1" s="1"/>
  <c r="G1103" i="1"/>
  <c r="K1103" i="1" s="1"/>
  <c r="L1103" i="1" s="1"/>
  <c r="M1103" i="1" s="1"/>
  <c r="O1103" i="1" s="1"/>
  <c r="G1102" i="1"/>
  <c r="K1102" i="1" s="1"/>
  <c r="L1102" i="1" s="1"/>
  <c r="M1102" i="1" s="1"/>
  <c r="O1102" i="1" s="1"/>
  <c r="G1101" i="1"/>
  <c r="K1101" i="1" s="1"/>
  <c r="L1101" i="1" s="1"/>
  <c r="M1101" i="1" s="1"/>
  <c r="O1101" i="1" s="1"/>
  <c r="G1100" i="1"/>
  <c r="K1100" i="1" s="1"/>
  <c r="L1100" i="1" s="1"/>
  <c r="M1100" i="1" s="1"/>
  <c r="O1100" i="1" s="1"/>
  <c r="G1099" i="1"/>
  <c r="K1099" i="1" s="1"/>
  <c r="L1099" i="1" s="1"/>
  <c r="M1099" i="1" s="1"/>
  <c r="O1099" i="1" s="1"/>
  <c r="G1098" i="1"/>
  <c r="K1098" i="1" s="1"/>
  <c r="L1098" i="1" s="1"/>
  <c r="M1098" i="1" s="1"/>
  <c r="O1098" i="1" s="1"/>
  <c r="G1097" i="1"/>
  <c r="K1097" i="1" s="1"/>
  <c r="L1097" i="1" s="1"/>
  <c r="M1097" i="1" s="1"/>
  <c r="O1097" i="1" s="1"/>
  <c r="G1096" i="1"/>
  <c r="K1096" i="1" s="1"/>
  <c r="L1096" i="1" s="1"/>
  <c r="M1096" i="1" s="1"/>
  <c r="O1096" i="1" s="1"/>
  <c r="N1106" i="1"/>
  <c r="G1093" i="1"/>
  <c r="K1093" i="1" s="1"/>
  <c r="L1093" i="1" s="1"/>
  <c r="M1093" i="1" s="1"/>
  <c r="O1093" i="1" s="1"/>
  <c r="G1091" i="1"/>
  <c r="K1091" i="1" s="1"/>
  <c r="L1091" i="1" s="1"/>
  <c r="M1091" i="1" s="1"/>
  <c r="O1091" i="1" s="1"/>
  <c r="G1090" i="1"/>
  <c r="K1090" i="1" s="1"/>
  <c r="L1090" i="1" s="1"/>
  <c r="M1090" i="1" s="1"/>
  <c r="O1090" i="1" s="1"/>
  <c r="G1089" i="1"/>
  <c r="K1089" i="1" s="1"/>
  <c r="L1089" i="1" s="1"/>
  <c r="M1089" i="1" s="1"/>
  <c r="O1089" i="1" s="1"/>
  <c r="G1088" i="1"/>
  <c r="K1088" i="1" s="1"/>
  <c r="L1088" i="1" s="1"/>
  <c r="M1088" i="1" s="1"/>
  <c r="O1088" i="1" s="1"/>
  <c r="G1087" i="1"/>
  <c r="K1087" i="1" s="1"/>
  <c r="L1087" i="1" s="1"/>
  <c r="M1087" i="1" s="1"/>
  <c r="O1087" i="1" s="1"/>
  <c r="G1086" i="1"/>
  <c r="K1086" i="1" s="1"/>
  <c r="L1086" i="1" s="1"/>
  <c r="M1086" i="1" s="1"/>
  <c r="O1086" i="1" s="1"/>
  <c r="G1085" i="1"/>
  <c r="K1085" i="1" s="1"/>
  <c r="L1085" i="1" s="1"/>
  <c r="M1085" i="1" s="1"/>
  <c r="O1085" i="1" s="1"/>
  <c r="G1084" i="1"/>
  <c r="K1084" i="1" s="1"/>
  <c r="L1084" i="1" s="1"/>
  <c r="M1084" i="1" s="1"/>
  <c r="O1084" i="1" s="1"/>
  <c r="N1094" i="1"/>
  <c r="G1092" i="1"/>
  <c r="K1092" i="1" s="1"/>
  <c r="L1092" i="1" s="1"/>
  <c r="M1092" i="1" s="1"/>
  <c r="O1092" i="1" s="1"/>
  <c r="N1082" i="1"/>
  <c r="G1081" i="1"/>
  <c r="G1080" i="1"/>
  <c r="G1079" i="1"/>
  <c r="G1078" i="1"/>
  <c r="G1077" i="1"/>
  <c r="G1076" i="1"/>
  <c r="G1075" i="1"/>
  <c r="G1074" i="1"/>
  <c r="G1073" i="1"/>
  <c r="G1072" i="1"/>
  <c r="G1065" i="1"/>
  <c r="K1065" i="1" s="1"/>
  <c r="L1065" i="1" s="1"/>
  <c r="M1065" i="1" s="1"/>
  <c r="O1065" i="1" s="1"/>
  <c r="G1064" i="1"/>
  <c r="K1064" i="1" s="1"/>
  <c r="L1064" i="1" s="1"/>
  <c r="M1064" i="1" s="1"/>
  <c r="O1064" i="1" s="1"/>
  <c r="N1069" i="1"/>
  <c r="G1060" i="1"/>
  <c r="K1060" i="1" s="1"/>
  <c r="L1060" i="1" s="1"/>
  <c r="M1060" i="1" s="1"/>
  <c r="O1060" i="1" s="1"/>
  <c r="N1062" i="1"/>
  <c r="G1061" i="1"/>
  <c r="K1061" i="1" s="1"/>
  <c r="L1061" i="1" s="1"/>
  <c r="M1061" i="1" s="1"/>
  <c r="O1061" i="1" s="1"/>
  <c r="N1058" i="1"/>
  <c r="G1057" i="1"/>
  <c r="G1056" i="1"/>
  <c r="G629" i="1"/>
  <c r="K629" i="1" s="1"/>
  <c r="M629" i="1" s="1"/>
  <c r="O629" i="1" s="1"/>
  <c r="G628" i="1"/>
  <c r="K628" i="1" s="1"/>
  <c r="M628" i="1" s="1"/>
  <c r="O628" i="1" s="1"/>
  <c r="G627" i="1"/>
  <c r="K627" i="1" s="1"/>
  <c r="M627" i="1" s="1"/>
  <c r="O627" i="1" s="1"/>
  <c r="G626" i="1"/>
  <c r="K626" i="1" s="1"/>
  <c r="M626" i="1" s="1"/>
  <c r="O626" i="1" s="1"/>
  <c r="G625" i="1"/>
  <c r="K625" i="1" s="1"/>
  <c r="M625" i="1" s="1"/>
  <c r="O625" i="1" s="1"/>
  <c r="G624" i="1"/>
  <c r="K624" i="1" s="1"/>
  <c r="M624" i="1" s="1"/>
  <c r="O624" i="1" s="1"/>
  <c r="G623" i="1"/>
  <c r="K623" i="1" s="1"/>
  <c r="M623" i="1" s="1"/>
  <c r="O623" i="1" s="1"/>
  <c r="G622" i="1"/>
  <c r="K622" i="1" s="1"/>
  <c r="M622" i="1" s="1"/>
  <c r="O622" i="1" s="1"/>
  <c r="G621" i="1"/>
  <c r="K621" i="1" s="1"/>
  <c r="M621" i="1" s="1"/>
  <c r="O621" i="1" s="1"/>
  <c r="G620" i="1"/>
  <c r="K620" i="1" s="1"/>
  <c r="M620" i="1" s="1"/>
  <c r="O620" i="1" s="1"/>
  <c r="G619" i="1"/>
  <c r="K619" i="1" s="1"/>
  <c r="M619" i="1" s="1"/>
  <c r="O619" i="1" s="1"/>
  <c r="G618" i="1"/>
  <c r="K618" i="1" s="1"/>
  <c r="M618" i="1" s="1"/>
  <c r="O618" i="1" s="1"/>
  <c r="G617" i="1"/>
  <c r="K617" i="1" s="1"/>
  <c r="M617" i="1" s="1"/>
  <c r="O617" i="1" s="1"/>
  <c r="G616" i="1"/>
  <c r="K616" i="1" s="1"/>
  <c r="M616" i="1" s="1"/>
  <c r="O616" i="1" s="1"/>
  <c r="G615" i="1"/>
  <c r="K615" i="1" s="1"/>
  <c r="M615" i="1" s="1"/>
  <c r="O615" i="1" s="1"/>
  <c r="G614" i="1"/>
  <c r="K614" i="1" s="1"/>
  <c r="M614" i="1" s="1"/>
  <c r="O614" i="1" s="1"/>
  <c r="G613" i="1"/>
  <c r="K613" i="1" s="1"/>
  <c r="M613" i="1" s="1"/>
  <c r="O613" i="1" s="1"/>
  <c r="G612" i="1"/>
  <c r="K612" i="1" s="1"/>
  <c r="M612" i="1" s="1"/>
  <c r="O612" i="1" s="1"/>
  <c r="G611" i="1"/>
  <c r="K611" i="1" s="1"/>
  <c r="M611" i="1" s="1"/>
  <c r="O611" i="1" s="1"/>
  <c r="G610" i="1"/>
  <c r="K610" i="1" s="1"/>
  <c r="M610" i="1" s="1"/>
  <c r="O610" i="1" s="1"/>
  <c r="G609" i="1"/>
  <c r="K609" i="1" s="1"/>
  <c r="M609" i="1" s="1"/>
  <c r="O609" i="1" s="1"/>
  <c r="G608" i="1"/>
  <c r="K608" i="1" s="1"/>
  <c r="M608" i="1" s="1"/>
  <c r="O608" i="1" s="1"/>
  <c r="G607" i="1"/>
  <c r="K607" i="1" s="1"/>
  <c r="M607" i="1" s="1"/>
  <c r="O607" i="1" s="1"/>
  <c r="G606" i="1"/>
  <c r="K606" i="1" s="1"/>
  <c r="M606" i="1" s="1"/>
  <c r="O606" i="1" s="1"/>
  <c r="G605" i="1"/>
  <c r="K605" i="1" s="1"/>
  <c r="M605" i="1" s="1"/>
  <c r="O605" i="1" s="1"/>
  <c r="G600" i="1"/>
  <c r="K600" i="1" s="1"/>
  <c r="L600" i="1" s="1"/>
  <c r="M600" i="1" s="1"/>
  <c r="O600" i="1" s="1"/>
  <c r="G599" i="1"/>
  <c r="K599" i="1" s="1"/>
  <c r="L599" i="1" s="1"/>
  <c r="M599" i="1" s="1"/>
  <c r="O599" i="1" s="1"/>
  <c r="G598" i="1"/>
  <c r="K598" i="1" s="1"/>
  <c r="M598" i="1" s="1"/>
  <c r="O598" i="1" s="1"/>
  <c r="N602" i="1"/>
  <c r="G10" i="1"/>
  <c r="G634" i="1"/>
  <c r="K634" i="1" s="1"/>
  <c r="L634" i="1" s="1"/>
  <c r="M634" i="1" s="1"/>
  <c r="O634" i="1" s="1"/>
  <c r="G633" i="1"/>
  <c r="K633" i="1" s="1"/>
  <c r="L633" i="1" s="1"/>
  <c r="M633" i="1" s="1"/>
  <c r="O633" i="1" s="1"/>
  <c r="N636" i="1"/>
  <c r="B633" i="1"/>
  <c r="B634" i="1" s="1"/>
  <c r="B606" i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N631" i="1"/>
  <c r="B599" i="1"/>
  <c r="B15" i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N596" i="1"/>
  <c r="N34" i="1"/>
  <c r="K33" i="1"/>
  <c r="M33" i="1" s="1"/>
  <c r="O33" i="1" s="1"/>
  <c r="K32" i="1"/>
  <c r="M32" i="1" s="1"/>
  <c r="O32" i="1" s="1"/>
  <c r="K31" i="1"/>
  <c r="M31" i="1" s="1"/>
  <c r="O31" i="1" s="1"/>
  <c r="K30" i="1"/>
  <c r="M30" i="1" s="1"/>
  <c r="O30" i="1" s="1"/>
  <c r="K29" i="1"/>
  <c r="M29" i="1" s="1"/>
  <c r="O29" i="1" s="1"/>
  <c r="K28" i="1"/>
  <c r="M28" i="1" s="1"/>
  <c r="O28" i="1" s="1"/>
  <c r="K27" i="1"/>
  <c r="M27" i="1" s="1"/>
  <c r="O27" i="1" s="1"/>
  <c r="K26" i="1"/>
  <c r="M26" i="1" s="1"/>
  <c r="O26" i="1" s="1"/>
  <c r="K25" i="1"/>
  <c r="M25" i="1" s="1"/>
  <c r="O25" i="1" s="1"/>
  <c r="K24" i="1"/>
  <c r="M24" i="1" s="1"/>
  <c r="O24" i="1" s="1"/>
  <c r="K23" i="1"/>
  <c r="M23" i="1" s="1"/>
  <c r="O23" i="1" s="1"/>
  <c r="K22" i="1"/>
  <c r="M22" i="1" s="1"/>
  <c r="O22" i="1" s="1"/>
  <c r="K21" i="1"/>
  <c r="M21" i="1" s="1"/>
  <c r="O21" i="1" s="1"/>
  <c r="K20" i="1"/>
  <c r="M20" i="1" s="1"/>
  <c r="O20" i="1" s="1"/>
  <c r="K19" i="1"/>
  <c r="M19" i="1" s="1"/>
  <c r="O19" i="1" s="1"/>
  <c r="K18" i="1"/>
  <c r="M18" i="1" s="1"/>
  <c r="O18" i="1" s="1"/>
  <c r="K17" i="1"/>
  <c r="M17" i="1" s="1"/>
  <c r="O17" i="1" s="1"/>
  <c r="K16" i="1"/>
  <c r="M16" i="1" s="1"/>
  <c r="O16" i="1" s="1"/>
  <c r="K15" i="1"/>
  <c r="M15" i="1" s="1"/>
  <c r="O15" i="1" s="1"/>
  <c r="K14" i="1"/>
  <c r="M14" i="1" s="1"/>
  <c r="O14" i="1" s="1"/>
  <c r="N12" i="1"/>
  <c r="N6" i="1"/>
  <c r="K1681" i="1" l="1"/>
  <c r="M1681" i="1" s="1"/>
  <c r="O1681" i="1" s="1"/>
  <c r="M1689" i="1"/>
  <c r="O1689" i="1" s="1"/>
  <c r="G1207" i="1"/>
  <c r="G1208" i="1"/>
  <c r="G1209" i="1"/>
  <c r="G1224" i="1"/>
  <c r="G1205" i="1"/>
  <c r="G1225" i="1"/>
  <c r="G1206" i="1"/>
  <c r="G1204" i="1"/>
  <c r="O1728" i="1"/>
  <c r="G1210" i="1"/>
  <c r="O1749" i="1"/>
  <c r="G1226" i="1"/>
  <c r="G1212" i="1"/>
  <c r="G1214" i="1"/>
  <c r="G1218" i="1"/>
  <c r="G1213" i="1"/>
  <c r="G1215" i="1"/>
  <c r="G1216" i="1"/>
  <c r="G1217" i="1"/>
  <c r="G1219" i="1"/>
  <c r="G1220" i="1"/>
  <c r="G1221" i="1"/>
  <c r="G1222" i="1"/>
  <c r="G1211" i="1"/>
  <c r="G1203" i="1"/>
  <c r="G1223" i="1"/>
  <c r="K1261" i="1"/>
  <c r="G1467" i="1"/>
  <c r="K1235" i="1"/>
  <c r="G1441" i="1"/>
  <c r="K1253" i="1"/>
  <c r="G1459" i="1"/>
  <c r="K1264" i="1"/>
  <c r="G1470" i="1"/>
  <c r="K1287" i="1"/>
  <c r="G1490" i="1"/>
  <c r="K1234" i="1"/>
  <c r="G1440" i="1"/>
  <c r="K1273" i="1"/>
  <c r="G1494" i="1"/>
  <c r="K1286" i="1"/>
  <c r="G1489" i="1"/>
  <c r="K1248" i="1"/>
  <c r="G1454" i="1"/>
  <c r="K1274" i="1"/>
  <c r="G1478" i="1"/>
  <c r="K1241" i="1"/>
  <c r="G1447" i="1"/>
  <c r="K1238" i="1"/>
  <c r="G1444" i="1"/>
  <c r="K1281" i="1"/>
  <c r="G1493" i="1"/>
  <c r="K1250" i="1"/>
  <c r="G1456" i="1"/>
  <c r="K1277" i="1"/>
  <c r="G1481" i="1"/>
  <c r="K1481" i="1" s="1"/>
  <c r="K1231" i="1"/>
  <c r="G1437" i="1"/>
  <c r="K1242" i="1"/>
  <c r="G1448" i="1"/>
  <c r="K1262" i="1"/>
  <c r="G1468" i="1"/>
  <c r="K1279" i="1"/>
  <c r="G1483" i="1"/>
  <c r="K1266" i="1"/>
  <c r="G1472" i="1"/>
  <c r="K1247" i="1"/>
  <c r="G1453" i="1"/>
  <c r="K1271" i="1"/>
  <c r="G1476" i="1"/>
  <c r="K1249" i="1"/>
  <c r="G1455" i="1"/>
  <c r="K1282" i="1"/>
  <c r="G1485" i="1"/>
  <c r="K1256" i="1"/>
  <c r="G1462" i="1"/>
  <c r="K1283" i="1"/>
  <c r="G1486" i="1"/>
  <c r="K1251" i="1"/>
  <c r="G1457" i="1"/>
  <c r="K1236" i="1"/>
  <c r="G1442" i="1"/>
  <c r="K1243" i="1"/>
  <c r="G1449" i="1"/>
  <c r="K1244" i="1"/>
  <c r="G1450" i="1"/>
  <c r="K1245" i="1"/>
  <c r="G1451" i="1"/>
  <c r="K1252" i="1"/>
  <c r="G1458" i="1"/>
  <c r="K1275" i="1"/>
  <c r="G1479" i="1"/>
  <c r="K1258" i="1"/>
  <c r="G1464" i="1"/>
  <c r="K1284" i="1"/>
  <c r="G1487" i="1"/>
  <c r="K1232" i="1"/>
  <c r="G1438" i="1"/>
  <c r="K1438" i="1" s="1"/>
  <c r="K1263" i="1"/>
  <c r="K1469" i="1" s="1"/>
  <c r="G1469" i="1"/>
  <c r="K1257" i="1"/>
  <c r="G1463" i="1"/>
  <c r="K1269" i="1"/>
  <c r="G1474" i="1"/>
  <c r="K1254" i="1"/>
  <c r="G1460" i="1"/>
  <c r="K1237" i="1"/>
  <c r="G1443" i="1"/>
  <c r="K1255" i="1"/>
  <c r="G1461" i="1"/>
  <c r="K1259" i="1"/>
  <c r="G1465" i="1"/>
  <c r="K1285" i="1"/>
  <c r="G1488" i="1"/>
  <c r="K1239" i="1"/>
  <c r="G1445" i="1"/>
  <c r="K1267" i="1"/>
  <c r="G1473" i="1"/>
  <c r="K1265" i="1"/>
  <c r="G1471" i="1"/>
  <c r="K1240" i="1"/>
  <c r="G1446" i="1"/>
  <c r="K1270" i="1"/>
  <c r="G1475" i="1"/>
  <c r="K1272" i="1"/>
  <c r="K1477" i="1" s="1"/>
  <c r="G1477" i="1"/>
  <c r="K1230" i="1"/>
  <c r="G1436" i="1"/>
  <c r="K1246" i="1"/>
  <c r="G1452" i="1"/>
  <c r="K1276" i="1"/>
  <c r="G1480" i="1"/>
  <c r="K1278" i="1"/>
  <c r="G1482" i="1"/>
  <c r="K1280" i="1"/>
  <c r="G1484" i="1"/>
  <c r="K1260" i="1"/>
  <c r="G1466" i="1"/>
  <c r="K1233" i="1"/>
  <c r="G1439" i="1"/>
  <c r="K1268" i="1"/>
  <c r="G1492" i="1"/>
  <c r="K1121" i="1"/>
  <c r="G1202" i="1"/>
  <c r="K1142" i="1"/>
  <c r="K1223" i="1" s="1"/>
  <c r="L1223" i="1" s="1"/>
  <c r="K1140" i="1"/>
  <c r="K1221" i="1" s="1"/>
  <c r="L1221" i="1" s="1"/>
  <c r="K1141" i="1"/>
  <c r="K1222" i="1" s="1"/>
  <c r="L1222" i="1" s="1"/>
  <c r="K1143" i="1"/>
  <c r="K1224" i="1" s="1"/>
  <c r="L1224" i="1" s="1"/>
  <c r="K1144" i="1"/>
  <c r="K1225" i="1" s="1"/>
  <c r="L1225" i="1" s="1"/>
  <c r="K1124" i="1"/>
  <c r="K1205" i="1" s="1"/>
  <c r="L1205" i="1" s="1"/>
  <c r="K1128" i="1"/>
  <c r="K1209" i="1" s="1"/>
  <c r="L1209" i="1" s="1"/>
  <c r="K1145" i="1"/>
  <c r="K1226" i="1" s="1"/>
  <c r="L1226" i="1" s="1"/>
  <c r="K1137" i="1"/>
  <c r="K1218" i="1" s="1"/>
  <c r="L1218" i="1" s="1"/>
  <c r="K1138" i="1"/>
  <c r="K1219" i="1" s="1"/>
  <c r="L1219" i="1" s="1"/>
  <c r="K1125" i="1"/>
  <c r="K1206" i="1" s="1"/>
  <c r="L1206" i="1" s="1"/>
  <c r="K1127" i="1"/>
  <c r="K1208" i="1" s="1"/>
  <c r="L1208" i="1" s="1"/>
  <c r="K1129" i="1"/>
  <c r="K1210" i="1" s="1"/>
  <c r="L1210" i="1" s="1"/>
  <c r="K1123" i="1"/>
  <c r="K1204" i="1" s="1"/>
  <c r="L1204" i="1" s="1"/>
  <c r="K1131" i="1"/>
  <c r="K1212" i="1" s="1"/>
  <c r="L1212" i="1" s="1"/>
  <c r="K1136" i="1"/>
  <c r="K1217" i="1" s="1"/>
  <c r="L1217" i="1" s="1"/>
  <c r="K1133" i="1"/>
  <c r="K1214" i="1" s="1"/>
  <c r="L1214" i="1" s="1"/>
  <c r="K1132" i="1"/>
  <c r="K1213" i="1" s="1"/>
  <c r="L1213" i="1" s="1"/>
  <c r="K1134" i="1"/>
  <c r="K1215" i="1" s="1"/>
  <c r="L1215" i="1" s="1"/>
  <c r="K1139" i="1"/>
  <c r="K1220" i="1" s="1"/>
  <c r="L1220" i="1" s="1"/>
  <c r="K1122" i="1"/>
  <c r="K1203" i="1" s="1"/>
  <c r="L1203" i="1" s="1"/>
  <c r="K1126" i="1"/>
  <c r="K1207" i="1" s="1"/>
  <c r="L1207" i="1" s="1"/>
  <c r="K1130" i="1"/>
  <c r="K1211" i="1" s="1"/>
  <c r="L1211" i="1" s="1"/>
  <c r="K1135" i="1"/>
  <c r="K1216" i="1" s="1"/>
  <c r="L1216" i="1" s="1"/>
  <c r="K1075" i="1"/>
  <c r="G1111" i="1"/>
  <c r="K1072" i="1"/>
  <c r="G1108" i="1"/>
  <c r="K1073" i="1"/>
  <c r="G1109" i="1"/>
  <c r="K1076" i="1"/>
  <c r="G1112" i="1"/>
  <c r="K1074" i="1"/>
  <c r="G1110" i="1"/>
  <c r="K1077" i="1"/>
  <c r="G1113" i="1"/>
  <c r="K1078" i="1"/>
  <c r="G1114" i="1"/>
  <c r="K1079" i="1"/>
  <c r="G1115" i="1"/>
  <c r="K1080" i="1"/>
  <c r="G1116" i="1"/>
  <c r="K1081" i="1"/>
  <c r="G1117" i="1"/>
  <c r="K1057" i="1"/>
  <c r="G1068" i="1"/>
  <c r="K1056" i="1"/>
  <c r="G1067" i="1"/>
  <c r="O1548" i="1"/>
  <c r="O1434" i="1"/>
  <c r="O1374" i="1"/>
  <c r="B1246" i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O1200" i="1"/>
  <c r="O1173" i="1"/>
  <c r="O1062" i="1"/>
  <c r="O1106" i="1"/>
  <c r="O1094" i="1"/>
  <c r="O1069" i="1"/>
  <c r="N1051" i="1"/>
  <c r="O602" i="1"/>
  <c r="O636" i="1"/>
  <c r="O631" i="1"/>
  <c r="O34" i="1"/>
  <c r="O1705" i="1" l="1"/>
  <c r="M1237" i="1"/>
  <c r="O1237" i="1" s="1"/>
  <c r="K1443" i="1"/>
  <c r="M1443" i="1" s="1"/>
  <c r="O1443" i="1" s="1"/>
  <c r="M1254" i="1"/>
  <c r="O1254" i="1" s="1"/>
  <c r="K1460" i="1"/>
  <c r="M1460" i="1" s="1"/>
  <c r="O1460" i="1" s="1"/>
  <c r="M1248" i="1"/>
  <c r="O1248" i="1" s="1"/>
  <c r="K1454" i="1"/>
  <c r="M1454" i="1" s="1"/>
  <c r="O1454" i="1" s="1"/>
  <c r="M1286" i="1"/>
  <c r="O1286" i="1" s="1"/>
  <c r="K1489" i="1"/>
  <c r="M1489" i="1" s="1"/>
  <c r="O1489" i="1" s="1"/>
  <c r="M1245" i="1"/>
  <c r="O1245" i="1" s="1"/>
  <c r="K1451" i="1"/>
  <c r="M1451" i="1" s="1"/>
  <c r="O1451" i="1" s="1"/>
  <c r="M1279" i="1"/>
  <c r="O1279" i="1" s="1"/>
  <c r="K1483" i="1"/>
  <c r="M1483" i="1" s="1"/>
  <c r="O1483" i="1" s="1"/>
  <c r="M1256" i="1"/>
  <c r="O1256" i="1" s="1"/>
  <c r="M1462" i="1"/>
  <c r="O1462" i="1" s="1"/>
  <c r="M1285" i="1"/>
  <c r="O1285" i="1" s="1"/>
  <c r="K1488" i="1"/>
  <c r="M1488" i="1" s="1"/>
  <c r="O1488" i="1" s="1"/>
  <c r="M1258" i="1"/>
  <c r="O1258" i="1" s="1"/>
  <c r="M1464" i="1"/>
  <c r="O1464" i="1" s="1"/>
  <c r="M1282" i="1"/>
  <c r="O1282" i="1" s="1"/>
  <c r="K1485" i="1"/>
  <c r="M1485" i="1" s="1"/>
  <c r="O1485" i="1" s="1"/>
  <c r="M1250" i="1"/>
  <c r="O1250" i="1" s="1"/>
  <c r="K1456" i="1"/>
  <c r="M1456" i="1" s="1"/>
  <c r="O1456" i="1" s="1"/>
  <c r="M1264" i="1"/>
  <c r="O1264" i="1" s="1"/>
  <c r="K1470" i="1"/>
  <c r="M1470" i="1" s="1"/>
  <c r="O1470" i="1" s="1"/>
  <c r="M1241" i="1"/>
  <c r="O1241" i="1" s="1"/>
  <c r="M1447" i="1"/>
  <c r="O1447" i="1" s="1"/>
  <c r="M1244" i="1"/>
  <c r="O1244" i="1" s="1"/>
  <c r="K1450" i="1"/>
  <c r="M1450" i="1" s="1"/>
  <c r="O1450" i="1" s="1"/>
  <c r="M1270" i="1"/>
  <c r="O1270" i="1" s="1"/>
  <c r="M1475" i="1"/>
  <c r="O1475" i="1" s="1"/>
  <c r="M1257" i="1"/>
  <c r="O1257" i="1" s="1"/>
  <c r="M1463" i="1"/>
  <c r="O1463" i="1" s="1"/>
  <c r="M1233" i="1"/>
  <c r="O1233" i="1" s="1"/>
  <c r="K1439" i="1"/>
  <c r="M1439" i="1" s="1"/>
  <c r="O1439" i="1" s="1"/>
  <c r="M1251" i="1"/>
  <c r="O1251" i="1" s="1"/>
  <c r="M1457" i="1"/>
  <c r="O1457" i="1" s="1"/>
  <c r="M1231" i="1"/>
  <c r="O1231" i="1" s="1"/>
  <c r="K1437" i="1"/>
  <c r="M1437" i="1" s="1"/>
  <c r="O1437" i="1" s="1"/>
  <c r="M1287" i="1"/>
  <c r="O1287" i="1" s="1"/>
  <c r="K1490" i="1"/>
  <c r="M1490" i="1" s="1"/>
  <c r="O1490" i="1" s="1"/>
  <c r="M1247" i="1"/>
  <c r="O1247" i="1" s="1"/>
  <c r="M1453" i="1"/>
  <c r="O1453" i="1" s="1"/>
  <c r="M1274" i="1"/>
  <c r="O1274" i="1" s="1"/>
  <c r="K1478" i="1"/>
  <c r="M1478" i="1" s="1"/>
  <c r="O1478" i="1" s="1"/>
  <c r="M1268" i="1"/>
  <c r="O1268" i="1" s="1"/>
  <c r="K1492" i="1"/>
  <c r="M1492" i="1" s="1"/>
  <c r="O1492" i="1" s="1"/>
  <c r="M1265" i="1"/>
  <c r="O1265" i="1" s="1"/>
  <c r="K1471" i="1"/>
  <c r="M1471" i="1" s="1"/>
  <c r="O1471" i="1" s="1"/>
  <c r="M1267" i="1"/>
  <c r="O1267" i="1" s="1"/>
  <c r="M1473" i="1"/>
  <c r="O1473" i="1" s="1"/>
  <c r="M1284" i="1"/>
  <c r="O1284" i="1" s="1"/>
  <c r="M1487" i="1"/>
  <c r="O1487" i="1" s="1"/>
  <c r="M1276" i="1"/>
  <c r="O1276" i="1" s="1"/>
  <c r="M1480" i="1"/>
  <c r="O1480" i="1" s="1"/>
  <c r="M1259" i="1"/>
  <c r="O1259" i="1" s="1"/>
  <c r="K1465" i="1"/>
  <c r="M1465" i="1" s="1"/>
  <c r="O1465" i="1" s="1"/>
  <c r="M1275" i="1"/>
  <c r="O1275" i="1" s="1"/>
  <c r="M1479" i="1"/>
  <c r="O1479" i="1" s="1"/>
  <c r="M1249" i="1"/>
  <c r="O1249" i="1" s="1"/>
  <c r="K1455" i="1"/>
  <c r="M1455" i="1" s="1"/>
  <c r="O1455" i="1" s="1"/>
  <c r="M1281" i="1"/>
  <c r="O1281" i="1" s="1"/>
  <c r="K1493" i="1"/>
  <c r="M1493" i="1" s="1"/>
  <c r="O1493" i="1" s="1"/>
  <c r="M1253" i="1"/>
  <c r="O1253" i="1" s="1"/>
  <c r="M1459" i="1"/>
  <c r="O1459" i="1" s="1"/>
  <c r="M1240" i="1"/>
  <c r="O1240" i="1" s="1"/>
  <c r="K1446" i="1"/>
  <c r="M1446" i="1" s="1"/>
  <c r="O1446" i="1" s="1"/>
  <c r="M1260" i="1"/>
  <c r="O1260" i="1" s="1"/>
  <c r="M1466" i="1"/>
  <c r="O1466" i="1" s="1"/>
  <c r="M1283" i="1"/>
  <c r="O1283" i="1" s="1"/>
  <c r="M1486" i="1"/>
  <c r="O1486" i="1" s="1"/>
  <c r="M1239" i="1"/>
  <c r="O1239" i="1" s="1"/>
  <c r="K1445" i="1"/>
  <c r="M1445" i="1" s="1"/>
  <c r="O1445" i="1" s="1"/>
  <c r="M1230" i="1"/>
  <c r="O1230" i="1" s="1"/>
  <c r="K1436" i="1"/>
  <c r="M1436" i="1" s="1"/>
  <c r="O1436" i="1" s="1"/>
  <c r="M1272" i="1"/>
  <c r="O1272" i="1" s="1"/>
  <c r="M1477" i="1"/>
  <c r="O1477" i="1" s="1"/>
  <c r="M1269" i="1"/>
  <c r="O1269" i="1" s="1"/>
  <c r="K1474" i="1"/>
  <c r="M1474" i="1" s="1"/>
  <c r="O1474" i="1" s="1"/>
  <c r="M1236" i="1"/>
  <c r="O1236" i="1" s="1"/>
  <c r="K1442" i="1"/>
  <c r="M1442" i="1" s="1"/>
  <c r="O1442" i="1" s="1"/>
  <c r="M1263" i="1"/>
  <c r="O1263" i="1" s="1"/>
  <c r="M1469" i="1"/>
  <c r="O1469" i="1" s="1"/>
  <c r="M1273" i="1"/>
  <c r="O1273" i="1" s="1"/>
  <c r="K1494" i="1"/>
  <c r="M1494" i="1" s="1"/>
  <c r="O1494" i="1" s="1"/>
  <c r="M1234" i="1"/>
  <c r="O1234" i="1" s="1"/>
  <c r="K1440" i="1"/>
  <c r="M1440" i="1" s="1"/>
  <c r="O1440" i="1" s="1"/>
  <c r="M1277" i="1"/>
  <c r="O1277" i="1" s="1"/>
  <c r="M1481" i="1"/>
  <c r="O1481" i="1" s="1"/>
  <c r="M1278" i="1"/>
  <c r="O1278" i="1" s="1"/>
  <c r="K1482" i="1"/>
  <c r="M1482" i="1" s="1"/>
  <c r="O1482" i="1" s="1"/>
  <c r="M1246" i="1"/>
  <c r="O1246" i="1" s="1"/>
  <c r="K1452" i="1"/>
  <c r="M1452" i="1" s="1"/>
  <c r="O1452" i="1" s="1"/>
  <c r="M1255" i="1"/>
  <c r="O1255" i="1" s="1"/>
  <c r="M1461" i="1"/>
  <c r="O1461" i="1" s="1"/>
  <c r="M1252" i="1"/>
  <c r="O1252" i="1" s="1"/>
  <c r="K1458" i="1"/>
  <c r="M1458" i="1" s="1"/>
  <c r="O1458" i="1" s="1"/>
  <c r="M1271" i="1"/>
  <c r="O1271" i="1" s="1"/>
  <c r="K1476" i="1"/>
  <c r="M1476" i="1" s="1"/>
  <c r="O1476" i="1" s="1"/>
  <c r="M1238" i="1"/>
  <c r="O1238" i="1" s="1"/>
  <c r="K1444" i="1"/>
  <c r="M1444" i="1" s="1"/>
  <c r="O1444" i="1" s="1"/>
  <c r="M1235" i="1"/>
  <c r="O1235" i="1" s="1"/>
  <c r="K1441" i="1"/>
  <c r="M1441" i="1" s="1"/>
  <c r="O1441" i="1" s="1"/>
  <c r="M1261" i="1"/>
  <c r="O1261" i="1" s="1"/>
  <c r="M1467" i="1"/>
  <c r="O1467" i="1" s="1"/>
  <c r="M1266" i="1"/>
  <c r="O1266" i="1" s="1"/>
  <c r="K1472" i="1"/>
  <c r="M1472" i="1" s="1"/>
  <c r="O1472" i="1" s="1"/>
  <c r="M1243" i="1"/>
  <c r="O1243" i="1" s="1"/>
  <c r="K1449" i="1"/>
  <c r="M1449" i="1" s="1"/>
  <c r="O1449" i="1" s="1"/>
  <c r="M1262" i="1"/>
  <c r="O1262" i="1" s="1"/>
  <c r="M1468" i="1"/>
  <c r="O1468" i="1" s="1"/>
  <c r="M1242" i="1"/>
  <c r="O1242" i="1" s="1"/>
  <c r="M1448" i="1"/>
  <c r="O1448" i="1" s="1"/>
  <c r="M1232" i="1"/>
  <c r="O1232" i="1" s="1"/>
  <c r="M1438" i="1"/>
  <c r="O1438" i="1" s="1"/>
  <c r="M1280" i="1"/>
  <c r="O1280" i="1" s="1"/>
  <c r="K1484" i="1"/>
  <c r="M1484" i="1" s="1"/>
  <c r="O1484" i="1" s="1"/>
  <c r="L1141" i="1"/>
  <c r="M1141" i="1" s="1"/>
  <c r="O1141" i="1" s="1"/>
  <c r="M1222" i="1"/>
  <c r="O1222" i="1" s="1"/>
  <c r="L1126" i="1"/>
  <c r="M1126" i="1" s="1"/>
  <c r="O1126" i="1" s="1"/>
  <c r="M1207" i="1"/>
  <c r="O1207" i="1" s="1"/>
  <c r="L1127" i="1"/>
  <c r="M1127" i="1" s="1"/>
  <c r="O1127" i="1" s="1"/>
  <c r="M1208" i="1"/>
  <c r="O1208" i="1" s="1"/>
  <c r="L1132" i="1"/>
  <c r="M1132" i="1" s="1"/>
  <c r="O1132" i="1" s="1"/>
  <c r="M1213" i="1"/>
  <c r="O1213" i="1" s="1"/>
  <c r="L1128" i="1"/>
  <c r="M1128" i="1" s="1"/>
  <c r="O1128" i="1" s="1"/>
  <c r="M1209" i="1"/>
  <c r="O1209" i="1" s="1"/>
  <c r="L1124" i="1"/>
  <c r="M1124" i="1" s="1"/>
  <c r="O1124" i="1" s="1"/>
  <c r="M1205" i="1"/>
  <c r="O1205" i="1" s="1"/>
  <c r="L1131" i="1"/>
  <c r="M1131" i="1" s="1"/>
  <c r="O1131" i="1" s="1"/>
  <c r="M1212" i="1"/>
  <c r="O1212" i="1" s="1"/>
  <c r="L1135" i="1"/>
  <c r="M1135" i="1" s="1"/>
  <c r="O1135" i="1" s="1"/>
  <c r="M1216" i="1"/>
  <c r="O1216" i="1" s="1"/>
  <c r="L1129" i="1"/>
  <c r="M1129" i="1" s="1"/>
  <c r="O1129" i="1" s="1"/>
  <c r="M1210" i="1"/>
  <c r="O1210" i="1" s="1"/>
  <c r="L1140" i="1"/>
  <c r="M1140" i="1" s="1"/>
  <c r="O1140" i="1" s="1"/>
  <c r="M1221" i="1"/>
  <c r="O1221" i="1" s="1"/>
  <c r="L1122" i="1"/>
  <c r="M1122" i="1" s="1"/>
  <c r="O1122" i="1" s="1"/>
  <c r="M1203" i="1"/>
  <c r="O1203" i="1" s="1"/>
  <c r="L1125" i="1"/>
  <c r="M1125" i="1" s="1"/>
  <c r="O1125" i="1" s="1"/>
  <c r="M1206" i="1"/>
  <c r="O1206" i="1" s="1"/>
  <c r="L1142" i="1"/>
  <c r="M1142" i="1" s="1"/>
  <c r="O1142" i="1" s="1"/>
  <c r="M1223" i="1"/>
  <c r="O1223" i="1" s="1"/>
  <c r="L1134" i="1"/>
  <c r="M1134" i="1" s="1"/>
  <c r="O1134" i="1" s="1"/>
  <c r="M1215" i="1"/>
  <c r="O1215" i="1" s="1"/>
  <c r="L1145" i="1"/>
  <c r="M1145" i="1" s="1"/>
  <c r="O1145" i="1" s="1"/>
  <c r="M1226" i="1"/>
  <c r="O1226" i="1" s="1"/>
  <c r="L1123" i="1"/>
  <c r="M1123" i="1" s="1"/>
  <c r="O1123" i="1" s="1"/>
  <c r="M1204" i="1"/>
  <c r="O1204" i="1" s="1"/>
  <c r="L1130" i="1"/>
  <c r="M1130" i="1" s="1"/>
  <c r="O1130" i="1" s="1"/>
  <c r="M1211" i="1"/>
  <c r="O1211" i="1" s="1"/>
  <c r="L1137" i="1"/>
  <c r="M1137" i="1" s="1"/>
  <c r="O1137" i="1" s="1"/>
  <c r="M1218" i="1"/>
  <c r="O1218" i="1" s="1"/>
  <c r="L1133" i="1"/>
  <c r="M1133" i="1" s="1"/>
  <c r="O1133" i="1" s="1"/>
  <c r="M1214" i="1"/>
  <c r="O1214" i="1" s="1"/>
  <c r="L1136" i="1"/>
  <c r="M1136" i="1" s="1"/>
  <c r="O1136" i="1" s="1"/>
  <c r="M1217" i="1"/>
  <c r="O1217" i="1" s="1"/>
  <c r="L1144" i="1"/>
  <c r="M1144" i="1" s="1"/>
  <c r="O1144" i="1" s="1"/>
  <c r="M1225" i="1"/>
  <c r="O1225" i="1" s="1"/>
  <c r="L1143" i="1"/>
  <c r="M1143" i="1" s="1"/>
  <c r="O1143" i="1" s="1"/>
  <c r="M1224" i="1"/>
  <c r="O1224" i="1" s="1"/>
  <c r="L1139" i="1"/>
  <c r="M1139" i="1" s="1"/>
  <c r="O1139" i="1" s="1"/>
  <c r="M1220" i="1"/>
  <c r="O1220" i="1" s="1"/>
  <c r="L1138" i="1"/>
  <c r="M1138" i="1" s="1"/>
  <c r="O1138" i="1" s="1"/>
  <c r="M1219" i="1"/>
  <c r="O1219" i="1" s="1"/>
  <c r="L1121" i="1"/>
  <c r="M1121" i="1" s="1"/>
  <c r="O1121" i="1" s="1"/>
  <c r="K1202" i="1"/>
  <c r="L1079" i="1"/>
  <c r="M1079" i="1" s="1"/>
  <c r="O1079" i="1" s="1"/>
  <c r="K1115" i="1"/>
  <c r="L1115" i="1" s="1"/>
  <c r="M1115" i="1" s="1"/>
  <c r="O1115" i="1" s="1"/>
  <c r="L1074" i="1"/>
  <c r="M1074" i="1" s="1"/>
  <c r="O1074" i="1" s="1"/>
  <c r="K1110" i="1"/>
  <c r="L1110" i="1" s="1"/>
  <c r="M1110" i="1" s="1"/>
  <c r="O1110" i="1" s="1"/>
  <c r="L1073" i="1"/>
  <c r="M1073" i="1" s="1"/>
  <c r="O1073" i="1" s="1"/>
  <c r="K1109" i="1"/>
  <c r="L1109" i="1" s="1"/>
  <c r="M1109" i="1" s="1"/>
  <c r="O1109" i="1" s="1"/>
  <c r="L1080" i="1"/>
  <c r="M1080" i="1" s="1"/>
  <c r="O1080" i="1" s="1"/>
  <c r="K1116" i="1"/>
  <c r="L1116" i="1" s="1"/>
  <c r="M1116" i="1" s="1"/>
  <c r="O1116" i="1" s="1"/>
  <c r="L1078" i="1"/>
  <c r="M1078" i="1" s="1"/>
  <c r="O1078" i="1" s="1"/>
  <c r="K1114" i="1"/>
  <c r="L1114" i="1" s="1"/>
  <c r="M1114" i="1" s="1"/>
  <c r="O1114" i="1" s="1"/>
  <c r="L1076" i="1"/>
  <c r="M1076" i="1" s="1"/>
  <c r="O1076" i="1" s="1"/>
  <c r="K1112" i="1"/>
  <c r="L1112" i="1" s="1"/>
  <c r="M1112" i="1" s="1"/>
  <c r="O1112" i="1" s="1"/>
  <c r="L1081" i="1"/>
  <c r="M1081" i="1" s="1"/>
  <c r="O1081" i="1" s="1"/>
  <c r="K1117" i="1"/>
  <c r="L1117" i="1" s="1"/>
  <c r="M1117" i="1" s="1"/>
  <c r="O1117" i="1" s="1"/>
  <c r="L1077" i="1"/>
  <c r="M1077" i="1" s="1"/>
  <c r="O1077" i="1" s="1"/>
  <c r="K1113" i="1"/>
  <c r="L1113" i="1" s="1"/>
  <c r="M1113" i="1" s="1"/>
  <c r="O1113" i="1" s="1"/>
  <c r="L1072" i="1"/>
  <c r="M1072" i="1" s="1"/>
  <c r="O1072" i="1" s="1"/>
  <c r="K1108" i="1"/>
  <c r="L1108" i="1" s="1"/>
  <c r="M1108" i="1" s="1"/>
  <c r="O1108" i="1" s="1"/>
  <c r="L1075" i="1"/>
  <c r="M1075" i="1" s="1"/>
  <c r="O1075" i="1" s="1"/>
  <c r="K1111" i="1"/>
  <c r="L1111" i="1" s="1"/>
  <c r="M1111" i="1" s="1"/>
  <c r="O1111" i="1" s="1"/>
  <c r="L1056" i="1"/>
  <c r="K1067" i="1"/>
  <c r="L1057" i="1"/>
  <c r="K1068" i="1"/>
  <c r="K68" i="1"/>
  <c r="L1202" i="1" l="1"/>
  <c r="M1202" i="1" s="1"/>
  <c r="O1202" i="1" s="1"/>
  <c r="O1227" i="1" s="1"/>
  <c r="O1288" i="1"/>
  <c r="O1495" i="1"/>
  <c r="O1146" i="1"/>
  <c r="O1118" i="1"/>
  <c r="O1082" i="1"/>
  <c r="M1057" i="1"/>
  <c r="O1057" i="1" s="1"/>
  <c r="L1068" i="1"/>
  <c r="M1068" i="1" s="1"/>
  <c r="O1068" i="1" s="1"/>
  <c r="M1056" i="1"/>
  <c r="O1056" i="1" s="1"/>
  <c r="L1067" i="1"/>
  <c r="M1067" i="1" s="1"/>
  <c r="O1067" i="1" s="1"/>
  <c r="K595" i="1"/>
  <c r="M595" i="1" s="1"/>
  <c r="O595" i="1" s="1"/>
  <c r="K594" i="1"/>
  <c r="M594" i="1" s="1"/>
  <c r="O594" i="1" s="1"/>
  <c r="K593" i="1"/>
  <c r="M593" i="1" s="1"/>
  <c r="O593" i="1" s="1"/>
  <c r="K592" i="1"/>
  <c r="M592" i="1" s="1"/>
  <c r="O592" i="1" s="1"/>
  <c r="K591" i="1"/>
  <c r="M591" i="1" s="1"/>
  <c r="O591" i="1" s="1"/>
  <c r="K590" i="1"/>
  <c r="M590" i="1" s="1"/>
  <c r="O590" i="1" s="1"/>
  <c r="K589" i="1"/>
  <c r="M589" i="1" s="1"/>
  <c r="O589" i="1" s="1"/>
  <c r="K588" i="1"/>
  <c r="M588" i="1" s="1"/>
  <c r="O588" i="1" s="1"/>
  <c r="K587" i="1"/>
  <c r="M587" i="1" s="1"/>
  <c r="O587" i="1" s="1"/>
  <c r="K586" i="1"/>
  <c r="M586" i="1" s="1"/>
  <c r="O586" i="1" s="1"/>
  <c r="K585" i="1"/>
  <c r="M585" i="1" s="1"/>
  <c r="O585" i="1" s="1"/>
  <c r="K584" i="1"/>
  <c r="M584" i="1" s="1"/>
  <c r="O584" i="1" s="1"/>
  <c r="K583" i="1"/>
  <c r="M583" i="1" s="1"/>
  <c r="O583" i="1" s="1"/>
  <c r="K582" i="1"/>
  <c r="M582" i="1" s="1"/>
  <c r="O582" i="1" s="1"/>
  <c r="K581" i="1"/>
  <c r="M581" i="1" s="1"/>
  <c r="O581" i="1" s="1"/>
  <c r="K580" i="1"/>
  <c r="M580" i="1" s="1"/>
  <c r="O580" i="1" s="1"/>
  <c r="K579" i="1"/>
  <c r="M579" i="1" s="1"/>
  <c r="O579" i="1" s="1"/>
  <c r="K578" i="1"/>
  <c r="M578" i="1" s="1"/>
  <c r="O578" i="1" s="1"/>
  <c r="K577" i="1"/>
  <c r="M577" i="1" s="1"/>
  <c r="O577" i="1" s="1"/>
  <c r="K576" i="1"/>
  <c r="M576" i="1" s="1"/>
  <c r="O576" i="1" s="1"/>
  <c r="K575" i="1"/>
  <c r="M575" i="1" s="1"/>
  <c r="O575" i="1" s="1"/>
  <c r="K574" i="1"/>
  <c r="M574" i="1" s="1"/>
  <c r="O574" i="1" s="1"/>
  <c r="K573" i="1"/>
  <c r="M573" i="1" s="1"/>
  <c r="O573" i="1" s="1"/>
  <c r="K572" i="1"/>
  <c r="M572" i="1" s="1"/>
  <c r="O572" i="1" s="1"/>
  <c r="K571" i="1"/>
  <c r="M571" i="1" s="1"/>
  <c r="O571" i="1" s="1"/>
  <c r="K570" i="1"/>
  <c r="M570" i="1" s="1"/>
  <c r="O570" i="1" s="1"/>
  <c r="K569" i="1"/>
  <c r="M569" i="1" s="1"/>
  <c r="O569" i="1" s="1"/>
  <c r="K568" i="1"/>
  <c r="M568" i="1" s="1"/>
  <c r="O568" i="1" s="1"/>
  <c r="K567" i="1"/>
  <c r="M567" i="1" s="1"/>
  <c r="O567" i="1" s="1"/>
  <c r="K566" i="1"/>
  <c r="M566" i="1" s="1"/>
  <c r="O566" i="1" s="1"/>
  <c r="K565" i="1"/>
  <c r="M565" i="1" s="1"/>
  <c r="O565" i="1" s="1"/>
  <c r="K564" i="1"/>
  <c r="M564" i="1" s="1"/>
  <c r="O564" i="1" s="1"/>
  <c r="K563" i="1"/>
  <c r="M563" i="1" s="1"/>
  <c r="O563" i="1" s="1"/>
  <c r="K562" i="1"/>
  <c r="M562" i="1" s="1"/>
  <c r="O562" i="1" s="1"/>
  <c r="K561" i="1"/>
  <c r="M561" i="1" s="1"/>
  <c r="O561" i="1" s="1"/>
  <c r="K560" i="1"/>
  <c r="M560" i="1" s="1"/>
  <c r="O560" i="1" s="1"/>
  <c r="K559" i="1"/>
  <c r="M559" i="1" s="1"/>
  <c r="O559" i="1" s="1"/>
  <c r="K558" i="1"/>
  <c r="M558" i="1" s="1"/>
  <c r="O558" i="1" s="1"/>
  <c r="K557" i="1"/>
  <c r="M557" i="1" s="1"/>
  <c r="O557" i="1" s="1"/>
  <c r="K556" i="1"/>
  <c r="M556" i="1" s="1"/>
  <c r="O556" i="1" s="1"/>
  <c r="K555" i="1"/>
  <c r="M555" i="1" s="1"/>
  <c r="O555" i="1" s="1"/>
  <c r="K554" i="1"/>
  <c r="M554" i="1" s="1"/>
  <c r="O554" i="1" s="1"/>
  <c r="K553" i="1"/>
  <c r="M553" i="1" s="1"/>
  <c r="O553" i="1" s="1"/>
  <c r="K552" i="1"/>
  <c r="M552" i="1" s="1"/>
  <c r="O552" i="1" s="1"/>
  <c r="K551" i="1"/>
  <c r="M551" i="1" s="1"/>
  <c r="O551" i="1" s="1"/>
  <c r="K550" i="1"/>
  <c r="M550" i="1" s="1"/>
  <c r="O550" i="1" s="1"/>
  <c r="K549" i="1"/>
  <c r="M549" i="1" s="1"/>
  <c r="O549" i="1" s="1"/>
  <c r="K548" i="1"/>
  <c r="M548" i="1" s="1"/>
  <c r="O548" i="1" s="1"/>
  <c r="K547" i="1"/>
  <c r="M547" i="1" s="1"/>
  <c r="O547" i="1" s="1"/>
  <c r="K546" i="1"/>
  <c r="M546" i="1" s="1"/>
  <c r="O546" i="1" s="1"/>
  <c r="K545" i="1"/>
  <c r="M545" i="1" s="1"/>
  <c r="O545" i="1" s="1"/>
  <c r="K544" i="1"/>
  <c r="M544" i="1" s="1"/>
  <c r="O544" i="1" s="1"/>
  <c r="K543" i="1"/>
  <c r="M543" i="1" s="1"/>
  <c r="O543" i="1" s="1"/>
  <c r="K542" i="1"/>
  <c r="M542" i="1" s="1"/>
  <c r="O542" i="1" s="1"/>
  <c r="K541" i="1"/>
  <c r="M541" i="1" s="1"/>
  <c r="O541" i="1" s="1"/>
  <c r="K540" i="1"/>
  <c r="M540" i="1" s="1"/>
  <c r="O540" i="1" s="1"/>
  <c r="K539" i="1"/>
  <c r="M539" i="1" s="1"/>
  <c r="O539" i="1" s="1"/>
  <c r="K538" i="1"/>
  <c r="M538" i="1" s="1"/>
  <c r="O538" i="1" s="1"/>
  <c r="K537" i="1"/>
  <c r="M537" i="1" s="1"/>
  <c r="O537" i="1" s="1"/>
  <c r="K536" i="1"/>
  <c r="M536" i="1" s="1"/>
  <c r="O536" i="1" s="1"/>
  <c r="K535" i="1"/>
  <c r="M535" i="1" s="1"/>
  <c r="O535" i="1" s="1"/>
  <c r="K534" i="1"/>
  <c r="M534" i="1" s="1"/>
  <c r="O534" i="1" s="1"/>
  <c r="K533" i="1"/>
  <c r="M533" i="1" s="1"/>
  <c r="O533" i="1" s="1"/>
  <c r="K532" i="1"/>
  <c r="M532" i="1" s="1"/>
  <c r="O532" i="1" s="1"/>
  <c r="K531" i="1"/>
  <c r="M531" i="1" s="1"/>
  <c r="O531" i="1" s="1"/>
  <c r="K530" i="1"/>
  <c r="M530" i="1" s="1"/>
  <c r="O530" i="1" s="1"/>
  <c r="K529" i="1"/>
  <c r="M529" i="1" s="1"/>
  <c r="O529" i="1" s="1"/>
  <c r="K528" i="1"/>
  <c r="M528" i="1" s="1"/>
  <c r="O528" i="1" s="1"/>
  <c r="K527" i="1"/>
  <c r="M527" i="1" s="1"/>
  <c r="O527" i="1" s="1"/>
  <c r="K526" i="1"/>
  <c r="M526" i="1" s="1"/>
  <c r="O526" i="1" s="1"/>
  <c r="K525" i="1"/>
  <c r="M525" i="1" s="1"/>
  <c r="O525" i="1" s="1"/>
  <c r="K524" i="1"/>
  <c r="M524" i="1" s="1"/>
  <c r="O524" i="1" s="1"/>
  <c r="K523" i="1"/>
  <c r="M523" i="1" s="1"/>
  <c r="O523" i="1" s="1"/>
  <c r="K522" i="1"/>
  <c r="M522" i="1" s="1"/>
  <c r="O522" i="1" s="1"/>
  <c r="K521" i="1"/>
  <c r="M521" i="1" s="1"/>
  <c r="O521" i="1" s="1"/>
  <c r="K520" i="1"/>
  <c r="M520" i="1" s="1"/>
  <c r="O520" i="1" s="1"/>
  <c r="K519" i="1"/>
  <c r="M519" i="1" s="1"/>
  <c r="O519" i="1" s="1"/>
  <c r="K518" i="1"/>
  <c r="M518" i="1" s="1"/>
  <c r="O518" i="1" s="1"/>
  <c r="K517" i="1"/>
  <c r="M517" i="1" s="1"/>
  <c r="O517" i="1" s="1"/>
  <c r="K516" i="1"/>
  <c r="M516" i="1" s="1"/>
  <c r="O516" i="1" s="1"/>
  <c r="K515" i="1"/>
  <c r="M515" i="1" s="1"/>
  <c r="O515" i="1" s="1"/>
  <c r="K514" i="1"/>
  <c r="M514" i="1" s="1"/>
  <c r="O514" i="1" s="1"/>
  <c r="K513" i="1"/>
  <c r="M513" i="1" s="1"/>
  <c r="O513" i="1" s="1"/>
  <c r="K512" i="1"/>
  <c r="M512" i="1" s="1"/>
  <c r="O512" i="1" s="1"/>
  <c r="K511" i="1"/>
  <c r="M511" i="1" s="1"/>
  <c r="O511" i="1" s="1"/>
  <c r="K510" i="1"/>
  <c r="M510" i="1" s="1"/>
  <c r="O510" i="1" s="1"/>
  <c r="K509" i="1"/>
  <c r="M509" i="1" s="1"/>
  <c r="O509" i="1" s="1"/>
  <c r="K508" i="1"/>
  <c r="M508" i="1" s="1"/>
  <c r="O508" i="1" s="1"/>
  <c r="K507" i="1"/>
  <c r="M507" i="1" s="1"/>
  <c r="O507" i="1" s="1"/>
  <c r="K506" i="1"/>
  <c r="M506" i="1" s="1"/>
  <c r="O506" i="1" s="1"/>
  <c r="K505" i="1"/>
  <c r="M505" i="1" s="1"/>
  <c r="O505" i="1" s="1"/>
  <c r="K504" i="1"/>
  <c r="M504" i="1" s="1"/>
  <c r="O504" i="1" s="1"/>
  <c r="K503" i="1"/>
  <c r="M503" i="1" s="1"/>
  <c r="O503" i="1" s="1"/>
  <c r="K502" i="1"/>
  <c r="M502" i="1" s="1"/>
  <c r="O502" i="1" s="1"/>
  <c r="K501" i="1"/>
  <c r="M501" i="1" s="1"/>
  <c r="O501" i="1" s="1"/>
  <c r="K500" i="1"/>
  <c r="M500" i="1" s="1"/>
  <c r="O500" i="1" s="1"/>
  <c r="K499" i="1"/>
  <c r="M499" i="1" s="1"/>
  <c r="O499" i="1" s="1"/>
  <c r="K498" i="1"/>
  <c r="M498" i="1" s="1"/>
  <c r="O498" i="1" s="1"/>
  <c r="K497" i="1"/>
  <c r="M497" i="1" s="1"/>
  <c r="O497" i="1" s="1"/>
  <c r="K496" i="1"/>
  <c r="M496" i="1" s="1"/>
  <c r="O496" i="1" s="1"/>
  <c r="K495" i="1"/>
  <c r="M495" i="1" s="1"/>
  <c r="O495" i="1" s="1"/>
  <c r="K494" i="1"/>
  <c r="M494" i="1" s="1"/>
  <c r="O494" i="1" s="1"/>
  <c r="K493" i="1"/>
  <c r="M493" i="1" s="1"/>
  <c r="O493" i="1" s="1"/>
  <c r="K492" i="1"/>
  <c r="M492" i="1" s="1"/>
  <c r="O492" i="1" s="1"/>
  <c r="K491" i="1"/>
  <c r="M491" i="1" s="1"/>
  <c r="O491" i="1" s="1"/>
  <c r="K490" i="1"/>
  <c r="M490" i="1" s="1"/>
  <c r="O490" i="1" s="1"/>
  <c r="K489" i="1"/>
  <c r="M489" i="1" s="1"/>
  <c r="O489" i="1" s="1"/>
  <c r="K488" i="1"/>
  <c r="M488" i="1" s="1"/>
  <c r="O488" i="1" s="1"/>
  <c r="K487" i="1"/>
  <c r="M487" i="1" s="1"/>
  <c r="O487" i="1" s="1"/>
  <c r="K486" i="1"/>
  <c r="M486" i="1" s="1"/>
  <c r="O486" i="1" s="1"/>
  <c r="K485" i="1"/>
  <c r="M485" i="1" s="1"/>
  <c r="O485" i="1" s="1"/>
  <c r="K484" i="1"/>
  <c r="M484" i="1" s="1"/>
  <c r="O484" i="1" s="1"/>
  <c r="K483" i="1"/>
  <c r="M483" i="1" s="1"/>
  <c r="O483" i="1" s="1"/>
  <c r="K482" i="1"/>
  <c r="M482" i="1" s="1"/>
  <c r="O482" i="1" s="1"/>
  <c r="K481" i="1"/>
  <c r="M481" i="1" s="1"/>
  <c r="O481" i="1" s="1"/>
  <c r="K480" i="1"/>
  <c r="M480" i="1" s="1"/>
  <c r="O480" i="1" s="1"/>
  <c r="K479" i="1"/>
  <c r="M479" i="1" s="1"/>
  <c r="O479" i="1" s="1"/>
  <c r="K478" i="1"/>
  <c r="M478" i="1" s="1"/>
  <c r="O478" i="1" s="1"/>
  <c r="K477" i="1"/>
  <c r="M477" i="1" s="1"/>
  <c r="O477" i="1" s="1"/>
  <c r="K476" i="1"/>
  <c r="M476" i="1" s="1"/>
  <c r="O476" i="1" s="1"/>
  <c r="K475" i="1"/>
  <c r="M475" i="1" s="1"/>
  <c r="O475" i="1" s="1"/>
  <c r="K474" i="1"/>
  <c r="M474" i="1" s="1"/>
  <c r="O474" i="1" s="1"/>
  <c r="K473" i="1"/>
  <c r="M473" i="1" s="1"/>
  <c r="O473" i="1" s="1"/>
  <c r="K472" i="1"/>
  <c r="M472" i="1" s="1"/>
  <c r="O472" i="1" s="1"/>
  <c r="K471" i="1"/>
  <c r="M471" i="1" s="1"/>
  <c r="O471" i="1" s="1"/>
  <c r="K469" i="1"/>
  <c r="M469" i="1" s="1"/>
  <c r="O469" i="1" s="1"/>
  <c r="K468" i="1"/>
  <c r="M468" i="1" s="1"/>
  <c r="O468" i="1" s="1"/>
  <c r="K467" i="1"/>
  <c r="M467" i="1" s="1"/>
  <c r="O467" i="1" s="1"/>
  <c r="K466" i="1"/>
  <c r="M466" i="1" s="1"/>
  <c r="O466" i="1" s="1"/>
  <c r="K465" i="1"/>
  <c r="M465" i="1" s="1"/>
  <c r="O465" i="1" s="1"/>
  <c r="K464" i="1"/>
  <c r="M464" i="1" s="1"/>
  <c r="O464" i="1" s="1"/>
  <c r="K463" i="1"/>
  <c r="M463" i="1" s="1"/>
  <c r="O463" i="1" s="1"/>
  <c r="K462" i="1"/>
  <c r="M462" i="1" s="1"/>
  <c r="O462" i="1" s="1"/>
  <c r="K461" i="1"/>
  <c r="M461" i="1" s="1"/>
  <c r="O461" i="1" s="1"/>
  <c r="K460" i="1"/>
  <c r="M460" i="1" s="1"/>
  <c r="O460" i="1" s="1"/>
  <c r="K459" i="1"/>
  <c r="M459" i="1" s="1"/>
  <c r="O459" i="1" s="1"/>
  <c r="K458" i="1"/>
  <c r="M458" i="1" s="1"/>
  <c r="O458" i="1" s="1"/>
  <c r="K457" i="1"/>
  <c r="M457" i="1" s="1"/>
  <c r="O457" i="1" s="1"/>
  <c r="K456" i="1"/>
  <c r="M456" i="1" s="1"/>
  <c r="O456" i="1" s="1"/>
  <c r="K455" i="1"/>
  <c r="M455" i="1" s="1"/>
  <c r="O455" i="1" s="1"/>
  <c r="K454" i="1"/>
  <c r="M454" i="1" s="1"/>
  <c r="O454" i="1" s="1"/>
  <c r="K453" i="1"/>
  <c r="M453" i="1" s="1"/>
  <c r="O453" i="1" s="1"/>
  <c r="K452" i="1"/>
  <c r="M452" i="1" s="1"/>
  <c r="O452" i="1" s="1"/>
  <c r="K451" i="1"/>
  <c r="M451" i="1" s="1"/>
  <c r="O451" i="1" s="1"/>
  <c r="K450" i="1"/>
  <c r="M450" i="1" s="1"/>
  <c r="O450" i="1" s="1"/>
  <c r="K449" i="1"/>
  <c r="M449" i="1" s="1"/>
  <c r="O449" i="1" s="1"/>
  <c r="K448" i="1"/>
  <c r="M448" i="1" s="1"/>
  <c r="O448" i="1" s="1"/>
  <c r="K447" i="1"/>
  <c r="M447" i="1" s="1"/>
  <c r="O447" i="1" s="1"/>
  <c r="K446" i="1"/>
  <c r="M446" i="1" s="1"/>
  <c r="O446" i="1" s="1"/>
  <c r="K445" i="1"/>
  <c r="M445" i="1" s="1"/>
  <c r="O445" i="1" s="1"/>
  <c r="K444" i="1"/>
  <c r="M444" i="1" s="1"/>
  <c r="O444" i="1" s="1"/>
  <c r="K443" i="1"/>
  <c r="M443" i="1" s="1"/>
  <c r="O443" i="1" s="1"/>
  <c r="K442" i="1"/>
  <c r="M442" i="1" s="1"/>
  <c r="O442" i="1" s="1"/>
  <c r="K441" i="1"/>
  <c r="M441" i="1" s="1"/>
  <c r="O441" i="1" s="1"/>
  <c r="K440" i="1"/>
  <c r="M440" i="1" s="1"/>
  <c r="O440" i="1" s="1"/>
  <c r="K439" i="1"/>
  <c r="M439" i="1" s="1"/>
  <c r="O439" i="1" s="1"/>
  <c r="K438" i="1"/>
  <c r="M438" i="1" s="1"/>
  <c r="O438" i="1" s="1"/>
  <c r="K437" i="1"/>
  <c r="M437" i="1" s="1"/>
  <c r="O437" i="1" s="1"/>
  <c r="K436" i="1"/>
  <c r="M436" i="1" s="1"/>
  <c r="O436" i="1" s="1"/>
  <c r="K435" i="1"/>
  <c r="M435" i="1" s="1"/>
  <c r="O435" i="1" s="1"/>
  <c r="K434" i="1"/>
  <c r="M434" i="1" s="1"/>
  <c r="O434" i="1" s="1"/>
  <c r="K433" i="1"/>
  <c r="M433" i="1" s="1"/>
  <c r="O433" i="1" s="1"/>
  <c r="K432" i="1"/>
  <c r="M432" i="1" s="1"/>
  <c r="O432" i="1" s="1"/>
  <c r="K431" i="1"/>
  <c r="M431" i="1" s="1"/>
  <c r="O431" i="1" s="1"/>
  <c r="K430" i="1"/>
  <c r="M430" i="1" s="1"/>
  <c r="O430" i="1" s="1"/>
  <c r="K429" i="1"/>
  <c r="M429" i="1" s="1"/>
  <c r="O429" i="1" s="1"/>
  <c r="K428" i="1"/>
  <c r="M428" i="1" s="1"/>
  <c r="O428" i="1" s="1"/>
  <c r="K427" i="1"/>
  <c r="M427" i="1" s="1"/>
  <c r="O427" i="1" s="1"/>
  <c r="K426" i="1"/>
  <c r="M426" i="1" s="1"/>
  <c r="O426" i="1" s="1"/>
  <c r="K425" i="1"/>
  <c r="M425" i="1" s="1"/>
  <c r="O425" i="1" s="1"/>
  <c r="K424" i="1"/>
  <c r="M424" i="1" s="1"/>
  <c r="O424" i="1" s="1"/>
  <c r="K423" i="1"/>
  <c r="M423" i="1" s="1"/>
  <c r="O423" i="1" s="1"/>
  <c r="K422" i="1"/>
  <c r="M422" i="1" s="1"/>
  <c r="O422" i="1" s="1"/>
  <c r="K421" i="1"/>
  <c r="M421" i="1" s="1"/>
  <c r="O421" i="1" s="1"/>
  <c r="K420" i="1"/>
  <c r="M420" i="1" s="1"/>
  <c r="O420" i="1" s="1"/>
  <c r="K419" i="1"/>
  <c r="M419" i="1" s="1"/>
  <c r="O419" i="1" s="1"/>
  <c r="K418" i="1"/>
  <c r="M418" i="1" s="1"/>
  <c r="O418" i="1" s="1"/>
  <c r="K417" i="1"/>
  <c r="M417" i="1" s="1"/>
  <c r="O417" i="1" s="1"/>
  <c r="K416" i="1"/>
  <c r="M416" i="1" s="1"/>
  <c r="O416" i="1" s="1"/>
  <c r="K415" i="1"/>
  <c r="M415" i="1" s="1"/>
  <c r="O415" i="1" s="1"/>
  <c r="K414" i="1"/>
  <c r="M414" i="1" s="1"/>
  <c r="O414" i="1" s="1"/>
  <c r="K413" i="1"/>
  <c r="M413" i="1" s="1"/>
  <c r="O413" i="1" s="1"/>
  <c r="K412" i="1"/>
  <c r="M412" i="1" s="1"/>
  <c r="O412" i="1" s="1"/>
  <c r="K411" i="1"/>
  <c r="M411" i="1" s="1"/>
  <c r="O411" i="1" s="1"/>
  <c r="K410" i="1"/>
  <c r="M410" i="1" s="1"/>
  <c r="O410" i="1" s="1"/>
  <c r="K409" i="1"/>
  <c r="M409" i="1" s="1"/>
  <c r="O409" i="1" s="1"/>
  <c r="K408" i="1"/>
  <c r="M408" i="1" s="1"/>
  <c r="O408" i="1" s="1"/>
  <c r="K407" i="1"/>
  <c r="M407" i="1" s="1"/>
  <c r="O407" i="1" s="1"/>
  <c r="K406" i="1"/>
  <c r="M406" i="1" s="1"/>
  <c r="O406" i="1" s="1"/>
  <c r="K405" i="1"/>
  <c r="M405" i="1" s="1"/>
  <c r="O405" i="1" s="1"/>
  <c r="K404" i="1"/>
  <c r="M404" i="1" s="1"/>
  <c r="O404" i="1" s="1"/>
  <c r="K403" i="1"/>
  <c r="M403" i="1" s="1"/>
  <c r="O403" i="1" s="1"/>
  <c r="K402" i="1"/>
  <c r="M402" i="1" s="1"/>
  <c r="O402" i="1" s="1"/>
  <c r="K401" i="1"/>
  <c r="M401" i="1" s="1"/>
  <c r="O401" i="1" s="1"/>
  <c r="K400" i="1"/>
  <c r="M400" i="1" s="1"/>
  <c r="O400" i="1" s="1"/>
  <c r="K399" i="1"/>
  <c r="M399" i="1" s="1"/>
  <c r="O399" i="1" s="1"/>
  <c r="K398" i="1"/>
  <c r="M398" i="1" s="1"/>
  <c r="O398" i="1" s="1"/>
  <c r="K397" i="1"/>
  <c r="M397" i="1" s="1"/>
  <c r="O397" i="1" s="1"/>
  <c r="K396" i="1"/>
  <c r="M396" i="1" s="1"/>
  <c r="O396" i="1" s="1"/>
  <c r="K395" i="1"/>
  <c r="M395" i="1" s="1"/>
  <c r="O395" i="1" s="1"/>
  <c r="K394" i="1"/>
  <c r="M394" i="1" s="1"/>
  <c r="O394" i="1" s="1"/>
  <c r="K393" i="1"/>
  <c r="M393" i="1" s="1"/>
  <c r="O393" i="1" s="1"/>
  <c r="K392" i="1"/>
  <c r="M392" i="1" s="1"/>
  <c r="O392" i="1" s="1"/>
  <c r="K391" i="1"/>
  <c r="M391" i="1" s="1"/>
  <c r="O391" i="1" s="1"/>
  <c r="K390" i="1"/>
  <c r="M390" i="1" s="1"/>
  <c r="O390" i="1" s="1"/>
  <c r="K389" i="1"/>
  <c r="M389" i="1" s="1"/>
  <c r="O389" i="1" s="1"/>
  <c r="K388" i="1"/>
  <c r="M388" i="1" s="1"/>
  <c r="O388" i="1" s="1"/>
  <c r="K387" i="1"/>
  <c r="M387" i="1" s="1"/>
  <c r="O387" i="1" s="1"/>
  <c r="K386" i="1"/>
  <c r="M386" i="1" s="1"/>
  <c r="O386" i="1" s="1"/>
  <c r="K385" i="1"/>
  <c r="M385" i="1" s="1"/>
  <c r="O385" i="1" s="1"/>
  <c r="K384" i="1"/>
  <c r="M384" i="1" s="1"/>
  <c r="O384" i="1" s="1"/>
  <c r="K383" i="1"/>
  <c r="M383" i="1" s="1"/>
  <c r="O383" i="1" s="1"/>
  <c r="K382" i="1"/>
  <c r="M382" i="1" s="1"/>
  <c r="O382" i="1" s="1"/>
  <c r="K381" i="1"/>
  <c r="M381" i="1" s="1"/>
  <c r="O381" i="1" s="1"/>
  <c r="K380" i="1"/>
  <c r="M380" i="1" s="1"/>
  <c r="O380" i="1" s="1"/>
  <c r="K379" i="1"/>
  <c r="M379" i="1" s="1"/>
  <c r="O379" i="1" s="1"/>
  <c r="K378" i="1"/>
  <c r="M378" i="1" s="1"/>
  <c r="O378" i="1" s="1"/>
  <c r="K377" i="1"/>
  <c r="M377" i="1" s="1"/>
  <c r="O377" i="1" s="1"/>
  <c r="K376" i="1"/>
  <c r="M376" i="1" s="1"/>
  <c r="O376" i="1" s="1"/>
  <c r="K375" i="1"/>
  <c r="M375" i="1" s="1"/>
  <c r="O375" i="1" s="1"/>
  <c r="K374" i="1"/>
  <c r="M374" i="1" s="1"/>
  <c r="O374" i="1" s="1"/>
  <c r="K373" i="1"/>
  <c r="M373" i="1" s="1"/>
  <c r="O373" i="1" s="1"/>
  <c r="K372" i="1"/>
  <c r="M372" i="1" s="1"/>
  <c r="O372" i="1" s="1"/>
  <c r="K371" i="1"/>
  <c r="M371" i="1" s="1"/>
  <c r="O371" i="1" s="1"/>
  <c r="K370" i="1"/>
  <c r="M370" i="1" s="1"/>
  <c r="O370" i="1" s="1"/>
  <c r="K369" i="1"/>
  <c r="M369" i="1" s="1"/>
  <c r="O369" i="1" s="1"/>
  <c r="K368" i="1"/>
  <c r="M368" i="1" s="1"/>
  <c r="O368" i="1" s="1"/>
  <c r="K367" i="1"/>
  <c r="M367" i="1" s="1"/>
  <c r="O367" i="1" s="1"/>
  <c r="K366" i="1"/>
  <c r="M366" i="1" s="1"/>
  <c r="O366" i="1" s="1"/>
  <c r="K365" i="1"/>
  <c r="M365" i="1" s="1"/>
  <c r="O365" i="1" s="1"/>
  <c r="K364" i="1"/>
  <c r="M364" i="1" s="1"/>
  <c r="O364" i="1" s="1"/>
  <c r="K363" i="1"/>
  <c r="M363" i="1" s="1"/>
  <c r="O363" i="1" s="1"/>
  <c r="K362" i="1"/>
  <c r="M362" i="1" s="1"/>
  <c r="O362" i="1" s="1"/>
  <c r="K361" i="1"/>
  <c r="M361" i="1" s="1"/>
  <c r="O361" i="1" s="1"/>
  <c r="K360" i="1"/>
  <c r="M360" i="1" s="1"/>
  <c r="O360" i="1" s="1"/>
  <c r="K359" i="1"/>
  <c r="M359" i="1" s="1"/>
  <c r="O359" i="1" s="1"/>
  <c r="K358" i="1"/>
  <c r="M358" i="1" s="1"/>
  <c r="O358" i="1" s="1"/>
  <c r="K357" i="1"/>
  <c r="M357" i="1" s="1"/>
  <c r="O357" i="1" s="1"/>
  <c r="K356" i="1"/>
  <c r="M356" i="1" s="1"/>
  <c r="O356" i="1" s="1"/>
  <c r="K355" i="1"/>
  <c r="M355" i="1" s="1"/>
  <c r="O355" i="1" s="1"/>
  <c r="K354" i="1"/>
  <c r="M354" i="1" s="1"/>
  <c r="O354" i="1" s="1"/>
  <c r="K353" i="1"/>
  <c r="M353" i="1" s="1"/>
  <c r="O353" i="1" s="1"/>
  <c r="K352" i="1"/>
  <c r="M352" i="1" s="1"/>
  <c r="O352" i="1" s="1"/>
  <c r="K351" i="1"/>
  <c r="M351" i="1" s="1"/>
  <c r="O351" i="1" s="1"/>
  <c r="K350" i="1"/>
  <c r="M350" i="1" s="1"/>
  <c r="O350" i="1" s="1"/>
  <c r="K349" i="1"/>
  <c r="M349" i="1" s="1"/>
  <c r="O349" i="1" s="1"/>
  <c r="K348" i="1"/>
  <c r="M348" i="1" s="1"/>
  <c r="O348" i="1" s="1"/>
  <c r="K347" i="1"/>
  <c r="M347" i="1" s="1"/>
  <c r="O347" i="1" s="1"/>
  <c r="K346" i="1"/>
  <c r="M346" i="1" s="1"/>
  <c r="O346" i="1" s="1"/>
  <c r="K345" i="1"/>
  <c r="M345" i="1" s="1"/>
  <c r="O345" i="1" s="1"/>
  <c r="K344" i="1"/>
  <c r="M344" i="1" s="1"/>
  <c r="O344" i="1" s="1"/>
  <c r="K343" i="1"/>
  <c r="M343" i="1" s="1"/>
  <c r="O343" i="1" s="1"/>
  <c r="K342" i="1"/>
  <c r="M342" i="1" s="1"/>
  <c r="O342" i="1" s="1"/>
  <c r="K341" i="1"/>
  <c r="M341" i="1" s="1"/>
  <c r="O341" i="1" s="1"/>
  <c r="K340" i="1"/>
  <c r="M340" i="1" s="1"/>
  <c r="O340" i="1" s="1"/>
  <c r="K339" i="1"/>
  <c r="M339" i="1" s="1"/>
  <c r="O339" i="1" s="1"/>
  <c r="K338" i="1"/>
  <c r="M338" i="1" s="1"/>
  <c r="O338" i="1" s="1"/>
  <c r="K337" i="1"/>
  <c r="M337" i="1" s="1"/>
  <c r="O337" i="1" s="1"/>
  <c r="K336" i="1"/>
  <c r="M336" i="1" s="1"/>
  <c r="O336" i="1" s="1"/>
  <c r="K335" i="1"/>
  <c r="M335" i="1" s="1"/>
  <c r="O335" i="1" s="1"/>
  <c r="K334" i="1"/>
  <c r="M334" i="1" s="1"/>
  <c r="O334" i="1" s="1"/>
  <c r="K333" i="1"/>
  <c r="M333" i="1" s="1"/>
  <c r="O333" i="1" s="1"/>
  <c r="K332" i="1"/>
  <c r="M332" i="1" s="1"/>
  <c r="O332" i="1" s="1"/>
  <c r="K331" i="1"/>
  <c r="M331" i="1" s="1"/>
  <c r="O331" i="1" s="1"/>
  <c r="K330" i="1"/>
  <c r="M330" i="1" s="1"/>
  <c r="O330" i="1" s="1"/>
  <c r="K329" i="1"/>
  <c r="M329" i="1" s="1"/>
  <c r="O329" i="1" s="1"/>
  <c r="K328" i="1"/>
  <c r="M328" i="1" s="1"/>
  <c r="O328" i="1" s="1"/>
  <c r="K327" i="1"/>
  <c r="M327" i="1" s="1"/>
  <c r="O327" i="1" s="1"/>
  <c r="K326" i="1"/>
  <c r="M326" i="1" s="1"/>
  <c r="O326" i="1" s="1"/>
  <c r="K324" i="1"/>
  <c r="M324" i="1" s="1"/>
  <c r="O324" i="1" s="1"/>
  <c r="K323" i="1"/>
  <c r="M323" i="1" s="1"/>
  <c r="O323" i="1" s="1"/>
  <c r="K322" i="1"/>
  <c r="M322" i="1" s="1"/>
  <c r="O322" i="1" s="1"/>
  <c r="K321" i="1"/>
  <c r="M321" i="1" s="1"/>
  <c r="O321" i="1" s="1"/>
  <c r="K320" i="1"/>
  <c r="M320" i="1" s="1"/>
  <c r="O320" i="1" s="1"/>
  <c r="K319" i="1"/>
  <c r="M319" i="1" s="1"/>
  <c r="O319" i="1" s="1"/>
  <c r="K318" i="1"/>
  <c r="M318" i="1" s="1"/>
  <c r="O318" i="1" s="1"/>
  <c r="K317" i="1"/>
  <c r="M317" i="1" s="1"/>
  <c r="O317" i="1" s="1"/>
  <c r="K316" i="1"/>
  <c r="M316" i="1" s="1"/>
  <c r="O316" i="1" s="1"/>
  <c r="K315" i="1"/>
  <c r="M315" i="1" s="1"/>
  <c r="O315" i="1" s="1"/>
  <c r="K314" i="1"/>
  <c r="M314" i="1" s="1"/>
  <c r="O314" i="1" s="1"/>
  <c r="K313" i="1"/>
  <c r="M313" i="1" s="1"/>
  <c r="O313" i="1" s="1"/>
  <c r="K312" i="1"/>
  <c r="M312" i="1" s="1"/>
  <c r="O312" i="1" s="1"/>
  <c r="K311" i="1"/>
  <c r="M311" i="1" s="1"/>
  <c r="O311" i="1" s="1"/>
  <c r="K310" i="1"/>
  <c r="M310" i="1" s="1"/>
  <c r="O310" i="1" s="1"/>
  <c r="K309" i="1"/>
  <c r="M309" i="1" s="1"/>
  <c r="O309" i="1" s="1"/>
  <c r="K308" i="1"/>
  <c r="M308" i="1" s="1"/>
  <c r="O308" i="1" s="1"/>
  <c r="K307" i="1"/>
  <c r="M307" i="1" s="1"/>
  <c r="O307" i="1" s="1"/>
  <c r="K306" i="1"/>
  <c r="M306" i="1" s="1"/>
  <c r="O306" i="1" s="1"/>
  <c r="K305" i="1"/>
  <c r="M305" i="1" s="1"/>
  <c r="O305" i="1" s="1"/>
  <c r="K304" i="1"/>
  <c r="M304" i="1" s="1"/>
  <c r="O304" i="1" s="1"/>
  <c r="K303" i="1"/>
  <c r="M303" i="1" s="1"/>
  <c r="O303" i="1" s="1"/>
  <c r="K302" i="1"/>
  <c r="M302" i="1" s="1"/>
  <c r="O302" i="1" s="1"/>
  <c r="K301" i="1"/>
  <c r="M301" i="1" s="1"/>
  <c r="O301" i="1" s="1"/>
  <c r="K300" i="1"/>
  <c r="M300" i="1" s="1"/>
  <c r="O300" i="1" s="1"/>
  <c r="K299" i="1"/>
  <c r="M299" i="1" s="1"/>
  <c r="O299" i="1" s="1"/>
  <c r="K298" i="1"/>
  <c r="M298" i="1" s="1"/>
  <c r="O298" i="1" s="1"/>
  <c r="K297" i="1"/>
  <c r="M297" i="1" s="1"/>
  <c r="O297" i="1" s="1"/>
  <c r="K296" i="1"/>
  <c r="M296" i="1" s="1"/>
  <c r="O296" i="1" s="1"/>
  <c r="K295" i="1"/>
  <c r="M295" i="1" s="1"/>
  <c r="O295" i="1" s="1"/>
  <c r="K294" i="1"/>
  <c r="M294" i="1" s="1"/>
  <c r="O294" i="1" s="1"/>
  <c r="K293" i="1"/>
  <c r="M293" i="1" s="1"/>
  <c r="O293" i="1" s="1"/>
  <c r="K292" i="1"/>
  <c r="M292" i="1" s="1"/>
  <c r="O292" i="1" s="1"/>
  <c r="K291" i="1"/>
  <c r="M291" i="1" s="1"/>
  <c r="O291" i="1" s="1"/>
  <c r="K290" i="1"/>
  <c r="M290" i="1" s="1"/>
  <c r="O290" i="1" s="1"/>
  <c r="K289" i="1"/>
  <c r="M289" i="1" s="1"/>
  <c r="O289" i="1" s="1"/>
  <c r="K288" i="1"/>
  <c r="M288" i="1" s="1"/>
  <c r="O288" i="1" s="1"/>
  <c r="K287" i="1"/>
  <c r="M287" i="1" s="1"/>
  <c r="O287" i="1" s="1"/>
  <c r="K286" i="1"/>
  <c r="M286" i="1" s="1"/>
  <c r="O286" i="1" s="1"/>
  <c r="K285" i="1"/>
  <c r="M285" i="1" s="1"/>
  <c r="O285" i="1" s="1"/>
  <c r="K284" i="1"/>
  <c r="M284" i="1" s="1"/>
  <c r="O284" i="1" s="1"/>
  <c r="K283" i="1"/>
  <c r="M283" i="1" s="1"/>
  <c r="O283" i="1" s="1"/>
  <c r="K282" i="1"/>
  <c r="M282" i="1" s="1"/>
  <c r="O282" i="1" s="1"/>
  <c r="K281" i="1"/>
  <c r="M281" i="1" s="1"/>
  <c r="O281" i="1" s="1"/>
  <c r="K280" i="1"/>
  <c r="M280" i="1" s="1"/>
  <c r="O280" i="1" s="1"/>
  <c r="K279" i="1"/>
  <c r="M279" i="1" s="1"/>
  <c r="O279" i="1" s="1"/>
  <c r="K278" i="1"/>
  <c r="M278" i="1" s="1"/>
  <c r="O278" i="1" s="1"/>
  <c r="K277" i="1"/>
  <c r="M277" i="1" s="1"/>
  <c r="O277" i="1" s="1"/>
  <c r="K276" i="1"/>
  <c r="M276" i="1" s="1"/>
  <c r="O276" i="1" s="1"/>
  <c r="K275" i="1"/>
  <c r="M275" i="1" s="1"/>
  <c r="O275" i="1" s="1"/>
  <c r="K274" i="1"/>
  <c r="M274" i="1" s="1"/>
  <c r="O274" i="1" s="1"/>
  <c r="K273" i="1"/>
  <c r="M273" i="1" s="1"/>
  <c r="O273" i="1" s="1"/>
  <c r="K272" i="1"/>
  <c r="M272" i="1" s="1"/>
  <c r="O272" i="1" s="1"/>
  <c r="K271" i="1"/>
  <c r="M271" i="1" s="1"/>
  <c r="O271" i="1" s="1"/>
  <c r="K270" i="1"/>
  <c r="M270" i="1" s="1"/>
  <c r="O270" i="1" s="1"/>
  <c r="K269" i="1"/>
  <c r="M269" i="1" s="1"/>
  <c r="O269" i="1" s="1"/>
  <c r="K268" i="1"/>
  <c r="M268" i="1" s="1"/>
  <c r="O268" i="1" s="1"/>
  <c r="K267" i="1"/>
  <c r="M267" i="1" s="1"/>
  <c r="O267" i="1" s="1"/>
  <c r="K266" i="1"/>
  <c r="M266" i="1" s="1"/>
  <c r="O266" i="1" s="1"/>
  <c r="K265" i="1"/>
  <c r="M265" i="1" s="1"/>
  <c r="O265" i="1" s="1"/>
  <c r="K264" i="1"/>
  <c r="M264" i="1" s="1"/>
  <c r="O264" i="1" s="1"/>
  <c r="K263" i="1"/>
  <c r="M263" i="1" s="1"/>
  <c r="O263" i="1" s="1"/>
  <c r="K262" i="1"/>
  <c r="M262" i="1" s="1"/>
  <c r="O262" i="1" s="1"/>
  <c r="K261" i="1"/>
  <c r="M261" i="1" s="1"/>
  <c r="O261" i="1" s="1"/>
  <c r="K260" i="1"/>
  <c r="M260" i="1" s="1"/>
  <c r="O260" i="1" s="1"/>
  <c r="K259" i="1"/>
  <c r="M259" i="1" s="1"/>
  <c r="O259" i="1" s="1"/>
  <c r="K258" i="1"/>
  <c r="M258" i="1" s="1"/>
  <c r="O258" i="1" s="1"/>
  <c r="K257" i="1"/>
  <c r="M257" i="1" s="1"/>
  <c r="O257" i="1" s="1"/>
  <c r="K256" i="1"/>
  <c r="M256" i="1" s="1"/>
  <c r="O256" i="1" s="1"/>
  <c r="K255" i="1"/>
  <c r="M255" i="1" s="1"/>
  <c r="O255" i="1" s="1"/>
  <c r="K254" i="1"/>
  <c r="M254" i="1" s="1"/>
  <c r="O254" i="1" s="1"/>
  <c r="K253" i="1"/>
  <c r="M253" i="1" s="1"/>
  <c r="O253" i="1" s="1"/>
  <c r="K252" i="1"/>
  <c r="M252" i="1" s="1"/>
  <c r="O252" i="1" s="1"/>
  <c r="K251" i="1"/>
  <c r="M251" i="1" s="1"/>
  <c r="O251" i="1" s="1"/>
  <c r="K250" i="1"/>
  <c r="M250" i="1" s="1"/>
  <c r="O250" i="1" s="1"/>
  <c r="K249" i="1"/>
  <c r="M249" i="1" s="1"/>
  <c r="O249" i="1" s="1"/>
  <c r="K248" i="1"/>
  <c r="M248" i="1" s="1"/>
  <c r="O248" i="1" s="1"/>
  <c r="K247" i="1"/>
  <c r="M247" i="1" s="1"/>
  <c r="O247" i="1" s="1"/>
  <c r="K246" i="1"/>
  <c r="M246" i="1" s="1"/>
  <c r="O246" i="1" s="1"/>
  <c r="K245" i="1"/>
  <c r="M245" i="1" s="1"/>
  <c r="O245" i="1" s="1"/>
  <c r="K244" i="1"/>
  <c r="M244" i="1" s="1"/>
  <c r="O244" i="1" s="1"/>
  <c r="K243" i="1"/>
  <c r="M243" i="1" s="1"/>
  <c r="O243" i="1" s="1"/>
  <c r="K242" i="1"/>
  <c r="M242" i="1" s="1"/>
  <c r="O242" i="1" s="1"/>
  <c r="K241" i="1"/>
  <c r="M241" i="1" s="1"/>
  <c r="O241" i="1" s="1"/>
  <c r="K240" i="1"/>
  <c r="M240" i="1" s="1"/>
  <c r="O240" i="1" s="1"/>
  <c r="K239" i="1"/>
  <c r="M239" i="1" s="1"/>
  <c r="O239" i="1" s="1"/>
  <c r="K238" i="1"/>
  <c r="M238" i="1" s="1"/>
  <c r="O238" i="1" s="1"/>
  <c r="K237" i="1"/>
  <c r="M237" i="1" s="1"/>
  <c r="O237" i="1" s="1"/>
  <c r="K236" i="1"/>
  <c r="M236" i="1" s="1"/>
  <c r="O236" i="1" s="1"/>
  <c r="K235" i="1"/>
  <c r="M235" i="1" s="1"/>
  <c r="O235" i="1" s="1"/>
  <c r="K234" i="1"/>
  <c r="M234" i="1" s="1"/>
  <c r="O234" i="1" s="1"/>
  <c r="K233" i="1"/>
  <c r="M233" i="1" s="1"/>
  <c r="O233" i="1" s="1"/>
  <c r="K232" i="1"/>
  <c r="M232" i="1" s="1"/>
  <c r="O232" i="1" s="1"/>
  <c r="K231" i="1"/>
  <c r="M231" i="1" s="1"/>
  <c r="O231" i="1" s="1"/>
  <c r="K230" i="1"/>
  <c r="M230" i="1" s="1"/>
  <c r="O230" i="1" s="1"/>
  <c r="K229" i="1"/>
  <c r="M229" i="1" s="1"/>
  <c r="O229" i="1" s="1"/>
  <c r="K228" i="1"/>
  <c r="M228" i="1" s="1"/>
  <c r="O228" i="1" s="1"/>
  <c r="K227" i="1"/>
  <c r="M227" i="1" s="1"/>
  <c r="O227" i="1" s="1"/>
  <c r="K226" i="1"/>
  <c r="M226" i="1" s="1"/>
  <c r="O226" i="1" s="1"/>
  <c r="K225" i="1"/>
  <c r="M225" i="1" s="1"/>
  <c r="O225" i="1" s="1"/>
  <c r="K224" i="1"/>
  <c r="M224" i="1" s="1"/>
  <c r="O224" i="1" s="1"/>
  <c r="K223" i="1"/>
  <c r="M223" i="1" s="1"/>
  <c r="O223" i="1" s="1"/>
  <c r="K222" i="1"/>
  <c r="M222" i="1" s="1"/>
  <c r="O222" i="1" s="1"/>
  <c r="K221" i="1"/>
  <c r="M221" i="1" s="1"/>
  <c r="O221" i="1" s="1"/>
  <c r="K220" i="1"/>
  <c r="M220" i="1" s="1"/>
  <c r="O220" i="1" s="1"/>
  <c r="K219" i="1"/>
  <c r="M219" i="1" s="1"/>
  <c r="O219" i="1" s="1"/>
  <c r="K218" i="1"/>
  <c r="M218" i="1" s="1"/>
  <c r="O218" i="1" s="1"/>
  <c r="K217" i="1"/>
  <c r="M217" i="1" s="1"/>
  <c r="O217" i="1" s="1"/>
  <c r="K216" i="1"/>
  <c r="M216" i="1" s="1"/>
  <c r="O216" i="1" s="1"/>
  <c r="K215" i="1"/>
  <c r="M215" i="1" s="1"/>
  <c r="O215" i="1" s="1"/>
  <c r="K214" i="1"/>
  <c r="M214" i="1" s="1"/>
  <c r="O214" i="1" s="1"/>
  <c r="K213" i="1"/>
  <c r="M213" i="1" s="1"/>
  <c r="O213" i="1" s="1"/>
  <c r="K212" i="1"/>
  <c r="M212" i="1" s="1"/>
  <c r="O212" i="1" s="1"/>
  <c r="K211" i="1"/>
  <c r="M211" i="1" s="1"/>
  <c r="O211" i="1" s="1"/>
  <c r="K210" i="1"/>
  <c r="M210" i="1" s="1"/>
  <c r="O210" i="1" s="1"/>
  <c r="K209" i="1"/>
  <c r="M209" i="1" s="1"/>
  <c r="O209" i="1" s="1"/>
  <c r="K208" i="1"/>
  <c r="M208" i="1" s="1"/>
  <c r="O208" i="1" s="1"/>
  <c r="K207" i="1"/>
  <c r="M207" i="1" s="1"/>
  <c r="O207" i="1" s="1"/>
  <c r="K206" i="1"/>
  <c r="M206" i="1" s="1"/>
  <c r="O206" i="1" s="1"/>
  <c r="K205" i="1"/>
  <c r="M205" i="1" s="1"/>
  <c r="O205" i="1" s="1"/>
  <c r="K204" i="1"/>
  <c r="M204" i="1" s="1"/>
  <c r="O204" i="1" s="1"/>
  <c r="K203" i="1"/>
  <c r="M203" i="1" s="1"/>
  <c r="O203" i="1" s="1"/>
  <c r="K202" i="1"/>
  <c r="M202" i="1" s="1"/>
  <c r="O202" i="1" s="1"/>
  <c r="K201" i="1"/>
  <c r="M201" i="1" s="1"/>
  <c r="O201" i="1" s="1"/>
  <c r="K200" i="1"/>
  <c r="M200" i="1" s="1"/>
  <c r="O200" i="1" s="1"/>
  <c r="K199" i="1"/>
  <c r="M199" i="1" s="1"/>
  <c r="O199" i="1" s="1"/>
  <c r="K198" i="1"/>
  <c r="M198" i="1" s="1"/>
  <c r="O198" i="1" s="1"/>
  <c r="K197" i="1"/>
  <c r="M197" i="1" s="1"/>
  <c r="O197" i="1" s="1"/>
  <c r="K196" i="1"/>
  <c r="M196" i="1" s="1"/>
  <c r="O196" i="1" s="1"/>
  <c r="K195" i="1"/>
  <c r="M195" i="1" s="1"/>
  <c r="O195" i="1" s="1"/>
  <c r="K194" i="1"/>
  <c r="M194" i="1" s="1"/>
  <c r="O194" i="1" s="1"/>
  <c r="K193" i="1"/>
  <c r="M193" i="1" s="1"/>
  <c r="O193" i="1" s="1"/>
  <c r="K192" i="1"/>
  <c r="M192" i="1" s="1"/>
  <c r="O192" i="1" s="1"/>
  <c r="K191" i="1"/>
  <c r="M191" i="1" s="1"/>
  <c r="O191" i="1" s="1"/>
  <c r="K190" i="1"/>
  <c r="M190" i="1" s="1"/>
  <c r="O190" i="1" s="1"/>
  <c r="K189" i="1"/>
  <c r="M189" i="1" s="1"/>
  <c r="O189" i="1" s="1"/>
  <c r="K188" i="1"/>
  <c r="M188" i="1" s="1"/>
  <c r="O188" i="1" s="1"/>
  <c r="K187" i="1"/>
  <c r="M187" i="1" s="1"/>
  <c r="O187" i="1" s="1"/>
  <c r="K186" i="1"/>
  <c r="M186" i="1" s="1"/>
  <c r="O186" i="1" s="1"/>
  <c r="K185" i="1"/>
  <c r="M185" i="1" s="1"/>
  <c r="O185" i="1" s="1"/>
  <c r="K184" i="1"/>
  <c r="M184" i="1" s="1"/>
  <c r="O184" i="1" s="1"/>
  <c r="K183" i="1"/>
  <c r="M183" i="1" s="1"/>
  <c r="O183" i="1" s="1"/>
  <c r="K181" i="1"/>
  <c r="M181" i="1" s="1"/>
  <c r="O181" i="1" s="1"/>
  <c r="K180" i="1"/>
  <c r="M180" i="1" s="1"/>
  <c r="O180" i="1" s="1"/>
  <c r="K179" i="1"/>
  <c r="M179" i="1" s="1"/>
  <c r="O179" i="1" s="1"/>
  <c r="K178" i="1"/>
  <c r="M178" i="1" s="1"/>
  <c r="O178" i="1" s="1"/>
  <c r="K177" i="1"/>
  <c r="M177" i="1" s="1"/>
  <c r="O177" i="1" s="1"/>
  <c r="K176" i="1"/>
  <c r="M176" i="1" s="1"/>
  <c r="O176" i="1" s="1"/>
  <c r="K175" i="1"/>
  <c r="M175" i="1" s="1"/>
  <c r="O175" i="1" s="1"/>
  <c r="K174" i="1"/>
  <c r="M174" i="1" s="1"/>
  <c r="O174" i="1" s="1"/>
  <c r="K173" i="1"/>
  <c r="M173" i="1" s="1"/>
  <c r="O173" i="1" s="1"/>
  <c r="K172" i="1"/>
  <c r="M172" i="1" s="1"/>
  <c r="O172" i="1" s="1"/>
  <c r="K171" i="1"/>
  <c r="M171" i="1" s="1"/>
  <c r="O171" i="1" s="1"/>
  <c r="K170" i="1"/>
  <c r="M170" i="1" s="1"/>
  <c r="O170" i="1" s="1"/>
  <c r="K169" i="1"/>
  <c r="M169" i="1" s="1"/>
  <c r="O169" i="1" s="1"/>
  <c r="K168" i="1"/>
  <c r="M168" i="1" s="1"/>
  <c r="O168" i="1" s="1"/>
  <c r="K167" i="1"/>
  <c r="M167" i="1" s="1"/>
  <c r="O167" i="1" s="1"/>
  <c r="K166" i="1"/>
  <c r="M166" i="1" s="1"/>
  <c r="O166" i="1" s="1"/>
  <c r="K165" i="1"/>
  <c r="M165" i="1" s="1"/>
  <c r="O165" i="1" s="1"/>
  <c r="K164" i="1"/>
  <c r="M164" i="1" s="1"/>
  <c r="O164" i="1" s="1"/>
  <c r="K163" i="1"/>
  <c r="M163" i="1" s="1"/>
  <c r="O163" i="1" s="1"/>
  <c r="K162" i="1"/>
  <c r="M162" i="1" s="1"/>
  <c r="O162" i="1" s="1"/>
  <c r="K161" i="1"/>
  <c r="M161" i="1" s="1"/>
  <c r="O161" i="1" s="1"/>
  <c r="K160" i="1"/>
  <c r="M160" i="1" s="1"/>
  <c r="O160" i="1" s="1"/>
  <c r="K159" i="1"/>
  <c r="M159" i="1" s="1"/>
  <c r="O159" i="1" s="1"/>
  <c r="K158" i="1"/>
  <c r="M158" i="1" s="1"/>
  <c r="O158" i="1" s="1"/>
  <c r="K157" i="1"/>
  <c r="M157" i="1" s="1"/>
  <c r="O157" i="1" s="1"/>
  <c r="K156" i="1"/>
  <c r="M156" i="1" s="1"/>
  <c r="O156" i="1" s="1"/>
  <c r="K155" i="1"/>
  <c r="M155" i="1" s="1"/>
  <c r="O155" i="1" s="1"/>
  <c r="K154" i="1"/>
  <c r="M154" i="1" s="1"/>
  <c r="O154" i="1" s="1"/>
  <c r="K153" i="1"/>
  <c r="M153" i="1" s="1"/>
  <c r="O153" i="1" s="1"/>
  <c r="K152" i="1"/>
  <c r="M152" i="1" s="1"/>
  <c r="O152" i="1" s="1"/>
  <c r="K151" i="1"/>
  <c r="M151" i="1" s="1"/>
  <c r="O151" i="1" s="1"/>
  <c r="K150" i="1"/>
  <c r="M150" i="1" s="1"/>
  <c r="O150" i="1" s="1"/>
  <c r="K149" i="1"/>
  <c r="M149" i="1" s="1"/>
  <c r="O149" i="1" s="1"/>
  <c r="K148" i="1"/>
  <c r="M148" i="1" s="1"/>
  <c r="O148" i="1" s="1"/>
  <c r="K147" i="1"/>
  <c r="M147" i="1" s="1"/>
  <c r="O147" i="1" s="1"/>
  <c r="K146" i="1"/>
  <c r="M146" i="1" s="1"/>
  <c r="O146" i="1" s="1"/>
  <c r="K145" i="1"/>
  <c r="M145" i="1" s="1"/>
  <c r="O145" i="1" s="1"/>
  <c r="K144" i="1"/>
  <c r="M144" i="1" s="1"/>
  <c r="O144" i="1" s="1"/>
  <c r="K143" i="1"/>
  <c r="M143" i="1" s="1"/>
  <c r="O143" i="1" s="1"/>
  <c r="K142" i="1"/>
  <c r="M142" i="1" s="1"/>
  <c r="O142" i="1" s="1"/>
  <c r="K141" i="1"/>
  <c r="M141" i="1" s="1"/>
  <c r="O141" i="1" s="1"/>
  <c r="K140" i="1"/>
  <c r="M140" i="1" s="1"/>
  <c r="O140" i="1" s="1"/>
  <c r="K139" i="1"/>
  <c r="M139" i="1" s="1"/>
  <c r="O139" i="1" s="1"/>
  <c r="K138" i="1"/>
  <c r="M138" i="1" s="1"/>
  <c r="O138" i="1" s="1"/>
  <c r="K137" i="1"/>
  <c r="M137" i="1" s="1"/>
  <c r="O137" i="1" s="1"/>
  <c r="K136" i="1"/>
  <c r="M136" i="1" s="1"/>
  <c r="O136" i="1" s="1"/>
  <c r="K135" i="1"/>
  <c r="M135" i="1" s="1"/>
  <c r="O135" i="1" s="1"/>
  <c r="K134" i="1"/>
  <c r="M134" i="1" s="1"/>
  <c r="O134" i="1" s="1"/>
  <c r="K133" i="1"/>
  <c r="M133" i="1" s="1"/>
  <c r="O133" i="1" s="1"/>
  <c r="K132" i="1"/>
  <c r="M132" i="1" s="1"/>
  <c r="O132" i="1" s="1"/>
  <c r="K131" i="1"/>
  <c r="M131" i="1" s="1"/>
  <c r="O131" i="1" s="1"/>
  <c r="K130" i="1"/>
  <c r="M130" i="1" s="1"/>
  <c r="O130" i="1" s="1"/>
  <c r="K129" i="1"/>
  <c r="M129" i="1" s="1"/>
  <c r="O129" i="1" s="1"/>
  <c r="K128" i="1"/>
  <c r="M128" i="1" s="1"/>
  <c r="O128" i="1" s="1"/>
  <c r="K127" i="1"/>
  <c r="M127" i="1" s="1"/>
  <c r="O127" i="1" s="1"/>
  <c r="K126" i="1"/>
  <c r="M126" i="1" s="1"/>
  <c r="O126" i="1" s="1"/>
  <c r="K125" i="1"/>
  <c r="M125" i="1" s="1"/>
  <c r="O125" i="1" s="1"/>
  <c r="K124" i="1"/>
  <c r="M124" i="1" s="1"/>
  <c r="O124" i="1" s="1"/>
  <c r="K123" i="1"/>
  <c r="M123" i="1" s="1"/>
  <c r="O123" i="1" s="1"/>
  <c r="K122" i="1"/>
  <c r="M122" i="1" s="1"/>
  <c r="O122" i="1" s="1"/>
  <c r="K121" i="1"/>
  <c r="M121" i="1" s="1"/>
  <c r="O121" i="1" s="1"/>
  <c r="K120" i="1"/>
  <c r="M120" i="1" s="1"/>
  <c r="O120" i="1" s="1"/>
  <c r="K119" i="1"/>
  <c r="M119" i="1" s="1"/>
  <c r="O119" i="1" s="1"/>
  <c r="K118" i="1"/>
  <c r="M118" i="1" s="1"/>
  <c r="O118" i="1" s="1"/>
  <c r="K117" i="1"/>
  <c r="M117" i="1" s="1"/>
  <c r="O117" i="1" s="1"/>
  <c r="K116" i="1"/>
  <c r="M116" i="1" s="1"/>
  <c r="O116" i="1" s="1"/>
  <c r="K115" i="1"/>
  <c r="M115" i="1" s="1"/>
  <c r="O115" i="1" s="1"/>
  <c r="K114" i="1"/>
  <c r="M114" i="1" s="1"/>
  <c r="O114" i="1" s="1"/>
  <c r="K113" i="1"/>
  <c r="M113" i="1" s="1"/>
  <c r="O113" i="1" s="1"/>
  <c r="K112" i="1"/>
  <c r="M112" i="1" s="1"/>
  <c r="O112" i="1" s="1"/>
  <c r="K111" i="1"/>
  <c r="M111" i="1" s="1"/>
  <c r="O111" i="1" s="1"/>
  <c r="K110" i="1"/>
  <c r="M110" i="1" s="1"/>
  <c r="O110" i="1" s="1"/>
  <c r="K109" i="1"/>
  <c r="M109" i="1" s="1"/>
  <c r="O109" i="1" s="1"/>
  <c r="K108" i="1"/>
  <c r="M108" i="1" s="1"/>
  <c r="O108" i="1" s="1"/>
  <c r="K107" i="1"/>
  <c r="M107" i="1" s="1"/>
  <c r="O107" i="1" s="1"/>
  <c r="K106" i="1"/>
  <c r="M106" i="1" s="1"/>
  <c r="O106" i="1" s="1"/>
  <c r="K105" i="1"/>
  <c r="M105" i="1" s="1"/>
  <c r="O105" i="1" s="1"/>
  <c r="K104" i="1"/>
  <c r="M104" i="1" s="1"/>
  <c r="O104" i="1" s="1"/>
  <c r="K103" i="1"/>
  <c r="M103" i="1" s="1"/>
  <c r="O103" i="1" s="1"/>
  <c r="K102" i="1"/>
  <c r="M102" i="1" s="1"/>
  <c r="O102" i="1" s="1"/>
  <c r="K101" i="1"/>
  <c r="M101" i="1" s="1"/>
  <c r="O101" i="1" s="1"/>
  <c r="K100" i="1"/>
  <c r="M100" i="1" s="1"/>
  <c r="O100" i="1" s="1"/>
  <c r="K99" i="1"/>
  <c r="M99" i="1" s="1"/>
  <c r="O99" i="1" s="1"/>
  <c r="K98" i="1"/>
  <c r="M98" i="1" s="1"/>
  <c r="O98" i="1" s="1"/>
  <c r="K97" i="1"/>
  <c r="M97" i="1" s="1"/>
  <c r="O97" i="1" s="1"/>
  <c r="K96" i="1"/>
  <c r="M96" i="1" s="1"/>
  <c r="O96" i="1" s="1"/>
  <c r="K95" i="1"/>
  <c r="M95" i="1" s="1"/>
  <c r="O95" i="1" s="1"/>
  <c r="K94" i="1"/>
  <c r="M94" i="1" s="1"/>
  <c r="O94" i="1" s="1"/>
  <c r="K93" i="1"/>
  <c r="M93" i="1" s="1"/>
  <c r="O93" i="1" s="1"/>
  <c r="K92" i="1"/>
  <c r="M92" i="1" s="1"/>
  <c r="O92" i="1" s="1"/>
  <c r="K91" i="1"/>
  <c r="M91" i="1" s="1"/>
  <c r="O91" i="1" s="1"/>
  <c r="K90" i="1"/>
  <c r="M90" i="1" s="1"/>
  <c r="O90" i="1" s="1"/>
  <c r="K89" i="1"/>
  <c r="M89" i="1" s="1"/>
  <c r="O89" i="1" s="1"/>
  <c r="K88" i="1"/>
  <c r="M88" i="1" s="1"/>
  <c r="O88" i="1" s="1"/>
  <c r="K87" i="1"/>
  <c r="M87" i="1" s="1"/>
  <c r="O87" i="1" s="1"/>
  <c r="K86" i="1"/>
  <c r="M86" i="1" s="1"/>
  <c r="O86" i="1" s="1"/>
  <c r="K85" i="1"/>
  <c r="M85" i="1" s="1"/>
  <c r="O85" i="1" s="1"/>
  <c r="K84" i="1"/>
  <c r="M84" i="1" s="1"/>
  <c r="O84" i="1" s="1"/>
  <c r="K83" i="1"/>
  <c r="M83" i="1" s="1"/>
  <c r="O83" i="1" s="1"/>
  <c r="K82" i="1"/>
  <c r="M82" i="1" s="1"/>
  <c r="O82" i="1" s="1"/>
  <c r="K81" i="1"/>
  <c r="M81" i="1" s="1"/>
  <c r="O81" i="1" s="1"/>
  <c r="K80" i="1"/>
  <c r="M80" i="1" s="1"/>
  <c r="O80" i="1" s="1"/>
  <c r="K79" i="1"/>
  <c r="M79" i="1" s="1"/>
  <c r="O79" i="1" s="1"/>
  <c r="K78" i="1"/>
  <c r="M78" i="1" s="1"/>
  <c r="O78" i="1" s="1"/>
  <c r="K77" i="1"/>
  <c r="M77" i="1" s="1"/>
  <c r="O77" i="1" s="1"/>
  <c r="K76" i="1"/>
  <c r="M76" i="1" s="1"/>
  <c r="O76" i="1" s="1"/>
  <c r="K75" i="1"/>
  <c r="M75" i="1" s="1"/>
  <c r="O75" i="1" s="1"/>
  <c r="K74" i="1"/>
  <c r="M74" i="1" s="1"/>
  <c r="O74" i="1" s="1"/>
  <c r="K73" i="1"/>
  <c r="M73" i="1" s="1"/>
  <c r="O73" i="1" s="1"/>
  <c r="K72" i="1"/>
  <c r="M72" i="1" s="1"/>
  <c r="O72" i="1" s="1"/>
  <c r="K71" i="1"/>
  <c r="M71" i="1" s="1"/>
  <c r="O71" i="1" s="1"/>
  <c r="K70" i="1"/>
  <c r="M70" i="1" s="1"/>
  <c r="O70" i="1" s="1"/>
  <c r="K69" i="1"/>
  <c r="M69" i="1" s="1"/>
  <c r="O69" i="1" s="1"/>
  <c r="M68" i="1"/>
  <c r="O68" i="1" s="1"/>
  <c r="K67" i="1"/>
  <c r="M67" i="1" s="1"/>
  <c r="O67" i="1" s="1"/>
  <c r="K66" i="1"/>
  <c r="M66" i="1" s="1"/>
  <c r="O66" i="1" s="1"/>
  <c r="K65" i="1"/>
  <c r="M65" i="1" s="1"/>
  <c r="O65" i="1" s="1"/>
  <c r="K64" i="1"/>
  <c r="M64" i="1" s="1"/>
  <c r="O64" i="1" s="1"/>
  <c r="K63" i="1"/>
  <c r="M63" i="1" s="1"/>
  <c r="O63" i="1" s="1"/>
  <c r="K62" i="1"/>
  <c r="M62" i="1" s="1"/>
  <c r="O62" i="1" s="1"/>
  <c r="K61" i="1"/>
  <c r="M61" i="1" s="1"/>
  <c r="O61" i="1" s="1"/>
  <c r="K60" i="1"/>
  <c r="M60" i="1" s="1"/>
  <c r="O60" i="1" s="1"/>
  <c r="K59" i="1"/>
  <c r="M59" i="1" s="1"/>
  <c r="O59" i="1" s="1"/>
  <c r="K58" i="1"/>
  <c r="M58" i="1" s="1"/>
  <c r="O58" i="1" s="1"/>
  <c r="K57" i="1"/>
  <c r="M57" i="1" s="1"/>
  <c r="O57" i="1" s="1"/>
  <c r="K56" i="1"/>
  <c r="M56" i="1" s="1"/>
  <c r="O56" i="1" s="1"/>
  <c r="K55" i="1"/>
  <c r="M55" i="1" s="1"/>
  <c r="O55" i="1" s="1"/>
  <c r="K54" i="1"/>
  <c r="M54" i="1" s="1"/>
  <c r="O54" i="1" s="1"/>
  <c r="K53" i="1"/>
  <c r="M53" i="1" s="1"/>
  <c r="O53" i="1" s="1"/>
  <c r="K52" i="1"/>
  <c r="M52" i="1" s="1"/>
  <c r="O52" i="1" s="1"/>
  <c r="K51" i="1"/>
  <c r="M51" i="1" s="1"/>
  <c r="O51" i="1" s="1"/>
  <c r="K50" i="1"/>
  <c r="M50" i="1" s="1"/>
  <c r="O50" i="1" s="1"/>
  <c r="K49" i="1"/>
  <c r="M49" i="1" s="1"/>
  <c r="O49" i="1" s="1"/>
  <c r="K48" i="1"/>
  <c r="M48" i="1" s="1"/>
  <c r="O48" i="1" s="1"/>
  <c r="K47" i="1"/>
  <c r="M47" i="1" s="1"/>
  <c r="O47" i="1" s="1"/>
  <c r="K46" i="1"/>
  <c r="M46" i="1" s="1"/>
  <c r="O46" i="1" s="1"/>
  <c r="K45" i="1"/>
  <c r="M45" i="1" s="1"/>
  <c r="O45" i="1" s="1"/>
  <c r="K44" i="1"/>
  <c r="M44" i="1" s="1"/>
  <c r="O44" i="1" s="1"/>
  <c r="K43" i="1"/>
  <c r="M43" i="1" s="1"/>
  <c r="O43" i="1" s="1"/>
  <c r="K42" i="1"/>
  <c r="M42" i="1" s="1"/>
  <c r="O42" i="1" s="1"/>
  <c r="K41" i="1"/>
  <c r="M41" i="1" s="1"/>
  <c r="O41" i="1" s="1"/>
  <c r="K40" i="1"/>
  <c r="M40" i="1" s="1"/>
  <c r="O40" i="1" s="1"/>
  <c r="K39" i="1"/>
  <c r="M39" i="1" s="1"/>
  <c r="O39" i="1" s="1"/>
  <c r="K38" i="1"/>
  <c r="M38" i="1" s="1"/>
  <c r="O38" i="1" s="1"/>
  <c r="K37" i="1"/>
  <c r="M37" i="1" s="1"/>
  <c r="O37" i="1" s="1"/>
  <c r="B183" i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7" i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O1058" i="1" l="1"/>
  <c r="K325" i="1" l="1"/>
  <c r="M325" i="1" s="1"/>
  <c r="O325" i="1" s="1"/>
  <c r="K36" i="1"/>
  <c r="M36" i="1" s="1"/>
  <c r="O36" i="1" s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K638" i="1"/>
  <c r="M638" i="1" s="1"/>
  <c r="O638" i="1" s="1"/>
  <c r="K182" i="1"/>
  <c r="M182" i="1" s="1"/>
  <c r="O182" i="1" s="1"/>
  <c r="K470" i="1"/>
  <c r="M470" i="1" s="1"/>
  <c r="O470" i="1" s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66" i="1"/>
  <c r="O86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4" i="1"/>
  <c r="O863" i="1"/>
  <c r="O862" i="1"/>
  <c r="O861" i="1"/>
  <c r="K10" i="1"/>
  <c r="K9" i="1"/>
  <c r="K5" i="1"/>
  <c r="O596" i="1" l="1"/>
  <c r="O1051" i="1"/>
  <c r="M5" i="1"/>
  <c r="O5" i="1" s="1"/>
  <c r="O6" i="1" s="1"/>
  <c r="M9" i="1"/>
  <c r="O9" i="1" s="1"/>
  <c r="M10" i="1"/>
  <c r="O10" i="1" s="1"/>
  <c r="O12" i="1" l="1"/>
</calcChain>
</file>

<file path=xl/sharedStrings.xml><?xml version="1.0" encoding="utf-8"?>
<sst xmlns="http://schemas.openxmlformats.org/spreadsheetml/2006/main" count="6444" uniqueCount="1026">
  <si>
    <t>EXTERNALLY FUNDED</t>
  </si>
  <si>
    <t>NAMES</t>
  </si>
  <si>
    <t>Grade/year</t>
  </si>
  <si>
    <t>Tuition</t>
  </si>
  <si>
    <t>other Fees</t>
  </si>
  <si>
    <t>Miscellaneous</t>
  </si>
  <si>
    <t>Total Fees</t>
  </si>
  <si>
    <t>Amount Subsidy</t>
  </si>
  <si>
    <t>% of subsidy</t>
  </si>
  <si>
    <t>no.of student</t>
  </si>
  <si>
    <t>FSE</t>
  </si>
  <si>
    <t>PAEB</t>
  </si>
  <si>
    <t>G9</t>
  </si>
  <si>
    <t>G7</t>
  </si>
  <si>
    <t>EVS</t>
  </si>
  <si>
    <t>G12</t>
  </si>
  <si>
    <t>UTFI</t>
  </si>
  <si>
    <t>ESC</t>
  </si>
  <si>
    <t>GR. 8</t>
  </si>
  <si>
    <t>GR. 9</t>
  </si>
  <si>
    <t>GR. 10</t>
  </si>
  <si>
    <t>LGU</t>
  </si>
  <si>
    <t>AMOUNT SUBSIDY</t>
  </si>
  <si>
    <t>BSAC 4</t>
  </si>
  <si>
    <t>BSIT 4</t>
  </si>
  <si>
    <t>BSBA 3</t>
  </si>
  <si>
    <t>BSIT 2</t>
  </si>
  <si>
    <t>BSTM 2</t>
  </si>
  <si>
    <t>BSHM 3</t>
  </si>
  <si>
    <t>BSAC 3</t>
  </si>
  <si>
    <t>BSTM 3</t>
  </si>
  <si>
    <t>BSIT 1</t>
  </si>
  <si>
    <t>BSIT 3</t>
  </si>
  <si>
    <t>BSHM 1</t>
  </si>
  <si>
    <t>BSAC 2</t>
  </si>
  <si>
    <t>TCCG</t>
  </si>
  <si>
    <t>BSED 1</t>
  </si>
  <si>
    <t>BSED 2</t>
  </si>
  <si>
    <t>BEED 2</t>
  </si>
  <si>
    <t>G8</t>
  </si>
  <si>
    <t>G11</t>
  </si>
  <si>
    <t>BSBA 1</t>
  </si>
  <si>
    <t>BSBA 2</t>
  </si>
  <si>
    <t>BSTM 1</t>
  </si>
  <si>
    <t>BSHM 2</t>
  </si>
  <si>
    <t>TOTAL</t>
  </si>
  <si>
    <t>G6</t>
  </si>
  <si>
    <t>M.</t>
  </si>
  <si>
    <t>Albia</t>
  </si>
  <si>
    <t>Avila</t>
  </si>
  <si>
    <t>Basañez</t>
  </si>
  <si>
    <t>Carmen</t>
  </si>
  <si>
    <t>Castillo</t>
  </si>
  <si>
    <t>Cinco</t>
  </si>
  <si>
    <t>Daguinotas</t>
  </si>
  <si>
    <t>Fermilan</t>
  </si>
  <si>
    <t>Garcia</t>
  </si>
  <si>
    <t>Garrido</t>
  </si>
  <si>
    <t>Jabagat</t>
  </si>
  <si>
    <t>Jumawan</t>
  </si>
  <si>
    <t>Lim</t>
  </si>
  <si>
    <t>Maraveles</t>
  </si>
  <si>
    <t>Matildo</t>
  </si>
  <si>
    <t>Mechaella</t>
  </si>
  <si>
    <t>Montenegro</t>
  </si>
  <si>
    <t>Montilla</t>
  </si>
  <si>
    <t>Mula</t>
  </si>
  <si>
    <t>Orongan</t>
  </si>
  <si>
    <t>Ortiz</t>
  </si>
  <si>
    <t>Plaza</t>
  </si>
  <si>
    <t>Ramos</t>
  </si>
  <si>
    <t>Samontina</t>
  </si>
  <si>
    <t>Tenio</t>
  </si>
  <si>
    <t>Uy</t>
  </si>
  <si>
    <t>Zaspa</t>
  </si>
  <si>
    <t>Advincula</t>
  </si>
  <si>
    <t>Camposano</t>
  </si>
  <si>
    <t>Castro</t>
  </si>
  <si>
    <t>Cordova</t>
  </si>
  <si>
    <t>Dolaoco</t>
  </si>
  <si>
    <t>Dua</t>
  </si>
  <si>
    <t>Fernandez</t>
  </si>
  <si>
    <t>Flores</t>
  </si>
  <si>
    <t>Inting</t>
  </si>
  <si>
    <t>Lood</t>
  </si>
  <si>
    <t>Adrian</t>
  </si>
  <si>
    <t>Martinez</t>
  </si>
  <si>
    <t>Paler</t>
  </si>
  <si>
    <t>Mike</t>
  </si>
  <si>
    <t>Romano</t>
  </si>
  <si>
    <t>Turla</t>
  </si>
  <si>
    <t>Verano</t>
  </si>
  <si>
    <t>Viduya</t>
  </si>
  <si>
    <t>BASIC EDUCATION</t>
  </si>
  <si>
    <t>DESCRIPTION</t>
  </si>
  <si>
    <t>Calo</t>
  </si>
  <si>
    <t>Carbonilla</t>
  </si>
  <si>
    <t>Ocampo</t>
  </si>
  <si>
    <t>Pendon</t>
  </si>
  <si>
    <t>Redondo</t>
  </si>
  <si>
    <t>Villamor</t>
  </si>
  <si>
    <t>Bantilan</t>
  </si>
  <si>
    <t>Sheila Mae</t>
  </si>
  <si>
    <t>Cortez</t>
  </si>
  <si>
    <t>Labuga</t>
  </si>
  <si>
    <t>Maglinte</t>
  </si>
  <si>
    <t>Angcoy</t>
  </si>
  <si>
    <t>Dain</t>
  </si>
  <si>
    <t>Delos Santos</t>
  </si>
  <si>
    <t>Enad</t>
  </si>
  <si>
    <t>Fajardo</t>
  </si>
  <si>
    <t>Althea</t>
  </si>
  <si>
    <t>Padraque</t>
  </si>
  <si>
    <t>Subaan</t>
  </si>
  <si>
    <t>Gales</t>
  </si>
  <si>
    <t>Monta</t>
  </si>
  <si>
    <t>Pardillo</t>
  </si>
  <si>
    <t>Solis</t>
  </si>
  <si>
    <t>GRADE SCHOOL</t>
  </si>
  <si>
    <t>JUNIOR HIGH SCHOOL</t>
  </si>
  <si>
    <t>G10</t>
  </si>
  <si>
    <t>Y.</t>
  </si>
  <si>
    <t>B.</t>
  </si>
  <si>
    <t>A.</t>
  </si>
  <si>
    <t>P.</t>
  </si>
  <si>
    <t>U.</t>
  </si>
  <si>
    <t>D.</t>
  </si>
  <si>
    <t>C.</t>
  </si>
  <si>
    <t>T.</t>
  </si>
  <si>
    <t>INDIVIDUAL SPONSORSHIP</t>
  </si>
  <si>
    <t>(c/o Ms. Gemma Aguilar)</t>
  </si>
  <si>
    <t>SENIOR HIGH SCHOOL</t>
  </si>
  <si>
    <t>HIGHER EDUCATION DEPARTMENT</t>
  </si>
  <si>
    <t>Cagol</t>
  </si>
  <si>
    <t xml:space="preserve"> Simon Peter C.</t>
  </si>
  <si>
    <t>FIRST TRIMESTER</t>
  </si>
  <si>
    <t>Laboratory Fees</t>
  </si>
  <si>
    <t>SECOND TRIMESTER</t>
  </si>
  <si>
    <t>THIRD TRIMESTER</t>
  </si>
  <si>
    <t xml:space="preserve">ACEVEDO </t>
  </si>
  <si>
    <t>BEED 3</t>
  </si>
  <si>
    <t>Aure</t>
  </si>
  <si>
    <t>Eludo</t>
  </si>
  <si>
    <t>Paborada</t>
  </si>
  <si>
    <t>Penande</t>
  </si>
  <si>
    <t>Sarsonas</t>
  </si>
  <si>
    <t>Tubo</t>
  </si>
  <si>
    <t>Usares</t>
  </si>
  <si>
    <t xml:space="preserve"> Ashley Joy Mari C.</t>
  </si>
  <si>
    <t xml:space="preserve"> Mechaella D.</t>
  </si>
  <si>
    <t xml:space="preserve"> Karyl R.</t>
  </si>
  <si>
    <t xml:space="preserve"> Esmeralda Smith A.</t>
  </si>
  <si>
    <t xml:space="preserve"> Chiena A.</t>
  </si>
  <si>
    <t xml:space="preserve"> Brylle R.</t>
  </si>
  <si>
    <t xml:space="preserve"> Mitsi Mae T.</t>
  </si>
  <si>
    <t xml:space="preserve"> Sahara Nova C.</t>
  </si>
  <si>
    <t xml:space="preserve"> Katrina B.</t>
  </si>
  <si>
    <t xml:space="preserve"> Michellie N.</t>
  </si>
  <si>
    <t>Pansangan</t>
  </si>
  <si>
    <t>BSCS 2</t>
  </si>
  <si>
    <t>Alberio</t>
  </si>
  <si>
    <t>Amoncio</t>
  </si>
  <si>
    <t>Arnoza</t>
  </si>
  <si>
    <t>Baylosis</t>
  </si>
  <si>
    <t>Delfin</t>
  </si>
  <si>
    <t>Guro</t>
  </si>
  <si>
    <t>Lawas</t>
  </si>
  <si>
    <t>Llorado</t>
  </si>
  <si>
    <t>Lumacang</t>
  </si>
  <si>
    <t>Melocotones</t>
  </si>
  <si>
    <t>Nahial</t>
  </si>
  <si>
    <t>Orillaneda</t>
  </si>
  <si>
    <t>Ortega</t>
  </si>
  <si>
    <t>Otom</t>
  </si>
  <si>
    <t>Otugay</t>
  </si>
  <si>
    <t>Padilla</t>
  </si>
  <si>
    <t>Patosa</t>
  </si>
  <si>
    <t>Quiǹo</t>
  </si>
  <si>
    <t>Santillanes</t>
  </si>
  <si>
    <t>Vocal</t>
  </si>
  <si>
    <t xml:space="preserve"> Princess Shayne</t>
  </si>
  <si>
    <t xml:space="preserve"> Allison</t>
  </si>
  <si>
    <t xml:space="preserve"> Andrea Claire</t>
  </si>
  <si>
    <t xml:space="preserve"> Precious Laika </t>
  </si>
  <si>
    <t xml:space="preserve"> Capie Jean</t>
  </si>
  <si>
    <t xml:space="preserve"> Heart</t>
  </si>
  <si>
    <t>V.</t>
  </si>
  <si>
    <t>O.</t>
  </si>
  <si>
    <t>H.</t>
  </si>
  <si>
    <t>L.</t>
  </si>
  <si>
    <t>E.</t>
  </si>
  <si>
    <t>G.</t>
  </si>
  <si>
    <t>S.</t>
  </si>
  <si>
    <t xml:space="preserve"> John Lloyd</t>
  </si>
  <si>
    <t xml:space="preserve"> Sheila Mae</t>
  </si>
  <si>
    <t xml:space="preserve"> Franz Ezra</t>
  </si>
  <si>
    <t xml:space="preserve"> Haydee</t>
  </si>
  <si>
    <t xml:space="preserve"> Felgrace</t>
  </si>
  <si>
    <t xml:space="preserve"> Renjie</t>
  </si>
  <si>
    <t xml:space="preserve"> Tresha</t>
  </si>
  <si>
    <t xml:space="preserve"> Fatina</t>
  </si>
  <si>
    <t xml:space="preserve"> Kristill Mae</t>
  </si>
  <si>
    <t xml:space="preserve"> Niki Mae</t>
  </si>
  <si>
    <t xml:space="preserve"> Israel</t>
  </si>
  <si>
    <t xml:space="preserve"> Angel</t>
  </si>
  <si>
    <t xml:space="preserve"> Donavie</t>
  </si>
  <si>
    <t xml:space="preserve"> Kristyl Ivy</t>
  </si>
  <si>
    <t xml:space="preserve"> Adrian</t>
  </si>
  <si>
    <t xml:space="preserve"> Ramelyn</t>
  </si>
  <si>
    <t xml:space="preserve"> Jechel</t>
  </si>
  <si>
    <t xml:space="preserve"> Angela</t>
  </si>
  <si>
    <t xml:space="preserve"> Jovelyn</t>
  </si>
  <si>
    <t xml:space="preserve">BSTM 3 </t>
  </si>
  <si>
    <t>BEED 1</t>
  </si>
  <si>
    <t>BSHR 1</t>
  </si>
  <si>
    <t>PN 2</t>
  </si>
  <si>
    <t>BSED 3</t>
  </si>
  <si>
    <t>BSA 4</t>
  </si>
  <si>
    <t>Alicante</t>
  </si>
  <si>
    <t>Aniana</t>
  </si>
  <si>
    <t>Anud</t>
  </si>
  <si>
    <t>Apa</t>
  </si>
  <si>
    <t>Asotique</t>
  </si>
  <si>
    <t>Atok</t>
  </si>
  <si>
    <t>Badilla</t>
  </si>
  <si>
    <t>Bagaloyos</t>
  </si>
  <si>
    <t>Balong</t>
  </si>
  <si>
    <t>Bea</t>
  </si>
  <si>
    <t>Bendigo</t>
  </si>
  <si>
    <t>Caluban</t>
  </si>
  <si>
    <t>Conde</t>
  </si>
  <si>
    <t>Cuanan</t>
  </si>
  <si>
    <t>Damaso</t>
  </si>
  <si>
    <t>Danias</t>
  </si>
  <si>
    <t>Degorio</t>
  </si>
  <si>
    <t>Dela Rama</t>
  </si>
  <si>
    <t>Duena</t>
  </si>
  <si>
    <t>Gapor</t>
  </si>
  <si>
    <t>Guiwan</t>
  </si>
  <si>
    <t>Gupid</t>
  </si>
  <si>
    <t>Havana</t>
  </si>
  <si>
    <t>Lacuna</t>
  </si>
  <si>
    <t>Lara</t>
  </si>
  <si>
    <t>Loreto</t>
  </si>
  <si>
    <t>Macula</t>
  </si>
  <si>
    <t>Magallanes</t>
  </si>
  <si>
    <t>Mate</t>
  </si>
  <si>
    <t>Montecalvo</t>
  </si>
  <si>
    <t>Ocleasa</t>
  </si>
  <si>
    <t>Pabelonia</t>
  </si>
  <si>
    <t>Paglinawan</t>
  </si>
  <si>
    <t>Petin</t>
  </si>
  <si>
    <t>Polina</t>
  </si>
  <si>
    <t>Redolosa</t>
  </si>
  <si>
    <t>Rendon</t>
  </si>
  <si>
    <t>Samas</t>
  </si>
  <si>
    <t>Saure</t>
  </si>
  <si>
    <t>Soquite</t>
  </si>
  <si>
    <t>Sumiguin</t>
  </si>
  <si>
    <t>Sumile</t>
  </si>
  <si>
    <t>Sy</t>
  </si>
  <si>
    <t>Talatagod</t>
  </si>
  <si>
    <t>Tarre</t>
  </si>
  <si>
    <t>Tiro</t>
  </si>
  <si>
    <t>Toledo</t>
  </si>
  <si>
    <t>Tomalon</t>
  </si>
  <si>
    <t>Villezon</t>
  </si>
  <si>
    <t xml:space="preserve"> Aline Mae</t>
  </si>
  <si>
    <t>R.</t>
  </si>
  <si>
    <t>N.</t>
  </si>
  <si>
    <t xml:space="preserve"> Sheryn Mae</t>
  </si>
  <si>
    <t xml:space="preserve"> Kristine</t>
  </si>
  <si>
    <t xml:space="preserve"> Ayisha Kate</t>
  </si>
  <si>
    <t xml:space="preserve"> Jayenne </t>
  </si>
  <si>
    <t xml:space="preserve"> Mica</t>
  </si>
  <si>
    <t xml:space="preserve"> Trisha Mae</t>
  </si>
  <si>
    <t xml:space="preserve"> Yesha Faith Dominic</t>
  </si>
  <si>
    <t xml:space="preserve"> Princess Khea</t>
  </si>
  <si>
    <t xml:space="preserve"> Princess Jhomacha</t>
  </si>
  <si>
    <t xml:space="preserve"> Stephanie Rose</t>
  </si>
  <si>
    <t xml:space="preserve"> Renniel </t>
  </si>
  <si>
    <t xml:space="preserve"> Carlos Miguel</t>
  </si>
  <si>
    <t xml:space="preserve"> Richilyn</t>
  </si>
  <si>
    <t xml:space="preserve"> Shairine Ashley</t>
  </si>
  <si>
    <t xml:space="preserve"> Ella Magne</t>
  </si>
  <si>
    <t xml:space="preserve"> Gerville</t>
  </si>
  <si>
    <t xml:space="preserve"> Jea</t>
  </si>
  <si>
    <t xml:space="preserve"> Raymart</t>
  </si>
  <si>
    <t xml:space="preserve"> Jonah</t>
  </si>
  <si>
    <t xml:space="preserve"> Alaiza</t>
  </si>
  <si>
    <t xml:space="preserve"> Alyssa Stephen</t>
  </si>
  <si>
    <t xml:space="preserve"> Camille Ann</t>
  </si>
  <si>
    <t xml:space="preserve"> Chen Zhen</t>
  </si>
  <si>
    <t xml:space="preserve"> Charlie</t>
  </si>
  <si>
    <t xml:space="preserve"> Ray Justine</t>
  </si>
  <si>
    <t xml:space="preserve"> Mark Louie</t>
  </si>
  <si>
    <t xml:space="preserve"> Marbelu</t>
  </si>
  <si>
    <t xml:space="preserve"> Karyle Mae</t>
  </si>
  <si>
    <t xml:space="preserve"> Anjelexes</t>
  </si>
  <si>
    <t xml:space="preserve"> Antoniette</t>
  </si>
  <si>
    <t xml:space="preserve"> Devan Dave</t>
  </si>
  <si>
    <t xml:space="preserve"> Jola Mary</t>
  </si>
  <si>
    <t xml:space="preserve"> Margie</t>
  </si>
  <si>
    <t xml:space="preserve"> Magie</t>
  </si>
  <si>
    <t xml:space="preserve"> Rizza</t>
  </si>
  <si>
    <t xml:space="preserve"> Jomil Aisha May</t>
  </si>
  <si>
    <t xml:space="preserve"> Precious Laika</t>
  </si>
  <si>
    <t xml:space="preserve"> Marie Vic</t>
  </si>
  <si>
    <t xml:space="preserve"> Shechina</t>
  </si>
  <si>
    <t xml:space="preserve"> Hyacinth Gleece</t>
  </si>
  <si>
    <t xml:space="preserve"> Zykie</t>
  </si>
  <si>
    <t xml:space="preserve"> Lheezlee Ann</t>
  </si>
  <si>
    <t xml:space="preserve"> Lorie-Mae</t>
  </si>
  <si>
    <t xml:space="preserve"> Kaye Marie</t>
  </si>
  <si>
    <t xml:space="preserve"> Antonio, Jr.</t>
  </si>
  <si>
    <t xml:space="preserve"> Mecaila</t>
  </si>
  <si>
    <t xml:space="preserve"> Kimberly</t>
  </si>
  <si>
    <t xml:space="preserve"> Jizza</t>
  </si>
  <si>
    <t xml:space="preserve"> Jullie Pete</t>
  </si>
  <si>
    <t xml:space="preserve"> Prencess Jane</t>
  </si>
  <si>
    <t xml:space="preserve"> Jillian</t>
  </si>
  <si>
    <t xml:space="preserve"> John Noel</t>
  </si>
  <si>
    <t xml:space="preserve"> Sheena Maureen</t>
  </si>
  <si>
    <t xml:space="preserve"> Venus</t>
  </si>
  <si>
    <t xml:space="preserve"> Melissa Ysabelle</t>
  </si>
  <si>
    <t xml:space="preserve"> Marife</t>
  </si>
  <si>
    <t xml:space="preserve"> Mike</t>
  </si>
  <si>
    <t>BSHR 2</t>
  </si>
  <si>
    <t xml:space="preserve">BSHR 2 </t>
  </si>
  <si>
    <t>BSHR1</t>
  </si>
  <si>
    <t>BSAC 1</t>
  </si>
  <si>
    <t>ALAY NG PROBINSYA</t>
  </si>
  <si>
    <t>BSA 3</t>
  </si>
  <si>
    <t xml:space="preserve">BSIT 2 </t>
  </si>
  <si>
    <t>Acasio</t>
  </si>
  <si>
    <t>Almeria</t>
  </si>
  <si>
    <t>Almucera</t>
  </si>
  <si>
    <t>Alvar</t>
  </si>
  <si>
    <t>Amo</t>
  </si>
  <si>
    <t>Asotigue</t>
  </si>
  <si>
    <t>Balbag</t>
  </si>
  <si>
    <t>Bernadez</t>
  </si>
  <si>
    <t>Berongoy</t>
  </si>
  <si>
    <t>Bonsadan</t>
  </si>
  <si>
    <t>Chio</t>
  </si>
  <si>
    <t>Datwin</t>
  </si>
  <si>
    <t>Egypto</t>
  </si>
  <si>
    <t>Ellarina</t>
  </si>
  <si>
    <t>Endo</t>
  </si>
  <si>
    <t>Erezo</t>
  </si>
  <si>
    <t>Faelnar</t>
  </si>
  <si>
    <t>Galano</t>
  </si>
  <si>
    <t>Mativo</t>
  </si>
  <si>
    <t>Nemiǹo</t>
  </si>
  <si>
    <t>Odares</t>
  </si>
  <si>
    <t>Parajes</t>
  </si>
  <si>
    <t>Potes</t>
  </si>
  <si>
    <t>Salva</t>
  </si>
  <si>
    <t>Samson</t>
  </si>
  <si>
    <t>Soria</t>
  </si>
  <si>
    <t>Taripe</t>
  </si>
  <si>
    <t>Tejero</t>
  </si>
  <si>
    <t>Tolentino</t>
  </si>
  <si>
    <t>Torijas</t>
  </si>
  <si>
    <t>Trapal</t>
  </si>
  <si>
    <t xml:space="preserve"> Fritzie Jeil </t>
  </si>
  <si>
    <t xml:space="preserve"> Marriane Gem</t>
  </si>
  <si>
    <t xml:space="preserve"> Alexan Jane</t>
  </si>
  <si>
    <t xml:space="preserve"> Jefry</t>
  </si>
  <si>
    <t xml:space="preserve"> Ray Alexie</t>
  </si>
  <si>
    <t xml:space="preserve"> Chrizel Jean </t>
  </si>
  <si>
    <t xml:space="preserve"> Grace </t>
  </si>
  <si>
    <t xml:space="preserve"> Angelyn</t>
  </si>
  <si>
    <t xml:space="preserve"> Sheila</t>
  </si>
  <si>
    <t xml:space="preserve"> Ryzza Mae</t>
  </si>
  <si>
    <t xml:space="preserve"> Sesha Arah</t>
  </si>
  <si>
    <t xml:space="preserve"> Vhal Darcy </t>
  </si>
  <si>
    <t xml:space="preserve"> Reizel Fae</t>
  </si>
  <si>
    <t xml:space="preserve"> Irone</t>
  </si>
  <si>
    <t xml:space="preserve"> Clarence</t>
  </si>
  <si>
    <t xml:space="preserve"> Margie Claire</t>
  </si>
  <si>
    <t xml:space="preserve"> Rhuela May</t>
  </si>
  <si>
    <t xml:space="preserve"> Queen Laika</t>
  </si>
  <si>
    <t xml:space="preserve"> Shannah</t>
  </si>
  <si>
    <t xml:space="preserve"> Missy</t>
  </si>
  <si>
    <t xml:space="preserve"> Jazcel</t>
  </si>
  <si>
    <t xml:space="preserve"> Masrl Louie</t>
  </si>
  <si>
    <t xml:space="preserve"> Jean Maica</t>
  </si>
  <si>
    <t xml:space="preserve"> Kyle Daven Chit</t>
  </si>
  <si>
    <t xml:space="preserve"> Godpray</t>
  </si>
  <si>
    <t xml:space="preserve"> Kyle Hannah</t>
  </si>
  <si>
    <t xml:space="preserve"> Nikki</t>
  </si>
  <si>
    <t xml:space="preserve"> Krystyl Ivy</t>
  </si>
  <si>
    <t xml:space="preserve"> Diana Tricia</t>
  </si>
  <si>
    <t xml:space="preserve"> Rueben II</t>
  </si>
  <si>
    <t xml:space="preserve"> Mitsi Mae</t>
  </si>
  <si>
    <t xml:space="preserve"> Troy</t>
  </si>
  <si>
    <t xml:space="preserve"> Julius Vincent</t>
  </si>
  <si>
    <t xml:space="preserve"> Rejean</t>
  </si>
  <si>
    <t xml:space="preserve"> Ara Mae</t>
  </si>
  <si>
    <t xml:space="preserve"> Alyanah Casey</t>
  </si>
  <si>
    <t xml:space="preserve"> Andrian</t>
  </si>
  <si>
    <t xml:space="preserve"> Ivy Grace</t>
  </si>
  <si>
    <t xml:space="preserve"> Maria Theresa</t>
  </si>
  <si>
    <t xml:space="preserve"> Gilbert</t>
  </si>
  <si>
    <t xml:space="preserve"> Aldrin</t>
  </si>
  <si>
    <t xml:space="preserve"> Shaina</t>
  </si>
  <si>
    <t xml:space="preserve"> Dariel</t>
  </si>
  <si>
    <t xml:space="preserve"> Angeline</t>
  </si>
  <si>
    <t xml:space="preserve"> Hannie Marie</t>
  </si>
  <si>
    <t xml:space="preserve"> Freiderhod Jr.</t>
  </si>
  <si>
    <t>THESE STUDENTS ARE UTFI SCHOLARS ALREADY (DELETED FROM LGU)</t>
  </si>
  <si>
    <t xml:space="preserve">STUDENTS WITH ALAY NG PROBINSYA SCHOLARSHIP  (DEDUCTED FROM TUTION IN THE AMOUNT OF P3000)  </t>
  </si>
  <si>
    <t>NOTE:</t>
  </si>
  <si>
    <t xml:space="preserve"> STUDENTS ARE TAKEN OUT IN THE ALAY NG PROBINSYA SCHOLARSHIP</t>
  </si>
  <si>
    <t>TES GRANTEES</t>
  </si>
  <si>
    <t>BATCH 1 FIRST TRIMESTER</t>
  </si>
  <si>
    <t>BSBA 4</t>
  </si>
  <si>
    <t>BSHRM 3</t>
  </si>
  <si>
    <t xml:space="preserve"> Ryan</t>
  </si>
  <si>
    <t xml:space="preserve"> Bebie</t>
  </si>
  <si>
    <t>Opayan</t>
  </si>
  <si>
    <t>ACEVEDO</t>
  </si>
  <si>
    <t>TES</t>
  </si>
  <si>
    <t>CMSP</t>
  </si>
  <si>
    <t>TDP</t>
  </si>
  <si>
    <t>BATCH 1 SECOND TRIMESTER</t>
  </si>
  <si>
    <t>BATCH 13 FIRST TRIMESTER</t>
  </si>
  <si>
    <t>BEED 4</t>
  </si>
  <si>
    <t>BSTM 4</t>
  </si>
  <si>
    <t>Godarido</t>
  </si>
  <si>
    <t>Lape</t>
  </si>
  <si>
    <t>Mendoza</t>
  </si>
  <si>
    <t>Suazo</t>
  </si>
  <si>
    <t xml:space="preserve"> Fretzie Jeil V.</t>
  </si>
  <si>
    <t xml:space="preserve"> Angelina T.</t>
  </si>
  <si>
    <t xml:space="preserve"> Fatima A.</t>
  </si>
  <si>
    <t xml:space="preserve"> Daniela Joyce M.</t>
  </si>
  <si>
    <t xml:space="preserve"> Rowena D. </t>
  </si>
  <si>
    <t xml:space="preserve"> Princess Jean</t>
  </si>
  <si>
    <t xml:space="preserve"> Kristelle Mae T.</t>
  </si>
  <si>
    <t xml:space="preserve"> Maricel B.</t>
  </si>
  <si>
    <t>BATCH 13 SECOND TRIMESTER</t>
  </si>
  <si>
    <t>BATCH 13.1 FIRST TRIMESTER</t>
  </si>
  <si>
    <t>BSHRM 4</t>
  </si>
  <si>
    <t>BSHRM 2</t>
  </si>
  <si>
    <t xml:space="preserve"> Jefry  L.</t>
  </si>
  <si>
    <t xml:space="preserve"> Jayenne C.</t>
  </si>
  <si>
    <t xml:space="preserve"> Ariane B.</t>
  </si>
  <si>
    <t xml:space="preserve"> Carol Joy . </t>
  </si>
  <si>
    <t xml:space="preserve"> Mae Avelien P.</t>
  </si>
  <si>
    <t xml:space="preserve"> Decerin A. </t>
  </si>
  <si>
    <t xml:space="preserve"> Faith Marie L.</t>
  </si>
  <si>
    <t xml:space="preserve"> Hannie C.</t>
  </si>
  <si>
    <t xml:space="preserve"> Hannah Sophia Y.</t>
  </si>
  <si>
    <t xml:space="preserve"> Kristine B.</t>
  </si>
  <si>
    <t xml:space="preserve"> Michelle P.</t>
  </si>
  <si>
    <t xml:space="preserve"> Charmie E.</t>
  </si>
  <si>
    <t xml:space="preserve"> Ronabelle R.</t>
  </si>
  <si>
    <t xml:space="preserve"> Charlie S.</t>
  </si>
  <si>
    <t xml:space="preserve"> Missy A.</t>
  </si>
  <si>
    <t xml:space="preserve"> Jhuvie E.</t>
  </si>
  <si>
    <t xml:space="preserve"> Joshua Daniel F.</t>
  </si>
  <si>
    <t xml:space="preserve"> Irish P.</t>
  </si>
  <si>
    <t xml:space="preserve"> Magie T. </t>
  </si>
  <si>
    <t xml:space="preserve"> Giselle P.</t>
  </si>
  <si>
    <t xml:space="preserve"> Girlie N.</t>
  </si>
  <si>
    <t xml:space="preserve"> Shuetlee Garnet T. </t>
  </si>
  <si>
    <t xml:space="preserve"> Wyomie L.</t>
  </si>
  <si>
    <t xml:space="preserve"> Antonio B.</t>
  </si>
  <si>
    <t xml:space="preserve"> Troy S. </t>
  </si>
  <si>
    <t xml:space="preserve"> Alliah Mae F.</t>
  </si>
  <si>
    <t xml:space="preserve"> Alyssa Mae F.</t>
  </si>
  <si>
    <t xml:space="preserve"> Anna Rose G.</t>
  </si>
  <si>
    <t xml:space="preserve"> Alyanah Casey G.</t>
  </si>
  <si>
    <t xml:space="preserve"> Jayasinth Ann V. </t>
  </si>
  <si>
    <t xml:space="preserve"> Laarni Jane F.</t>
  </si>
  <si>
    <t xml:space="preserve"> Mary Joy B. </t>
  </si>
  <si>
    <t xml:space="preserve"> Maria B.</t>
  </si>
  <si>
    <t>Apolinario</t>
  </si>
  <si>
    <t>Bacolod</t>
  </si>
  <si>
    <t>Camomot</t>
  </si>
  <si>
    <t>Capiolos</t>
  </si>
  <si>
    <t>Cardeño</t>
  </si>
  <si>
    <t>Casinginan</t>
  </si>
  <si>
    <t>Concha</t>
  </si>
  <si>
    <t>Diangco</t>
  </si>
  <si>
    <t>Domogoy</t>
  </si>
  <si>
    <t>Ferolino</t>
  </si>
  <si>
    <t>Hinampas</t>
  </si>
  <si>
    <t>Madalag</t>
  </si>
  <si>
    <t>Mateo</t>
  </si>
  <si>
    <t>Maynagcot</t>
  </si>
  <si>
    <t>Osayas</t>
  </si>
  <si>
    <t>Revilleza</t>
  </si>
  <si>
    <t>Siano</t>
  </si>
  <si>
    <t>Suarez</t>
  </si>
  <si>
    <t>Tampos</t>
  </si>
  <si>
    <t>Tupas</t>
  </si>
  <si>
    <t>Shairine Ashley</t>
  </si>
  <si>
    <t>TOTAL (INDIVIDUAL SPONSORSHIP)</t>
  </si>
  <si>
    <t>TOTAL ACEVEDO</t>
  </si>
  <si>
    <t>TOTAL UTFI</t>
  </si>
  <si>
    <t>TOTAL LGU</t>
  </si>
  <si>
    <t>TOTAL BATCH 1</t>
  </si>
  <si>
    <t>BATCH 1 THIRD TRIMESTER</t>
  </si>
  <si>
    <t>BATCH 13 THIRD TRIMESTER</t>
  </si>
  <si>
    <t>BATCH 13.1 SECOND TRIMESTER</t>
  </si>
  <si>
    <t>BATCH 13.1 THIRD TRIMESTER</t>
  </si>
  <si>
    <t>TOTAL BATCH 13.1</t>
  </si>
  <si>
    <t>BSTM1</t>
  </si>
  <si>
    <t>BSHRM 1</t>
  </si>
  <si>
    <t xml:space="preserve"> Ladylyn  H.</t>
  </si>
  <si>
    <t xml:space="preserve"> Berlin Mae M.</t>
  </si>
  <si>
    <t xml:space="preserve"> Eljhon D.</t>
  </si>
  <si>
    <t xml:space="preserve"> John Lloyd C.</t>
  </si>
  <si>
    <t xml:space="preserve"> Angelene M.</t>
  </si>
  <si>
    <t xml:space="preserve"> Alexan Jane L.</t>
  </si>
  <si>
    <t xml:space="preserve"> Freiderhod L.</t>
  </si>
  <si>
    <t xml:space="preserve"> Paulene A.</t>
  </si>
  <si>
    <t xml:space="preserve"> Harold Keth </t>
  </si>
  <si>
    <t xml:space="preserve"> Crisjan R.</t>
  </si>
  <si>
    <t xml:space="preserve"> Trisha Mae S.</t>
  </si>
  <si>
    <t xml:space="preserve"> Princess Jhomiaca O.</t>
  </si>
  <si>
    <t xml:space="preserve"> Edward A.</t>
  </si>
  <si>
    <t xml:space="preserve"> Mary Josephine H.</t>
  </si>
  <si>
    <t xml:space="preserve"> Renniel Y.</t>
  </si>
  <si>
    <t xml:space="preserve"> Ryan Ralph B.</t>
  </si>
  <si>
    <t xml:space="preserve"> Mae Ann B.</t>
  </si>
  <si>
    <t xml:space="preserve"> Chrizel Jean L.</t>
  </si>
  <si>
    <t xml:space="preserve"> Irish Claire F.</t>
  </si>
  <si>
    <t xml:space="preserve"> Louie John M.</t>
  </si>
  <si>
    <t xml:space="preserve"> John Stephen C.</t>
  </si>
  <si>
    <t xml:space="preserve"> Ana Mae F.</t>
  </si>
  <si>
    <t xml:space="preserve"> Acepher P.</t>
  </si>
  <si>
    <t xml:space="preserve"> Jerlyn M.</t>
  </si>
  <si>
    <t xml:space="preserve"> Gerville S.</t>
  </si>
  <si>
    <t xml:space="preserve"> Jan Dpher G.</t>
  </si>
  <si>
    <t xml:space="preserve"> Michealle Mae R.</t>
  </si>
  <si>
    <t xml:space="preserve"> Jea A.</t>
  </si>
  <si>
    <t xml:space="preserve"> Julian Rob L.</t>
  </si>
  <si>
    <t xml:space="preserve"> Clowe M.</t>
  </si>
  <si>
    <t xml:space="preserve"> Jonah G.</t>
  </si>
  <si>
    <t xml:space="preserve"> Irone E.</t>
  </si>
  <si>
    <t xml:space="preserve"> John Albert E.</t>
  </si>
  <si>
    <t xml:space="preserve"> Abel Angelo P. </t>
  </si>
  <si>
    <t xml:space="preserve"> Jenny R. </t>
  </si>
  <si>
    <t xml:space="preserve"> Saneboy B.</t>
  </si>
  <si>
    <t xml:space="preserve"> Ashly J.</t>
  </si>
  <si>
    <t xml:space="preserve"> Jazcel </t>
  </si>
  <si>
    <t xml:space="preserve"> John Arnold F.</t>
  </si>
  <si>
    <t xml:space="preserve"> Larra Mae C.</t>
  </si>
  <si>
    <t xml:space="preserve"> Odissa </t>
  </si>
  <si>
    <t xml:space="preserve"> Jhon Michael B.</t>
  </si>
  <si>
    <t xml:space="preserve"> Marianita C.</t>
  </si>
  <si>
    <t xml:space="preserve"> James Ivan M.</t>
  </si>
  <si>
    <t xml:space="preserve"> Lorraine Anne G.</t>
  </si>
  <si>
    <t xml:space="preserve"> Nikki Mae H.</t>
  </si>
  <si>
    <t xml:space="preserve"> Krissia Mae C.</t>
  </si>
  <si>
    <t xml:space="preserve"> Kyla T.</t>
  </si>
  <si>
    <t xml:space="preserve"> Aira M.</t>
  </si>
  <si>
    <t xml:space="preserve"> Vincent T.</t>
  </si>
  <si>
    <t xml:space="preserve"> Kyne S.</t>
  </si>
  <si>
    <t xml:space="preserve"> Angel D.</t>
  </si>
  <si>
    <t xml:space="preserve"> Kristyl Ivy T.</t>
  </si>
  <si>
    <t xml:space="preserve"> Shane O.</t>
  </si>
  <si>
    <t xml:space="preserve"> Joella C.</t>
  </si>
  <si>
    <t xml:space="preserve"> Reyjoy D.</t>
  </si>
  <si>
    <t xml:space="preserve"> Anamitche F.</t>
  </si>
  <si>
    <t xml:space="preserve"> Janjezrel B. </t>
  </si>
  <si>
    <t xml:space="preserve"> Mitsi Mae T. </t>
  </si>
  <si>
    <t xml:space="preserve"> Alexandra O. </t>
  </si>
  <si>
    <t xml:space="preserve"> Vince Paul A.</t>
  </si>
  <si>
    <t xml:space="preserve"> Andrea Bonita F. </t>
  </si>
  <si>
    <t xml:space="preserve"> Kurt Rainier A.</t>
  </si>
  <si>
    <t xml:space="preserve"> Christel Joyce A.</t>
  </si>
  <si>
    <t xml:space="preserve"> Andrian D. </t>
  </si>
  <si>
    <t xml:space="preserve"> Ivy Grace D. </t>
  </si>
  <si>
    <t xml:space="preserve"> Jillian P.</t>
  </si>
  <si>
    <t xml:space="preserve"> Israel A.</t>
  </si>
  <si>
    <t xml:space="preserve"> Lorie Mae A.</t>
  </si>
  <si>
    <t xml:space="preserve"> Nicholson D.</t>
  </si>
  <si>
    <t xml:space="preserve"> Diosdado R.</t>
  </si>
  <si>
    <t xml:space="preserve"> Xievel Mae A.</t>
  </si>
  <si>
    <t xml:space="preserve"> Shaina H.</t>
  </si>
  <si>
    <t xml:space="preserve"> Jonavie A.</t>
  </si>
  <si>
    <t xml:space="preserve"> Jean Michelle D.</t>
  </si>
  <si>
    <t xml:space="preserve"> Lyka Mae B.</t>
  </si>
  <si>
    <t xml:space="preserve"> Angeline M.</t>
  </si>
  <si>
    <t xml:space="preserve"> Lilan A.</t>
  </si>
  <si>
    <t xml:space="preserve"> Cherry Mae M.</t>
  </si>
  <si>
    <t xml:space="preserve"> Carl Dave C.</t>
  </si>
  <si>
    <t>Abrahan</t>
  </si>
  <si>
    <t>Adlawan</t>
  </si>
  <si>
    <t>Agorto</t>
  </si>
  <si>
    <t>Alano</t>
  </si>
  <si>
    <t>Alfornon</t>
  </si>
  <si>
    <t xml:space="preserve"> Alvar</t>
  </si>
  <si>
    <t xml:space="preserve"> Areja</t>
  </si>
  <si>
    <t xml:space="preserve"> Asotigue</t>
  </si>
  <si>
    <t xml:space="preserve"> Badilla</t>
  </si>
  <si>
    <t xml:space="preserve"> Balbares</t>
  </si>
  <si>
    <t xml:space="preserve"> Balili</t>
  </si>
  <si>
    <t xml:space="preserve"> Balong</t>
  </si>
  <si>
    <t xml:space="preserve"> Banda</t>
  </si>
  <si>
    <t xml:space="preserve"> Bantilan</t>
  </si>
  <si>
    <t xml:space="preserve"> Bartolazo</t>
  </si>
  <si>
    <t xml:space="preserve"> Basut</t>
  </si>
  <si>
    <t xml:space="preserve"> Bayogbog</t>
  </si>
  <si>
    <t xml:space="preserve"> Berongoy</t>
  </si>
  <si>
    <t xml:space="preserve"> Buban</t>
  </si>
  <si>
    <t xml:space="preserve"> Cabalquinto</t>
  </si>
  <si>
    <t xml:space="preserve"> Carmen</t>
  </si>
  <si>
    <t xml:space="preserve"> Casiro</t>
  </si>
  <si>
    <t xml:space="preserve"> Catayoc</t>
  </si>
  <si>
    <t xml:space="preserve"> Cinco</t>
  </si>
  <si>
    <t xml:space="preserve"> Comanda</t>
  </si>
  <si>
    <t xml:space="preserve"> Costan</t>
  </si>
  <si>
    <t xml:space="preserve"> Cuanan</t>
  </si>
  <si>
    <t xml:space="preserve"> Datwin</t>
  </si>
  <si>
    <t xml:space="preserve"> Decipulo</t>
  </si>
  <si>
    <t xml:space="preserve"> Dela Salde</t>
  </si>
  <si>
    <t xml:space="preserve"> Dormendo</t>
  </si>
  <si>
    <t xml:space="preserve"> Eludo</t>
  </si>
  <si>
    <t xml:space="preserve"> Enricuso</t>
  </si>
  <si>
    <t xml:space="preserve"> Eyac</t>
  </si>
  <si>
    <t xml:space="preserve"> Galano</t>
  </si>
  <si>
    <t xml:space="preserve"> Ganot</t>
  </si>
  <si>
    <t xml:space="preserve"> Gereda</t>
  </si>
  <si>
    <t xml:space="preserve"> Gonzales</t>
  </si>
  <si>
    <t xml:space="preserve"> Iligan</t>
  </si>
  <si>
    <t xml:space="preserve"> Jadman</t>
  </si>
  <si>
    <t xml:space="preserve"> Jumawan</t>
  </si>
  <si>
    <t xml:space="preserve"> Laurente</t>
  </si>
  <si>
    <t xml:space="preserve"> Lumacang</t>
  </si>
  <si>
    <t xml:space="preserve"> Mapula</t>
  </si>
  <si>
    <t xml:space="preserve"> Menendez</t>
  </si>
  <si>
    <t xml:space="preserve"> Milloreda</t>
  </si>
  <si>
    <t xml:space="preserve"> Moreno</t>
  </si>
  <si>
    <t xml:space="preserve"> Novicio</t>
  </si>
  <si>
    <t xml:space="preserve"> Ortega</t>
  </si>
  <si>
    <t xml:space="preserve"> Otugay</t>
  </si>
  <si>
    <t xml:space="preserve"> Patidongan</t>
  </si>
  <si>
    <t xml:space="preserve"> Pejernin</t>
  </si>
  <si>
    <t xml:space="preserve"> Penande</t>
  </si>
  <si>
    <t xml:space="preserve"> Perez</t>
  </si>
  <si>
    <t xml:space="preserve"> Pontillo</t>
  </si>
  <si>
    <t xml:space="preserve"> Quita</t>
  </si>
  <si>
    <t xml:space="preserve"> Ramos</t>
  </si>
  <si>
    <t xml:space="preserve"> Ranario</t>
  </si>
  <si>
    <t xml:space="preserve"> Rein</t>
  </si>
  <si>
    <t xml:space="preserve"> Revilleza</t>
  </si>
  <si>
    <t xml:space="preserve"> Sabordo</t>
  </si>
  <si>
    <t xml:space="preserve"> Serdoncillo</t>
  </si>
  <si>
    <t xml:space="preserve"> Sumiguin</t>
  </si>
  <si>
    <t xml:space="preserve"> Sumile</t>
  </si>
  <si>
    <t xml:space="preserve"> Taba</t>
  </si>
  <si>
    <t xml:space="preserve"> Tair</t>
  </si>
  <si>
    <t xml:space="preserve"> Tapas</t>
  </si>
  <si>
    <t xml:space="preserve"> Tener</t>
  </si>
  <si>
    <t xml:space="preserve"> Tiongco</t>
  </si>
  <si>
    <t xml:space="preserve"> Torijas</t>
  </si>
  <si>
    <t xml:space="preserve"> Torreon</t>
  </si>
  <si>
    <t xml:space="preserve"> Toyogon</t>
  </si>
  <si>
    <t xml:space="preserve"> Trocio</t>
  </si>
  <si>
    <t xml:space="preserve"> Turla</t>
  </si>
  <si>
    <t xml:space="preserve"> Vicente</t>
  </si>
  <si>
    <t xml:space="preserve"> Viduya</t>
  </si>
  <si>
    <t xml:space="preserve"> Villaester</t>
  </si>
  <si>
    <t xml:space="preserve"> Iansel S.</t>
  </si>
  <si>
    <t>BATCH 15 FIRST TRIMESTER</t>
  </si>
  <si>
    <t>BATCH 15 SECOND TRIMESTER</t>
  </si>
  <si>
    <t>BATCH 15 THIRD TRIMESTER</t>
  </si>
  <si>
    <t>TOTAL BATCH 15</t>
  </si>
  <si>
    <t>CMSP FIRST TRIMESTER</t>
  </si>
  <si>
    <t>Marianne Gem D.</t>
  </si>
  <si>
    <t>Princess Khea R.</t>
  </si>
  <si>
    <t>Bayo</t>
  </si>
  <si>
    <t>Jezyl Mae C.</t>
  </si>
  <si>
    <t>Macalos</t>
  </si>
  <si>
    <t>Marjorie A.</t>
  </si>
  <si>
    <t>CMSP SECOND TRIMESTER</t>
  </si>
  <si>
    <t>CMSP THIRD TRIMESTER</t>
  </si>
  <si>
    <t xml:space="preserve">TOTAL CMSP </t>
  </si>
  <si>
    <t>CMSP  FIRST TRIMESTER</t>
  </si>
  <si>
    <t>CMSP  SECOND TRIMESTER</t>
  </si>
  <si>
    <t>CMSP  THIRD TRIMESTER</t>
  </si>
  <si>
    <t>COSCHO FIRST TRIMESTER</t>
  </si>
  <si>
    <t>Consigna</t>
  </si>
  <si>
    <t>Tristan Norvince S.</t>
  </si>
  <si>
    <t>COSCHO SECOND TRIMESTER</t>
  </si>
  <si>
    <t>COSCHO THIRD TRIMESTER</t>
  </si>
  <si>
    <t>TOTAL COSCHO</t>
  </si>
  <si>
    <t>BSHM 4</t>
  </si>
  <si>
    <t xml:space="preserve"> Jan Michael R. </t>
  </si>
  <si>
    <t xml:space="preserve"> Rodney V.</t>
  </si>
  <si>
    <t xml:space="preserve"> Cristina A.</t>
  </si>
  <si>
    <t xml:space="preserve"> Carlos Miguel B.</t>
  </si>
  <si>
    <t xml:space="preserve"> Welson Jame M.</t>
  </si>
  <si>
    <t xml:space="preserve"> Ophelia R.</t>
  </si>
  <si>
    <t xml:space="preserve"> Vivian F.</t>
  </si>
  <si>
    <t xml:space="preserve"> Rein Mercy I.</t>
  </si>
  <si>
    <t xml:space="preserve"> Jean Nikka P.</t>
  </si>
  <si>
    <t xml:space="preserve"> Francis B.</t>
  </si>
  <si>
    <t xml:space="preserve"> Heart B.</t>
  </si>
  <si>
    <t xml:space="preserve"> Maria Theresa A.</t>
  </si>
  <si>
    <t xml:space="preserve"> Melissa Ysabella S.</t>
  </si>
  <si>
    <t>Achacoso</t>
  </si>
  <si>
    <t>Ajang</t>
  </si>
  <si>
    <t>Alalan</t>
  </si>
  <si>
    <t>Balbares</t>
  </si>
  <si>
    <t>Billones</t>
  </si>
  <si>
    <t>Camingue</t>
  </si>
  <si>
    <t>Dama</t>
  </si>
  <si>
    <t>Ganot</t>
  </si>
  <si>
    <t>Libre</t>
  </si>
  <si>
    <t xml:space="preserve"> Chiah Grace O.</t>
  </si>
  <si>
    <t xml:space="preserve"> Keenan Paul B.</t>
  </si>
  <si>
    <t>TULONG DUNONG PROGRAM BATCH 9.1 THIRD TRISEMESTER</t>
  </si>
  <si>
    <t>TULONG DUNONG PROGRAM BATCH 9.1 FIRST TRIMESTER</t>
  </si>
  <si>
    <t>TULONG DUNONG PROGRAM BATCH 9.1 SECOND TRIMESTER</t>
  </si>
  <si>
    <t>TOTAL TULONG DUNONG PROGRAM BATCH 9.1</t>
  </si>
  <si>
    <t xml:space="preserve">Jericho Jr. </t>
  </si>
  <si>
    <t xml:space="preserve">Randy </t>
  </si>
  <si>
    <t xml:space="preserve">Jude Mark </t>
  </si>
  <si>
    <t xml:space="preserve">Rochie </t>
  </si>
  <si>
    <t xml:space="preserve">John Carl </t>
  </si>
  <si>
    <t>Juliana</t>
  </si>
  <si>
    <t>Paul Xyril</t>
  </si>
  <si>
    <t>Ayisha Kate</t>
  </si>
  <si>
    <t>Gellie Jane Marie</t>
  </si>
  <si>
    <t>Cathrina Shane</t>
  </si>
  <si>
    <t>Crystal Jade</t>
  </si>
  <si>
    <t>Arven</t>
  </si>
  <si>
    <t>Trestan Jay</t>
  </si>
  <si>
    <t>Yesha Faith Dominic</t>
  </si>
  <si>
    <t>Leslie Jane</t>
  </si>
  <si>
    <t>Matthew John</t>
  </si>
  <si>
    <t>Messiah John</t>
  </si>
  <si>
    <t>Nikko Renz</t>
  </si>
  <si>
    <t>Ray Alexie</t>
  </si>
  <si>
    <t>Mary Josephine</t>
  </si>
  <si>
    <t>Renniel</t>
  </si>
  <si>
    <t>Ryan Ralph</t>
  </si>
  <si>
    <t>John Harold</t>
  </si>
  <si>
    <t>Chrizel Jean</t>
  </si>
  <si>
    <t>Irish Claire</t>
  </si>
  <si>
    <t>Jhamela</t>
  </si>
  <si>
    <t>Stephen Angelo</t>
  </si>
  <si>
    <t>Jenny</t>
  </si>
  <si>
    <t>Maria Vil</t>
  </si>
  <si>
    <t>Franz Ezra</t>
  </si>
  <si>
    <t>Kristian Paul</t>
  </si>
  <si>
    <t>Achillis Kyle</t>
  </si>
  <si>
    <t>Welson James</t>
  </si>
  <si>
    <t>Joshua Alvin</t>
  </si>
  <si>
    <t>Trisha Claire</t>
  </si>
  <si>
    <t>Kate Allen</t>
  </si>
  <si>
    <t>Aj</t>
  </si>
  <si>
    <t>Shello Mae</t>
  </si>
  <si>
    <t>Queenielyn Joy</t>
  </si>
  <si>
    <t>Krislyn Mea</t>
  </si>
  <si>
    <t>Angelika</t>
  </si>
  <si>
    <t>Felgrace</t>
  </si>
  <si>
    <t>Christian</t>
  </si>
  <si>
    <t>Javier</t>
  </si>
  <si>
    <t>Vhal Darcy</t>
  </si>
  <si>
    <t>John Lloyd</t>
  </si>
  <si>
    <t>Jenilo</t>
  </si>
  <si>
    <t>Zethro</t>
  </si>
  <si>
    <t>Daniela Mariel</t>
  </si>
  <si>
    <t>Rey Marco</t>
  </si>
  <si>
    <t>Alaiza</t>
  </si>
  <si>
    <t>Jomar</t>
  </si>
  <si>
    <t>Chen Zhen</t>
  </si>
  <si>
    <t>Camille Ann</t>
  </si>
  <si>
    <t>Al</t>
  </si>
  <si>
    <t>Lester</t>
  </si>
  <si>
    <t>Renjie</t>
  </si>
  <si>
    <t>Kenneth</t>
  </si>
  <si>
    <t>Justin Timothy</t>
  </si>
  <si>
    <t>Francis Dave</t>
  </si>
  <si>
    <t>Joel Jay</t>
  </si>
  <si>
    <t>Alondra Amor</t>
  </si>
  <si>
    <t>Princess Kiszia</t>
  </si>
  <si>
    <t>Marc Jhun Adrian</t>
  </si>
  <si>
    <t>Charljay</t>
  </si>
  <si>
    <t>Chia</t>
  </si>
  <si>
    <t>Elisame</t>
  </si>
  <si>
    <t>Lance Lowell</t>
  </si>
  <si>
    <t>Margie Claire</t>
  </si>
  <si>
    <t>R. A. Mae Reil</t>
  </si>
  <si>
    <t>Rhuela May</t>
  </si>
  <si>
    <t>Anselmo</t>
  </si>
  <si>
    <t>Janen</t>
  </si>
  <si>
    <t>Summer Sheer</t>
  </si>
  <si>
    <t>Steven Ace</t>
  </si>
  <si>
    <t>Klent Jay</t>
  </si>
  <si>
    <t>Micaella Jean</t>
  </si>
  <si>
    <t>Kate Maureen</t>
  </si>
  <si>
    <t>Necka Niña</t>
  </si>
  <si>
    <t>Honey Jane</t>
  </si>
  <si>
    <t>Nikko</t>
  </si>
  <si>
    <t>Dinis</t>
  </si>
  <si>
    <t>Anika Bella</t>
  </si>
  <si>
    <t>Brillana Sophia</t>
  </si>
  <si>
    <t>Gremel</t>
  </si>
  <si>
    <t>Honeylyn</t>
  </si>
  <si>
    <t>Elisha</t>
  </si>
  <si>
    <t>Lee Christopher</t>
  </si>
  <si>
    <t>Andres</t>
  </si>
  <si>
    <t>Hanna Mae</t>
  </si>
  <si>
    <t>King James</t>
  </si>
  <si>
    <t>Rejie</t>
  </si>
  <si>
    <t>Anjelexes</t>
  </si>
  <si>
    <t>Cheneelee</t>
  </si>
  <si>
    <t>Gregory</t>
  </si>
  <si>
    <t>Devan Dave</t>
  </si>
  <si>
    <t>Nelson</t>
  </si>
  <si>
    <t>Marinel</t>
  </si>
  <si>
    <t>Jennifer Love</t>
  </si>
  <si>
    <t>Kristill Mae</t>
  </si>
  <si>
    <t>Jola Mary</t>
  </si>
  <si>
    <t>Margie</t>
  </si>
  <si>
    <t>Lynagerlie</t>
  </si>
  <si>
    <t>Shekaina</t>
  </si>
  <si>
    <t>Rizza</t>
  </si>
  <si>
    <t>Ruther</t>
  </si>
  <si>
    <t>Christian Jade</t>
  </si>
  <si>
    <t>Claire Jewel</t>
  </si>
  <si>
    <t>Katarina Sophia</t>
  </si>
  <si>
    <t>Mariella</t>
  </si>
  <si>
    <t>Niño</t>
  </si>
  <si>
    <t>Deza May</t>
  </si>
  <si>
    <t>Kent Andrian</t>
  </si>
  <si>
    <t>Messy Marie</t>
  </si>
  <si>
    <t>Desiree</t>
  </si>
  <si>
    <t>Kayla Mae</t>
  </si>
  <si>
    <t>Hanah Joy</t>
  </si>
  <si>
    <t>Kyle Daven Chit</t>
  </si>
  <si>
    <t>Al Francis</t>
  </si>
  <si>
    <t>Marie Vic</t>
  </si>
  <si>
    <t>Matthew Andriel</t>
  </si>
  <si>
    <t>Raygin Mae</t>
  </si>
  <si>
    <t>Hyrie Jhon</t>
  </si>
  <si>
    <t>John Lemuel</t>
  </si>
  <si>
    <t>Ian Cedric</t>
  </si>
  <si>
    <t>Keisha Camille</t>
  </si>
  <si>
    <t>Jan Celestine</t>
  </si>
  <si>
    <t>Dalino</t>
  </si>
  <si>
    <t>Godpray</t>
  </si>
  <si>
    <t>Israel</t>
  </si>
  <si>
    <t>Khimwillam</t>
  </si>
  <si>
    <t>Janille</t>
  </si>
  <si>
    <t>Capie Jean</t>
  </si>
  <si>
    <t>Aldren</t>
  </si>
  <si>
    <t>Josel</t>
  </si>
  <si>
    <t>Zykie</t>
  </si>
  <si>
    <t>Kenth Cedric</t>
  </si>
  <si>
    <t>Kurt Russel</t>
  </si>
  <si>
    <t>Lhezlee Ann</t>
  </si>
  <si>
    <t>Cidnicole</t>
  </si>
  <si>
    <t>Chiena</t>
  </si>
  <si>
    <t>Diana Tricia</t>
  </si>
  <si>
    <t>Klisha Alexa</t>
  </si>
  <si>
    <t>Xyza</t>
  </si>
  <si>
    <t>Jon Mervin</t>
  </si>
  <si>
    <t>Kireeka Niña</t>
  </si>
  <si>
    <t>Renirose</t>
  </si>
  <si>
    <t>Ramelyn</t>
  </si>
  <si>
    <t>Kaye Marie</t>
  </si>
  <si>
    <t>Dinnes</t>
  </si>
  <si>
    <t>Jonaliza</t>
  </si>
  <si>
    <t>Rjay</t>
  </si>
  <si>
    <t>Bhea May</t>
  </si>
  <si>
    <t>Russ Sean Matthew</t>
  </si>
  <si>
    <t>Erik Jhon</t>
  </si>
  <si>
    <t>Dave</t>
  </si>
  <si>
    <t>Fergie</t>
  </si>
  <si>
    <t>Renz</t>
  </si>
  <si>
    <t>Roxan</t>
  </si>
  <si>
    <t>Rogil</t>
  </si>
  <si>
    <t>Kurt Andrie</t>
  </si>
  <si>
    <t>Kean</t>
  </si>
  <si>
    <t>Bethanie</t>
  </si>
  <si>
    <t>James Ryan</t>
  </si>
  <si>
    <t>Juliana Jean</t>
  </si>
  <si>
    <t>Angelica Grace</t>
  </si>
  <si>
    <t>Jereco</t>
  </si>
  <si>
    <t>Sheena Maureen</t>
  </si>
  <si>
    <t>Denmark</t>
  </si>
  <si>
    <t>Kenji</t>
  </si>
  <si>
    <t>Gilbert</t>
  </si>
  <si>
    <t>Kyla Marie</t>
  </si>
  <si>
    <t>Aldrin</t>
  </si>
  <si>
    <t>Marilou</t>
  </si>
  <si>
    <t>Gabriel Byrne</t>
  </si>
  <si>
    <t>Daryl</t>
  </si>
  <si>
    <t>Anjaylou</t>
  </si>
  <si>
    <t>Lady Xiane</t>
  </si>
  <si>
    <t>Vince Rey</t>
  </si>
  <si>
    <t>John Carl</t>
  </si>
  <si>
    <t>Vin Axel</t>
  </si>
  <si>
    <t>Jovelyn</t>
  </si>
  <si>
    <t>Basal</t>
  </si>
  <si>
    <t>Cabillas</t>
  </si>
  <si>
    <t>Demonteverde</t>
  </si>
  <si>
    <t>Gatan</t>
  </si>
  <si>
    <t>Ranario</t>
  </si>
  <si>
    <t>Rom</t>
  </si>
  <si>
    <t>Taborada</t>
  </si>
  <si>
    <t>De La Rama</t>
  </si>
  <si>
    <t>Ungon</t>
  </si>
  <si>
    <t>Federipe</t>
  </si>
  <si>
    <t>Sarsoza</t>
  </si>
  <si>
    <t>Cagorol</t>
  </si>
  <si>
    <t>Mating</t>
  </si>
  <si>
    <t>Roa</t>
  </si>
  <si>
    <t>Cuiman</t>
  </si>
  <si>
    <t>Gomera</t>
  </si>
  <si>
    <t>Alimpoos Jr</t>
  </si>
  <si>
    <t>Muyco</t>
  </si>
  <si>
    <t>Alisasis</t>
  </si>
  <si>
    <t>Balili</t>
  </si>
  <si>
    <t>Belsondra</t>
  </si>
  <si>
    <t>Buling</t>
  </si>
  <si>
    <t>Dacol</t>
  </si>
  <si>
    <t>Deliña</t>
  </si>
  <si>
    <t>Eyo</t>
  </si>
  <si>
    <t>Unabia</t>
  </si>
  <si>
    <t>Agravante</t>
  </si>
  <si>
    <t>Ambus</t>
  </si>
  <si>
    <t>Aparre</t>
  </si>
  <si>
    <t>Arreza</t>
  </si>
  <si>
    <t>Batausa</t>
  </si>
  <si>
    <t>Becira</t>
  </si>
  <si>
    <t>Gaudel</t>
  </si>
  <si>
    <t>Gepolla</t>
  </si>
  <si>
    <t>Hemparo</t>
  </si>
  <si>
    <t>Jardeliza</t>
  </si>
  <si>
    <t>Malijao</t>
  </si>
  <si>
    <t>Misa</t>
  </si>
  <si>
    <t>Rosas</t>
  </si>
  <si>
    <t>Tayko</t>
  </si>
  <si>
    <t>Bangcale</t>
  </si>
  <si>
    <t>Gallardo</t>
  </si>
  <si>
    <t>Gipal</t>
  </si>
  <si>
    <t>Grumo</t>
  </si>
  <si>
    <t>Lauigan</t>
  </si>
  <si>
    <t>Davis</t>
  </si>
  <si>
    <t>Dela Vega</t>
  </si>
  <si>
    <t>Bartolazo</t>
  </si>
  <si>
    <t>Carlon</t>
  </si>
  <si>
    <t>Deguiño</t>
  </si>
  <si>
    <t>Duenas</t>
  </si>
  <si>
    <t>Dulohan</t>
  </si>
  <si>
    <t>Eco</t>
  </si>
  <si>
    <t>Godis</t>
  </si>
  <si>
    <t>Jacinto</t>
  </si>
  <si>
    <t>Jimenez</t>
  </si>
  <si>
    <t>Monzon</t>
  </si>
  <si>
    <t>Olvida</t>
  </si>
  <si>
    <t>Orillo</t>
  </si>
  <si>
    <t>Picasales</t>
  </si>
  <si>
    <t>Silvosa</t>
  </si>
  <si>
    <t>Supremo</t>
  </si>
  <si>
    <t>Suyot</t>
  </si>
  <si>
    <t>Tajale</t>
  </si>
  <si>
    <t>Tandugon</t>
  </si>
  <si>
    <t>Viscara</t>
  </si>
  <si>
    <t>Abrao</t>
  </si>
  <si>
    <t>Bacud</t>
  </si>
  <si>
    <t>Calusayan</t>
  </si>
  <si>
    <t>Montajes</t>
  </si>
  <si>
    <t>Morales</t>
  </si>
  <si>
    <t>Mozo</t>
  </si>
  <si>
    <t>Mundas</t>
  </si>
  <si>
    <t>Pagayanan</t>
  </si>
  <si>
    <t>Sacal</t>
  </si>
  <si>
    <t>Songodanan</t>
  </si>
  <si>
    <t>Teriote</t>
  </si>
  <si>
    <t>Tosing</t>
  </si>
  <si>
    <t>Castro, Jr.</t>
  </si>
  <si>
    <t>Bacaron</t>
  </si>
  <si>
    <t>Claveria</t>
  </si>
  <si>
    <t>Delgado</t>
  </si>
  <si>
    <t>Manangan</t>
  </si>
  <si>
    <t>Pastrano</t>
  </si>
  <si>
    <t>Dumaog</t>
  </si>
  <si>
    <t>Guias</t>
  </si>
  <si>
    <t>Larceña</t>
  </si>
  <si>
    <t>Rebuyas</t>
  </si>
  <si>
    <t>Archeta</t>
  </si>
  <si>
    <t>Astillero</t>
  </si>
  <si>
    <t>Dupay</t>
  </si>
  <si>
    <t>Escalante</t>
  </si>
  <si>
    <t>Estaloza</t>
  </si>
  <si>
    <t>Limana</t>
  </si>
  <si>
    <t>Lumayot</t>
  </si>
  <si>
    <t>Saluper</t>
  </si>
  <si>
    <t>Remedios</t>
  </si>
  <si>
    <t>Malacay</t>
  </si>
  <si>
    <t>Taganas</t>
  </si>
  <si>
    <t>TULONG DUNONG PROGRAM BATCH 3.1 FIRST TRIMESTER</t>
  </si>
  <si>
    <t>TULONG DUNONG PROGRAM BATCH 3.1 SECOND TRIMESTER</t>
  </si>
  <si>
    <t>TULONG DUNONG PROGRAM BATCH 3.1 THIRD TRIMESTER</t>
  </si>
  <si>
    <t>TOTAL TULONG DUNONG PROGRAM BATCH 3.1</t>
  </si>
  <si>
    <t>Sesha Arah C.</t>
  </si>
  <si>
    <t>TULONG DUNONG PROGRAM BATCH 5.1 FIRST TRIMESTER</t>
  </si>
  <si>
    <t>TULONG DUNONG PROGRAM BATCH 5.1 SECOND TRIMESTER</t>
  </si>
  <si>
    <t>TULONG DUNONG PROGRAM BATCH 5.1 THIRD TRIMESTER</t>
  </si>
  <si>
    <t>TOTAL TULONG DUNONG PROGRAM BATCH 5.1</t>
  </si>
  <si>
    <t>TOTAL ALAY NG PROBINSYA</t>
  </si>
  <si>
    <t>TES GRANTEE BATCH 13</t>
  </si>
  <si>
    <t>TES, ALAY</t>
  </si>
  <si>
    <t>SPONSORED</t>
  </si>
  <si>
    <t>MINUS FROM TES</t>
  </si>
  <si>
    <t>BAL FWD FROM TDP</t>
  </si>
  <si>
    <t>BAL FWD FROM TES</t>
  </si>
  <si>
    <t>BAL FWD FROM LGU</t>
  </si>
  <si>
    <t>TOTAL BATCH 13</t>
  </si>
  <si>
    <t>DONE AFTER LGU</t>
  </si>
  <si>
    <t xml:space="preserve">UAQTEA (DIPLOMA PROGRAM) </t>
  </si>
  <si>
    <t xml:space="preserve">  DIPLOMA IN HOSPITALITY SERVICES TECHNOLOGY</t>
  </si>
  <si>
    <t>FIRST SEM</t>
  </si>
  <si>
    <t>SECOND 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</si>
</sst>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 * #,##0.00_ ;_ * \-#,##0.00_ ;_ * &quot;-&quot;??_ ;_ @_ 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0"/>
      <color rgb="FF000000"/>
      <name val="Century Gothic"/>
      <family val="2"/>
    </font>
    <font>
      <sz val="10"/>
      <name val="Century Gothic"/>
      <family val="2"/>
    </font>
    <font>
      <b/>
      <sz val="15"/>
      <color theme="1"/>
      <name val="Century Gothic"/>
      <family val="2"/>
    </font>
    <font>
      <sz val="15"/>
      <color theme="1"/>
      <name val="Century Gothic"/>
      <family val="2"/>
    </font>
    <font>
      <b/>
      <sz val="20"/>
      <color theme="1"/>
      <name val="Century Gothic"/>
      <family val="2"/>
    </font>
    <font>
      <b/>
      <sz val="15"/>
      <color rgb="FF000000"/>
      <name val="Century Gothic"/>
      <family val="2"/>
    </font>
    <font>
      <sz val="11"/>
      <color theme="1"/>
      <name val="Century Gothic"/>
      <family val="2"/>
    </font>
    <font>
      <sz val="9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0" fontId="1" fillId="0" borderId="0"/>
    <xf numFmtId="164" fontId="1" fillId="0" borderId="0" applyFont="0" applyFill="0" applyBorder="0" applyAlignment="0" applyProtection="0">
      <alignment vertical="center"/>
    </xf>
  </cellStyleXfs>
  <cellXfs count="73">
    <xf numFmtId="0" fontId="0" fillId="0" borderId="0" xfId="0"/>
    <xf numFmtId="0" fontId="5" fillId="0" borderId="0" xfId="0" applyFont="1"/>
    <xf numFmtId="43" fontId="5" fillId="0" borderId="0" xfId="1" applyFont="1" applyFill="1" applyBorder="1" applyAlignment="1"/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center"/>
    </xf>
    <xf numFmtId="4" fontId="5" fillId="0" borderId="0" xfId="0" applyNumberFormat="1" applyFont="1"/>
    <xf numFmtId="43" fontId="5" fillId="0" borderId="0" xfId="0" applyNumberFormat="1" applyFont="1"/>
    <xf numFmtId="43" fontId="5" fillId="0" borderId="0" xfId="1" applyFont="1" applyFill="1" applyBorder="1"/>
    <xf numFmtId="43" fontId="5" fillId="0" borderId="0" xfId="0" applyNumberFormat="1" applyFont="1" applyAlignment="1">
      <alignment horizontal="center" vertical="center" wrapText="1"/>
    </xf>
    <xf numFmtId="2" fontId="5" fillId="0" borderId="0" xfId="0" applyNumberFormat="1" applyFont="1" applyAlignment="1">
      <alignment horizontal="center"/>
    </xf>
    <xf numFmtId="0" fontId="9" fillId="0" borderId="0" xfId="0" applyFont="1" applyAlignment="1">
      <alignment horizontal="right"/>
    </xf>
    <xf numFmtId="0" fontId="6" fillId="0" borderId="0" xfId="0" applyFont="1"/>
    <xf numFmtId="0" fontId="6" fillId="2" borderId="0" xfId="0" applyFont="1" applyFill="1" applyAlignment="1">
      <alignment horizontal="right"/>
    </xf>
    <xf numFmtId="0" fontId="6" fillId="2" borderId="0" xfId="0" applyFont="1" applyFill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43" fontId="7" fillId="0" borderId="0" xfId="1" applyFont="1" applyFill="1" applyBorder="1" applyAlignment="1">
      <alignment horizontal="center"/>
    </xf>
    <xf numFmtId="43" fontId="7" fillId="0" borderId="0" xfId="1" applyFont="1" applyFill="1" applyBorder="1" applyAlignment="1"/>
    <xf numFmtId="43" fontId="7" fillId="0" borderId="0" xfId="1" applyFont="1" applyFill="1" applyBorder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43" fontId="5" fillId="0" borderId="0" xfId="0" applyNumberFormat="1" applyFont="1" applyAlignment="1">
      <alignment horizontal="center" wrapText="1"/>
    </xf>
    <xf numFmtId="43" fontId="4" fillId="0" borderId="0" xfId="1" applyFont="1" applyFill="1" applyBorder="1" applyAlignment="1">
      <alignment horizont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justify" vertical="center" wrapText="1"/>
    </xf>
    <xf numFmtId="43" fontId="5" fillId="0" borderId="0" xfId="1" applyFont="1" applyBorder="1"/>
    <xf numFmtId="43" fontId="9" fillId="0" borderId="0" xfId="1" applyFont="1" applyBorder="1" applyAlignment="1">
      <alignment horizontal="right"/>
    </xf>
    <xf numFmtId="43" fontId="5" fillId="0" borderId="0" xfId="1" applyFont="1" applyBorder="1" applyAlignment="1">
      <alignment horizontal="right"/>
    </xf>
    <xf numFmtId="43" fontId="5" fillId="0" borderId="0" xfId="1" applyFont="1" applyBorder="1" applyAlignment="1">
      <alignment horizontal="center" wrapText="1"/>
    </xf>
    <xf numFmtId="0" fontId="11" fillId="2" borderId="0" xfId="0" applyFont="1" applyFill="1"/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43" fontId="5" fillId="0" borderId="0" xfId="1" applyFont="1" applyBorder="1" applyAlignment="1">
      <alignment horizontal="justify" vertical="center" wrapText="1"/>
    </xf>
    <xf numFmtId="0" fontId="7" fillId="5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0" fillId="0" borderId="0" xfId="0" applyFont="1"/>
    <xf numFmtId="0" fontId="5" fillId="6" borderId="0" xfId="0" applyFont="1" applyFill="1"/>
    <xf numFmtId="0" fontId="5" fillId="6" borderId="0" xfId="0" applyFont="1" applyFill="1" applyAlignment="1">
      <alignment horizontal="right"/>
    </xf>
    <xf numFmtId="0" fontId="5" fillId="6" borderId="0" xfId="0" applyFont="1" applyFill="1" applyAlignment="1">
      <alignment horizontal="justify" vertical="center" wrapText="1"/>
    </xf>
    <xf numFmtId="0" fontId="5" fillId="6" borderId="0" xfId="0" applyFont="1" applyFill="1" applyAlignment="1">
      <alignment horizontal="center" vertical="center" wrapText="1"/>
    </xf>
    <xf numFmtId="43" fontId="5" fillId="6" borderId="0" xfId="1" applyFont="1" applyFill="1" applyBorder="1"/>
    <xf numFmtId="43" fontId="5" fillId="6" borderId="0" xfId="0" applyNumberFormat="1" applyFont="1" applyFill="1" applyAlignment="1">
      <alignment horizontal="center" vertical="center" wrapText="1"/>
    </xf>
    <xf numFmtId="0" fontId="5" fillId="6" borderId="0" xfId="0" applyFont="1" applyFill="1" applyAlignment="1">
      <alignment horizontal="center"/>
    </xf>
    <xf numFmtId="2" fontId="5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vertical="top" wrapText="1"/>
    </xf>
    <xf numFmtId="0" fontId="4" fillId="0" borderId="0" xfId="0" applyFont="1" applyAlignment="1">
      <alignment horizontal="justify" vertical="center" wrapText="1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 inden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/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 vertical="center"/>
    </xf>
    <xf numFmtId="0" fontId="7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4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top" wrapText="1"/>
    </xf>
  </cellXfs>
  <cellStyles count="5">
    <cellStyle name="Comma" xfId="1" builtinId="3"/>
    <cellStyle name="Comma 2" xfId="2" xr:uid="{00000000-0005-0000-0000-000001000000}"/>
    <cellStyle name="Comma 3" xfId="4" xr:uid="{00000000-0005-0000-0000-000002000000}"/>
    <cellStyle name="Normal" xfId="0" builtinId="0"/>
    <cellStyle name="Normal 2" xfId="3" xr:uid="{00000000-0005-0000-0000-000005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322</xdr:row>
      <xdr:rowOff>0</xdr:rowOff>
    </xdr:from>
    <xdr:to>
      <xdr:col>6</xdr:col>
      <xdr:colOff>291582</xdr:colOff>
      <xdr:row>322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AC1244B-BBC7-4074-AD35-A03BDA00305F}"/>
            </a:ext>
          </a:extLst>
        </xdr:cNvPr>
        <xdr:cNvCxnSpPr/>
      </xdr:nvCxnSpPr>
      <xdr:spPr>
        <a:xfrm>
          <a:off x="4218214" y="236735128"/>
          <a:ext cx="291582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191276</xdr:colOff>
      <xdr:row>322</xdr:row>
      <xdr:rowOff>181557</xdr:rowOff>
    </xdr:from>
    <xdr:to>
      <xdr:col>6</xdr:col>
      <xdr:colOff>482858</xdr:colOff>
      <xdr:row>322</xdr:row>
      <xdr:rowOff>181557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E897299-326B-4FBB-8280-1F49A2B5B706}"/>
            </a:ext>
          </a:extLst>
        </xdr:cNvPr>
        <xdr:cNvCxnSpPr/>
      </xdr:nvCxnSpPr>
      <xdr:spPr>
        <a:xfrm>
          <a:off x="4409490" y="236916685"/>
          <a:ext cx="291582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174949</xdr:colOff>
      <xdr:row>266</xdr:row>
      <xdr:rowOff>194388</xdr:rowOff>
    </xdr:from>
    <xdr:to>
      <xdr:col>6</xdr:col>
      <xdr:colOff>466531</xdr:colOff>
      <xdr:row>266</xdr:row>
      <xdr:rowOff>194388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79A3C95C-3E3A-4EEB-9F9F-47F2BE550F2F}"/>
            </a:ext>
          </a:extLst>
        </xdr:cNvPr>
        <xdr:cNvCxnSpPr/>
      </xdr:nvCxnSpPr>
      <xdr:spPr>
        <a:xfrm>
          <a:off x="4393163" y="221261862"/>
          <a:ext cx="291582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247</xdr:row>
      <xdr:rowOff>145791</xdr:rowOff>
    </xdr:from>
    <xdr:to>
      <xdr:col>6</xdr:col>
      <xdr:colOff>456812</xdr:colOff>
      <xdr:row>247</xdr:row>
      <xdr:rowOff>145791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DBF5890B-338A-404D-9D05-A9DCD8A0EA53}"/>
            </a:ext>
          </a:extLst>
        </xdr:cNvPr>
        <xdr:cNvCxnSpPr/>
      </xdr:nvCxnSpPr>
      <xdr:spPr>
        <a:xfrm>
          <a:off x="4383444" y="215993954"/>
          <a:ext cx="291582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248</xdr:row>
      <xdr:rowOff>116633</xdr:rowOff>
    </xdr:from>
    <xdr:to>
      <xdr:col>6</xdr:col>
      <xdr:colOff>456812</xdr:colOff>
      <xdr:row>248</xdr:row>
      <xdr:rowOff>116633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3B59770C-8086-4B8B-B65F-5FF9048EC6AF}"/>
            </a:ext>
          </a:extLst>
        </xdr:cNvPr>
        <xdr:cNvCxnSpPr/>
      </xdr:nvCxnSpPr>
      <xdr:spPr>
        <a:xfrm>
          <a:off x="4383444" y="216207781"/>
          <a:ext cx="291582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249</xdr:row>
      <xdr:rowOff>116633</xdr:rowOff>
    </xdr:from>
    <xdr:to>
      <xdr:col>6</xdr:col>
      <xdr:colOff>456812</xdr:colOff>
      <xdr:row>249</xdr:row>
      <xdr:rowOff>116633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6FE0D72-0043-4723-9C54-2847CAF62EE4}"/>
            </a:ext>
          </a:extLst>
        </xdr:cNvPr>
        <xdr:cNvCxnSpPr/>
      </xdr:nvCxnSpPr>
      <xdr:spPr>
        <a:xfrm>
          <a:off x="4383444" y="216450766"/>
          <a:ext cx="291582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184669</xdr:colOff>
      <xdr:row>327</xdr:row>
      <xdr:rowOff>106913</xdr:rowOff>
    </xdr:from>
    <xdr:to>
      <xdr:col>6</xdr:col>
      <xdr:colOff>476251</xdr:colOff>
      <xdr:row>327</xdr:row>
      <xdr:rowOff>106913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24CF54B7-9C89-4E1A-AA8F-EC02C324ACA1}"/>
            </a:ext>
          </a:extLst>
        </xdr:cNvPr>
        <xdr:cNvCxnSpPr/>
      </xdr:nvCxnSpPr>
      <xdr:spPr>
        <a:xfrm>
          <a:off x="4402883" y="238601250"/>
          <a:ext cx="291582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174949</xdr:colOff>
      <xdr:row>325</xdr:row>
      <xdr:rowOff>213826</xdr:rowOff>
    </xdr:from>
    <xdr:to>
      <xdr:col>6</xdr:col>
      <xdr:colOff>466531</xdr:colOff>
      <xdr:row>325</xdr:row>
      <xdr:rowOff>213826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746EA866-38A0-4BED-9011-644628C18CAC}"/>
            </a:ext>
          </a:extLst>
        </xdr:cNvPr>
        <xdr:cNvCxnSpPr/>
      </xdr:nvCxnSpPr>
      <xdr:spPr>
        <a:xfrm>
          <a:off x="4393163" y="237950050"/>
          <a:ext cx="291582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290</xdr:row>
      <xdr:rowOff>116633</xdr:rowOff>
    </xdr:from>
    <xdr:to>
      <xdr:col>6</xdr:col>
      <xdr:colOff>456812</xdr:colOff>
      <xdr:row>290</xdr:row>
      <xdr:rowOff>116633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E976D25E-C62F-4DB8-AAFC-14679D5EEDC3}"/>
            </a:ext>
          </a:extLst>
        </xdr:cNvPr>
        <xdr:cNvCxnSpPr/>
      </xdr:nvCxnSpPr>
      <xdr:spPr>
        <a:xfrm>
          <a:off x="4383444" y="228629159"/>
          <a:ext cx="291582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184669</xdr:colOff>
      <xdr:row>291</xdr:row>
      <xdr:rowOff>97194</xdr:rowOff>
    </xdr:from>
    <xdr:to>
      <xdr:col>6</xdr:col>
      <xdr:colOff>476251</xdr:colOff>
      <xdr:row>291</xdr:row>
      <xdr:rowOff>97194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D939D2CF-68DD-402D-AAF3-38E3847AE258}"/>
            </a:ext>
          </a:extLst>
        </xdr:cNvPr>
        <xdr:cNvCxnSpPr/>
      </xdr:nvCxnSpPr>
      <xdr:spPr>
        <a:xfrm>
          <a:off x="4402883" y="228823546"/>
          <a:ext cx="291582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174949</xdr:colOff>
      <xdr:row>239</xdr:row>
      <xdr:rowOff>97193</xdr:rowOff>
    </xdr:from>
    <xdr:to>
      <xdr:col>6</xdr:col>
      <xdr:colOff>466531</xdr:colOff>
      <xdr:row>239</xdr:row>
      <xdr:rowOff>97193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9EA248D-3033-4753-81B8-D4F6A9F3AC91}"/>
            </a:ext>
          </a:extLst>
        </xdr:cNvPr>
        <xdr:cNvCxnSpPr/>
      </xdr:nvCxnSpPr>
      <xdr:spPr>
        <a:xfrm>
          <a:off x="4393163" y="214118111"/>
          <a:ext cx="291582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155511</xdr:colOff>
      <xdr:row>182</xdr:row>
      <xdr:rowOff>194388</xdr:rowOff>
    </xdr:from>
    <xdr:to>
      <xdr:col>6</xdr:col>
      <xdr:colOff>447093</xdr:colOff>
      <xdr:row>182</xdr:row>
      <xdr:rowOff>194388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708B2B27-EA24-4367-9FFF-A29D2B7F938C}"/>
            </a:ext>
          </a:extLst>
        </xdr:cNvPr>
        <xdr:cNvCxnSpPr/>
      </xdr:nvCxnSpPr>
      <xdr:spPr>
        <a:xfrm>
          <a:off x="4373725" y="198100561"/>
          <a:ext cx="291582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194387</xdr:colOff>
      <xdr:row>243</xdr:row>
      <xdr:rowOff>126352</xdr:rowOff>
    </xdr:from>
    <xdr:to>
      <xdr:col>6</xdr:col>
      <xdr:colOff>485969</xdr:colOff>
      <xdr:row>243</xdr:row>
      <xdr:rowOff>126352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883BDB14-7076-4D47-8AF5-D5A3FAF5796B}"/>
            </a:ext>
          </a:extLst>
        </xdr:cNvPr>
        <xdr:cNvCxnSpPr/>
      </xdr:nvCxnSpPr>
      <xdr:spPr>
        <a:xfrm>
          <a:off x="4412601" y="215158087"/>
          <a:ext cx="291582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245</xdr:row>
      <xdr:rowOff>97193</xdr:rowOff>
    </xdr:from>
    <xdr:to>
      <xdr:col>6</xdr:col>
      <xdr:colOff>456812</xdr:colOff>
      <xdr:row>245</xdr:row>
      <xdr:rowOff>97193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C519860C-6C3C-40C0-B69B-440A0EF57C77}"/>
            </a:ext>
          </a:extLst>
        </xdr:cNvPr>
        <xdr:cNvCxnSpPr/>
      </xdr:nvCxnSpPr>
      <xdr:spPr>
        <a:xfrm>
          <a:off x="4383444" y="215556581"/>
          <a:ext cx="291582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47"/>
  <sheetViews>
    <sheetView tabSelected="1" zoomScale="124" zoomScaleNormal="124" workbookViewId="0">
      <pane xSplit="5" ySplit="4" topLeftCell="F3153" activePane="bottomRight" state="frozen"/>
      <selection pane="topRight" activeCell="F1" sqref="F1"/>
      <selection pane="bottomLeft" activeCell="A4" sqref="A4"/>
      <selection pane="bottomRight" activeCell="C3142" sqref="C3142:D3142"/>
    </sheetView>
  </sheetViews>
  <sheetFormatPr defaultColWidth="9" defaultRowHeight="13.5" customHeight="1"/>
  <cols>
    <col min="1" max="1" width="25.5703125" style="1" customWidth="1"/>
    <col min="2" max="2" width="4.140625" style="33" customWidth="1"/>
    <col min="3" max="3" width="17.5703125" style="1" customWidth="1"/>
    <col min="4" max="4" width="26.42578125" style="1" customWidth="1"/>
    <col min="5" max="5" width="3.5703125" style="1" customWidth="1"/>
    <col min="6" max="6" width="16" style="15" customWidth="1"/>
    <col min="7" max="7" width="11.42578125" style="1" customWidth="1"/>
    <col min="8" max="8" width="12.140625" style="1" customWidth="1"/>
    <col min="9" max="10" width="16" style="1" customWidth="1"/>
    <col min="11" max="11" width="13.85546875" style="7" customWidth="1"/>
    <col min="12" max="12" width="17.42578125" style="36" customWidth="1"/>
    <col min="13" max="13" width="17" style="15" customWidth="1"/>
    <col min="14" max="15" width="15.85546875" style="1" customWidth="1"/>
    <col min="16" max="16384" width="9" style="1"/>
  </cols>
  <sheetData>
    <row r="1" spans="1:15" ht="26.25" customHeight="1">
      <c r="A1" s="40" t="s">
        <v>0</v>
      </c>
      <c r="B1" s="13"/>
      <c r="C1" s="14"/>
      <c r="D1" s="14"/>
      <c r="E1" s="12"/>
    </row>
    <row r="2" spans="1:15" ht="13.5" customHeight="1">
      <c r="A2" s="68" t="s">
        <v>93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</row>
    <row r="3" spans="1:15" ht="13.5" customHeight="1">
      <c r="A3" s="70" t="s">
        <v>118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</row>
    <row r="4" spans="1:15" s="12" customFormat="1" ht="13.5" customHeight="1">
      <c r="A4" s="16" t="s">
        <v>94</v>
      </c>
      <c r="B4" s="69" t="s">
        <v>1</v>
      </c>
      <c r="C4" s="69"/>
      <c r="D4" s="69"/>
      <c r="E4" s="69"/>
      <c r="F4" s="17" t="s">
        <v>2</v>
      </c>
      <c r="G4" s="18" t="s">
        <v>3</v>
      </c>
      <c r="H4" s="18" t="s">
        <v>4</v>
      </c>
      <c r="I4" s="19" t="s">
        <v>5</v>
      </c>
      <c r="J4" s="19" t="s">
        <v>136</v>
      </c>
      <c r="K4" s="19" t="s">
        <v>6</v>
      </c>
      <c r="L4" s="20" t="s">
        <v>7</v>
      </c>
      <c r="M4" s="17" t="s">
        <v>8</v>
      </c>
      <c r="N4" s="21" t="s">
        <v>9</v>
      </c>
      <c r="O4" s="21" t="s">
        <v>10</v>
      </c>
    </row>
    <row r="5" spans="1:15" ht="13.5" customHeight="1">
      <c r="A5" s="12" t="s">
        <v>11</v>
      </c>
      <c r="B5" s="3">
        <v>1</v>
      </c>
      <c r="C5" s="4"/>
      <c r="D5" s="4"/>
      <c r="F5" s="15" t="s">
        <v>46</v>
      </c>
      <c r="G5" s="6">
        <v>20906.37</v>
      </c>
      <c r="H5" s="6">
        <v>3417.98</v>
      </c>
      <c r="I5" s="6">
        <v>10110</v>
      </c>
      <c r="J5" s="6"/>
      <c r="K5" s="7">
        <f>SUM(G5:I5)</f>
        <v>34434.35</v>
      </c>
      <c r="L5" s="8">
        <v>5000</v>
      </c>
      <c r="M5" s="9">
        <f t="shared" ref="M5:M10" si="0">L5/K5</f>
        <v>0.14520384441698478</v>
      </c>
      <c r="N5" s="5">
        <v>1</v>
      </c>
      <c r="O5" s="10">
        <f>N5*M5</f>
        <v>0.14520384441698478</v>
      </c>
    </row>
    <row r="6" spans="1:15" ht="15.95" customHeight="1">
      <c r="A6" s="66" t="s">
        <v>45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22">
        <f>SUM(N5)</f>
        <v>1</v>
      </c>
      <c r="O6" s="23">
        <f>SUM(O5)</f>
        <v>0.14520384441698478</v>
      </c>
    </row>
    <row r="7" spans="1:15" ht="13.5" customHeight="1">
      <c r="B7" s="3"/>
      <c r="C7" s="4"/>
      <c r="D7" s="4"/>
      <c r="G7" s="6"/>
      <c r="H7" s="6"/>
      <c r="I7" s="6"/>
      <c r="J7" s="6"/>
      <c r="L7" s="8"/>
      <c r="M7" s="9"/>
      <c r="N7" s="5"/>
      <c r="O7" s="10"/>
    </row>
    <row r="8" spans="1:15" ht="13.5" customHeight="1">
      <c r="A8" s="70" t="s">
        <v>119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</row>
    <row r="9" spans="1:15" ht="13.5" customHeight="1">
      <c r="A9" s="12" t="s">
        <v>11</v>
      </c>
      <c r="B9" s="3">
        <v>1</v>
      </c>
      <c r="C9" s="4"/>
      <c r="D9" s="4"/>
      <c r="E9" s="4"/>
      <c r="F9" s="15" t="s">
        <v>39</v>
      </c>
      <c r="G9" s="6">
        <v>20906.37</v>
      </c>
      <c r="H9" s="6">
        <v>3417.98</v>
      </c>
      <c r="I9" s="6">
        <v>6080</v>
      </c>
      <c r="J9" s="6"/>
      <c r="K9" s="7">
        <f>SUM(G9:I9)</f>
        <v>30404.35</v>
      </c>
      <c r="L9" s="8">
        <v>5000</v>
      </c>
      <c r="M9" s="9">
        <f t="shared" si="0"/>
        <v>0.16445015269196678</v>
      </c>
      <c r="N9" s="5">
        <v>1</v>
      </c>
      <c r="O9" s="10">
        <f t="shared" ref="O9:O10" si="1">N9*M9</f>
        <v>0.16445015269196678</v>
      </c>
    </row>
    <row r="10" spans="1:15" ht="13.5" customHeight="1">
      <c r="B10" s="3">
        <v>2</v>
      </c>
      <c r="C10" s="4"/>
      <c r="D10" s="4"/>
      <c r="E10" s="4"/>
      <c r="F10" s="15" t="s">
        <v>13</v>
      </c>
      <c r="G10" s="6">
        <f>20906.37-D11</f>
        <v>20906.37</v>
      </c>
      <c r="H10" s="6">
        <v>3417.98</v>
      </c>
      <c r="I10" s="6">
        <v>6830</v>
      </c>
      <c r="J10" s="6"/>
      <c r="K10" s="7">
        <f t="shared" ref="K10" si="2">SUM(G10:I10)</f>
        <v>31154.35</v>
      </c>
      <c r="L10" s="8">
        <v>5000</v>
      </c>
      <c r="M10" s="9">
        <f t="shared" si="0"/>
        <v>0.16049123156156364</v>
      </c>
      <c r="N10" s="5">
        <v>1</v>
      </c>
      <c r="O10" s="10">
        <f t="shared" si="1"/>
        <v>0.16049123156156364</v>
      </c>
    </row>
    <row r="11" spans="1:15" ht="13.5" customHeight="1">
      <c r="B11" s="3"/>
      <c r="C11" s="35"/>
      <c r="D11" s="43"/>
      <c r="E11" s="4"/>
      <c r="G11" s="6"/>
      <c r="H11" s="6"/>
      <c r="I11" s="6"/>
      <c r="J11" s="6"/>
      <c r="L11" s="8"/>
      <c r="M11" s="9"/>
      <c r="N11" s="5"/>
      <c r="O11" s="10"/>
    </row>
    <row r="12" spans="1:15" ht="15.95" customHeight="1">
      <c r="A12" s="66" t="s">
        <v>45</v>
      </c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22">
        <f>SUM(N9:N10)</f>
        <v>2</v>
      </c>
      <c r="O12" s="23">
        <f>SUM(O9:O10)</f>
        <v>0.32494138425353042</v>
      </c>
    </row>
    <row r="13" spans="1:15" ht="15.75" customHeight="1">
      <c r="A13" s="11"/>
      <c r="B13" s="11"/>
      <c r="C13" s="11"/>
      <c r="D13" s="11"/>
      <c r="E13" s="11"/>
      <c r="F13" s="42"/>
      <c r="G13" s="11"/>
      <c r="H13" s="11"/>
      <c r="I13" s="11"/>
      <c r="J13" s="11"/>
      <c r="K13" s="11"/>
      <c r="L13" s="37"/>
      <c r="M13" s="11"/>
      <c r="N13" s="22"/>
      <c r="O13" s="23"/>
    </row>
    <row r="14" spans="1:15" ht="15.95" customHeight="1">
      <c r="A14" s="12" t="s">
        <v>21</v>
      </c>
      <c r="B14" s="33">
        <v>1</v>
      </c>
      <c r="C14" s="25"/>
      <c r="D14" s="25"/>
      <c r="E14" s="25"/>
      <c r="F14" s="15" t="s">
        <v>12</v>
      </c>
      <c r="G14" s="6">
        <v>20906.37</v>
      </c>
      <c r="H14" s="2">
        <v>3417.98</v>
      </c>
      <c r="I14" s="2">
        <v>6080</v>
      </c>
      <c r="J14" s="2"/>
      <c r="K14" s="2">
        <f t="shared" ref="K14:K15" si="3">SUM(G14:I14)</f>
        <v>30404.35</v>
      </c>
      <c r="L14" s="38">
        <v>4000</v>
      </c>
      <c r="M14" s="9">
        <f t="shared" ref="M14" si="4">L14/K14</f>
        <v>0.13156012215357343</v>
      </c>
      <c r="N14" s="5">
        <v>1</v>
      </c>
      <c r="O14" s="10">
        <f t="shared" ref="O14" si="5">N14*M14</f>
        <v>0.13156012215357343</v>
      </c>
    </row>
    <row r="15" spans="1:15" ht="15.95" customHeight="1">
      <c r="A15" s="33"/>
      <c r="B15" s="33">
        <f>+B14+1</f>
        <v>2</v>
      </c>
      <c r="C15" s="35"/>
      <c r="D15" s="35"/>
      <c r="E15" s="35"/>
      <c r="F15" s="15" t="s">
        <v>12</v>
      </c>
      <c r="G15" s="6">
        <v>22816.85</v>
      </c>
      <c r="H15" s="2">
        <v>3417.98</v>
      </c>
      <c r="I15" s="2">
        <v>6080</v>
      </c>
      <c r="J15" s="2"/>
      <c r="K15" s="2">
        <f t="shared" si="3"/>
        <v>32314.829999999998</v>
      </c>
      <c r="L15" s="38">
        <v>4000</v>
      </c>
      <c r="M15" s="9">
        <f t="shared" ref="M15:M33" si="6">L15/K15</f>
        <v>0.12378217679003728</v>
      </c>
      <c r="N15" s="5">
        <v>1</v>
      </c>
      <c r="O15" s="10">
        <f t="shared" ref="O15:O33" si="7">N15*M15</f>
        <v>0.12378217679003728</v>
      </c>
    </row>
    <row r="16" spans="1:15" ht="15.95" customHeight="1">
      <c r="A16" s="33"/>
      <c r="B16" s="33">
        <f t="shared" ref="B16:B33" si="8">+B15+1</f>
        <v>3</v>
      </c>
      <c r="C16" s="35"/>
      <c r="D16" s="35"/>
      <c r="E16" s="35"/>
      <c r="F16" s="15" t="s">
        <v>12</v>
      </c>
      <c r="G16" s="6">
        <v>20906.37</v>
      </c>
      <c r="H16" s="2">
        <v>3417.98</v>
      </c>
      <c r="I16" s="2">
        <v>6080</v>
      </c>
      <c r="J16" s="2"/>
      <c r="K16" s="2">
        <f t="shared" ref="K16:K17" si="9">SUM(G16:I16)</f>
        <v>30404.35</v>
      </c>
      <c r="L16" s="38">
        <v>4000</v>
      </c>
      <c r="M16" s="9">
        <f t="shared" si="6"/>
        <v>0.13156012215357343</v>
      </c>
      <c r="N16" s="5">
        <v>1</v>
      </c>
      <c r="O16" s="10">
        <f t="shared" si="7"/>
        <v>0.13156012215357343</v>
      </c>
    </row>
    <row r="17" spans="1:15" ht="15.95" customHeight="1">
      <c r="A17" s="33"/>
      <c r="B17" s="33">
        <f t="shared" si="8"/>
        <v>4</v>
      </c>
      <c r="C17" s="35"/>
      <c r="D17" s="35"/>
      <c r="E17" s="35"/>
      <c r="F17" s="15" t="s">
        <v>12</v>
      </c>
      <c r="G17" s="6">
        <v>20906.37</v>
      </c>
      <c r="H17" s="2">
        <v>3417.98</v>
      </c>
      <c r="I17" s="2">
        <v>6080</v>
      </c>
      <c r="J17" s="2"/>
      <c r="K17" s="2">
        <f t="shared" si="9"/>
        <v>30404.35</v>
      </c>
      <c r="L17" s="38">
        <v>4000</v>
      </c>
      <c r="M17" s="9">
        <f t="shared" si="6"/>
        <v>0.13156012215357343</v>
      </c>
      <c r="N17" s="5">
        <v>1</v>
      </c>
      <c r="O17" s="10">
        <f t="shared" si="7"/>
        <v>0.13156012215357343</v>
      </c>
    </row>
    <row r="18" spans="1:15" ht="15.95" customHeight="1">
      <c r="A18" s="33"/>
      <c r="B18" s="33">
        <f t="shared" si="8"/>
        <v>5</v>
      </c>
      <c r="C18" s="35"/>
      <c r="D18" s="35"/>
      <c r="E18" s="35"/>
      <c r="F18" s="15" t="s">
        <v>12</v>
      </c>
      <c r="G18" s="6">
        <v>20906.37</v>
      </c>
      <c r="H18" s="2">
        <v>3417.98</v>
      </c>
      <c r="I18" s="2">
        <v>6080</v>
      </c>
      <c r="J18" s="2"/>
      <c r="K18" s="2">
        <f t="shared" ref="K18:K27" si="10">SUM(G18:I18)</f>
        <v>30404.35</v>
      </c>
      <c r="L18" s="38">
        <v>4000</v>
      </c>
      <c r="M18" s="9">
        <f t="shared" si="6"/>
        <v>0.13156012215357343</v>
      </c>
      <c r="N18" s="5">
        <v>1</v>
      </c>
      <c r="O18" s="10">
        <f t="shared" si="7"/>
        <v>0.13156012215357343</v>
      </c>
    </row>
    <row r="19" spans="1:15" ht="15.95" customHeight="1">
      <c r="A19" s="33"/>
      <c r="B19" s="33">
        <f t="shared" si="8"/>
        <v>6</v>
      </c>
      <c r="C19" s="35"/>
      <c r="D19" s="35"/>
      <c r="E19" s="35"/>
      <c r="F19" s="15" t="s">
        <v>12</v>
      </c>
      <c r="G19" s="6">
        <v>20906.37</v>
      </c>
      <c r="H19" s="2">
        <v>3417.98</v>
      </c>
      <c r="I19" s="2">
        <v>6080</v>
      </c>
      <c r="J19" s="2"/>
      <c r="K19" s="2">
        <f t="shared" si="10"/>
        <v>30404.35</v>
      </c>
      <c r="L19" s="38">
        <v>4000</v>
      </c>
      <c r="M19" s="9">
        <f t="shared" si="6"/>
        <v>0.13156012215357343</v>
      </c>
      <c r="N19" s="5">
        <v>1</v>
      </c>
      <c r="O19" s="10">
        <f t="shared" si="7"/>
        <v>0.13156012215357343</v>
      </c>
    </row>
    <row r="20" spans="1:15" ht="15.95" customHeight="1">
      <c r="A20" s="33"/>
      <c r="B20" s="33">
        <f t="shared" si="8"/>
        <v>7</v>
      </c>
      <c r="C20" s="35"/>
      <c r="D20" s="35"/>
      <c r="E20" s="35"/>
      <c r="F20" s="15" t="s">
        <v>12</v>
      </c>
      <c r="G20" s="6">
        <v>20906.37</v>
      </c>
      <c r="H20" s="2">
        <v>3417.98</v>
      </c>
      <c r="I20" s="2">
        <v>6080</v>
      </c>
      <c r="J20" s="2"/>
      <c r="K20" s="2">
        <f t="shared" si="10"/>
        <v>30404.35</v>
      </c>
      <c r="L20" s="38">
        <v>4000</v>
      </c>
      <c r="M20" s="9">
        <f t="shared" si="6"/>
        <v>0.13156012215357343</v>
      </c>
      <c r="N20" s="5">
        <v>1</v>
      </c>
      <c r="O20" s="10">
        <f t="shared" si="7"/>
        <v>0.13156012215357343</v>
      </c>
    </row>
    <row r="21" spans="1:15" ht="15.95" customHeight="1">
      <c r="A21" s="33"/>
      <c r="B21" s="33">
        <f t="shared" si="8"/>
        <v>8</v>
      </c>
      <c r="C21" s="35"/>
      <c r="D21" s="35"/>
      <c r="E21" s="35"/>
      <c r="F21" s="15" t="s">
        <v>12</v>
      </c>
      <c r="G21" s="6">
        <v>22816.85</v>
      </c>
      <c r="H21" s="2">
        <v>3417.98</v>
      </c>
      <c r="I21" s="2">
        <v>6080</v>
      </c>
      <c r="J21" s="2"/>
      <c r="K21" s="2">
        <f t="shared" si="10"/>
        <v>32314.829999999998</v>
      </c>
      <c r="L21" s="38">
        <v>4000</v>
      </c>
      <c r="M21" s="9">
        <f t="shared" si="6"/>
        <v>0.12378217679003728</v>
      </c>
      <c r="N21" s="5">
        <v>1</v>
      </c>
      <c r="O21" s="10">
        <f t="shared" si="7"/>
        <v>0.12378217679003728</v>
      </c>
    </row>
    <row r="22" spans="1:15" ht="15.95" customHeight="1">
      <c r="A22" s="33"/>
      <c r="B22" s="33">
        <f t="shared" si="8"/>
        <v>9</v>
      </c>
      <c r="C22" s="35"/>
      <c r="D22" s="35"/>
      <c r="E22" s="35"/>
      <c r="F22" s="15" t="s">
        <v>12</v>
      </c>
      <c r="G22" s="6">
        <v>20906.37</v>
      </c>
      <c r="H22" s="2">
        <v>3417.98</v>
      </c>
      <c r="I22" s="2">
        <v>6080</v>
      </c>
      <c r="J22" s="2"/>
      <c r="K22" s="2">
        <f t="shared" si="10"/>
        <v>30404.35</v>
      </c>
      <c r="L22" s="38">
        <v>4000</v>
      </c>
      <c r="M22" s="9">
        <f t="shared" si="6"/>
        <v>0.13156012215357343</v>
      </c>
      <c r="N22" s="5">
        <v>1</v>
      </c>
      <c r="O22" s="10">
        <f t="shared" si="7"/>
        <v>0.13156012215357343</v>
      </c>
    </row>
    <row r="23" spans="1:15" ht="15.95" customHeight="1">
      <c r="A23" s="33"/>
      <c r="B23" s="33">
        <f t="shared" si="8"/>
        <v>10</v>
      </c>
      <c r="C23" s="35"/>
      <c r="D23" s="35"/>
      <c r="E23" s="35"/>
      <c r="F23" s="15" t="s">
        <v>12</v>
      </c>
      <c r="G23" s="6">
        <v>20906.37</v>
      </c>
      <c r="H23" s="2">
        <v>3417.98</v>
      </c>
      <c r="I23" s="2">
        <v>6080</v>
      </c>
      <c r="J23" s="2"/>
      <c r="K23" s="2">
        <f t="shared" si="10"/>
        <v>30404.35</v>
      </c>
      <c r="L23" s="38">
        <v>4000</v>
      </c>
      <c r="M23" s="9">
        <f t="shared" si="6"/>
        <v>0.13156012215357343</v>
      </c>
      <c r="N23" s="5">
        <v>1</v>
      </c>
      <c r="O23" s="10">
        <f t="shared" si="7"/>
        <v>0.13156012215357343</v>
      </c>
    </row>
    <row r="24" spans="1:15" ht="15.95" customHeight="1">
      <c r="A24" s="33"/>
      <c r="B24" s="33">
        <f t="shared" si="8"/>
        <v>11</v>
      </c>
      <c r="C24" s="35"/>
      <c r="D24" s="35"/>
      <c r="E24" s="35"/>
      <c r="F24" s="15" t="s">
        <v>12</v>
      </c>
      <c r="G24" s="6">
        <v>20906.37</v>
      </c>
      <c r="H24" s="2">
        <v>3417.98</v>
      </c>
      <c r="I24" s="2">
        <v>6080</v>
      </c>
      <c r="J24" s="2"/>
      <c r="K24" s="2">
        <f t="shared" si="10"/>
        <v>30404.35</v>
      </c>
      <c r="L24" s="38">
        <v>4000</v>
      </c>
      <c r="M24" s="9">
        <f t="shared" si="6"/>
        <v>0.13156012215357343</v>
      </c>
      <c r="N24" s="5">
        <v>1</v>
      </c>
      <c r="O24" s="10">
        <f t="shared" si="7"/>
        <v>0.13156012215357343</v>
      </c>
    </row>
    <row r="25" spans="1:15" ht="15.95" customHeight="1">
      <c r="A25" s="33"/>
      <c r="B25" s="33">
        <f t="shared" si="8"/>
        <v>12</v>
      </c>
      <c r="C25" s="35"/>
      <c r="D25" s="35"/>
      <c r="E25" s="35"/>
      <c r="F25" s="15" t="s">
        <v>12</v>
      </c>
      <c r="G25" s="6">
        <v>20906.37</v>
      </c>
      <c r="H25" s="2">
        <v>3417.98</v>
      </c>
      <c r="I25" s="2">
        <v>6080</v>
      </c>
      <c r="J25" s="2"/>
      <c r="K25" s="2">
        <f t="shared" si="10"/>
        <v>30404.35</v>
      </c>
      <c r="L25" s="38">
        <v>4000</v>
      </c>
      <c r="M25" s="9">
        <f t="shared" si="6"/>
        <v>0.13156012215357343</v>
      </c>
      <c r="N25" s="5">
        <v>1</v>
      </c>
      <c r="O25" s="10">
        <f t="shared" si="7"/>
        <v>0.13156012215357343</v>
      </c>
    </row>
    <row r="26" spans="1:15" ht="15.95" customHeight="1">
      <c r="A26" s="33"/>
      <c r="B26" s="33">
        <f t="shared" si="8"/>
        <v>13</v>
      </c>
      <c r="C26" s="35"/>
      <c r="D26" s="35"/>
      <c r="E26" s="35"/>
      <c r="F26" s="15" t="s">
        <v>12</v>
      </c>
      <c r="G26" s="6">
        <v>20906.37</v>
      </c>
      <c r="H26" s="2">
        <v>3417.98</v>
      </c>
      <c r="I26" s="2">
        <v>6080</v>
      </c>
      <c r="J26" s="2"/>
      <c r="K26" s="2">
        <f t="shared" si="10"/>
        <v>30404.35</v>
      </c>
      <c r="L26" s="38">
        <v>4000</v>
      </c>
      <c r="M26" s="9">
        <f t="shared" si="6"/>
        <v>0.13156012215357343</v>
      </c>
      <c r="N26" s="5">
        <v>1</v>
      </c>
      <c r="O26" s="10">
        <f t="shared" si="7"/>
        <v>0.13156012215357343</v>
      </c>
    </row>
    <row r="27" spans="1:15" ht="15.95" customHeight="1">
      <c r="A27" s="33"/>
      <c r="B27" s="33">
        <f t="shared" si="8"/>
        <v>14</v>
      </c>
      <c r="C27" s="35"/>
      <c r="D27" s="35"/>
      <c r="E27" s="35"/>
      <c r="F27" s="15" t="s">
        <v>12</v>
      </c>
      <c r="G27" s="6">
        <v>20906.37</v>
      </c>
      <c r="H27" s="2">
        <v>3417.98</v>
      </c>
      <c r="I27" s="2">
        <v>6080</v>
      </c>
      <c r="J27" s="2"/>
      <c r="K27" s="2">
        <f t="shared" si="10"/>
        <v>30404.35</v>
      </c>
      <c r="L27" s="38">
        <v>4000</v>
      </c>
      <c r="M27" s="9">
        <f t="shared" si="6"/>
        <v>0.13156012215357343</v>
      </c>
      <c r="N27" s="5">
        <v>1</v>
      </c>
      <c r="O27" s="10">
        <f t="shared" si="7"/>
        <v>0.13156012215357343</v>
      </c>
    </row>
    <row r="28" spans="1:15" ht="15.95" customHeight="1">
      <c r="A28" s="33"/>
      <c r="B28" s="33">
        <f t="shared" si="8"/>
        <v>15</v>
      </c>
      <c r="C28" s="35"/>
      <c r="D28" s="35"/>
      <c r="E28" s="35"/>
      <c r="F28" s="15" t="s">
        <v>12</v>
      </c>
      <c r="G28" s="6">
        <v>20906.37</v>
      </c>
      <c r="H28" s="2">
        <v>3417.98</v>
      </c>
      <c r="I28" s="2">
        <v>6080</v>
      </c>
      <c r="J28" s="2"/>
      <c r="K28" s="2">
        <f t="shared" ref="K28:K33" si="11">SUM(G28:I28)</f>
        <v>30404.35</v>
      </c>
      <c r="L28" s="38">
        <v>4000</v>
      </c>
      <c r="M28" s="9">
        <f t="shared" si="6"/>
        <v>0.13156012215357343</v>
      </c>
      <c r="N28" s="5">
        <v>1</v>
      </c>
      <c r="O28" s="10">
        <f t="shared" si="7"/>
        <v>0.13156012215357343</v>
      </c>
    </row>
    <row r="29" spans="1:15" ht="15.95" customHeight="1">
      <c r="A29" s="33"/>
      <c r="B29" s="33">
        <f t="shared" si="8"/>
        <v>16</v>
      </c>
      <c r="C29" s="35"/>
      <c r="D29" s="35"/>
      <c r="E29" s="35"/>
      <c r="F29" s="15" t="s">
        <v>120</v>
      </c>
      <c r="G29" s="6">
        <v>20906.37</v>
      </c>
      <c r="H29" s="2">
        <v>3417.98</v>
      </c>
      <c r="I29" s="6">
        <v>10530</v>
      </c>
      <c r="J29" s="6"/>
      <c r="K29" s="2">
        <f t="shared" si="11"/>
        <v>34854.35</v>
      </c>
      <c r="L29" s="38">
        <v>4000</v>
      </c>
      <c r="M29" s="9">
        <f t="shared" si="6"/>
        <v>0.1147632935343795</v>
      </c>
      <c r="N29" s="5">
        <v>1</v>
      </c>
      <c r="O29" s="10">
        <f t="shared" si="7"/>
        <v>0.1147632935343795</v>
      </c>
    </row>
    <row r="30" spans="1:15" ht="15.95" customHeight="1">
      <c r="A30" s="33"/>
      <c r="B30" s="33">
        <f t="shared" si="8"/>
        <v>17</v>
      </c>
      <c r="C30" s="35"/>
      <c r="D30" s="35"/>
      <c r="E30" s="35"/>
      <c r="F30" s="15" t="s">
        <v>120</v>
      </c>
      <c r="G30" s="6">
        <v>22816.85</v>
      </c>
      <c r="H30" s="2">
        <v>3417.98</v>
      </c>
      <c r="I30" s="6">
        <v>10530</v>
      </c>
      <c r="J30" s="6"/>
      <c r="K30" s="2">
        <f t="shared" si="11"/>
        <v>36764.83</v>
      </c>
      <c r="L30" s="38">
        <v>4000</v>
      </c>
      <c r="M30" s="9">
        <f t="shared" si="6"/>
        <v>0.10879963269244003</v>
      </c>
      <c r="N30" s="5">
        <v>1</v>
      </c>
      <c r="O30" s="10">
        <f t="shared" si="7"/>
        <v>0.10879963269244003</v>
      </c>
    </row>
    <row r="31" spans="1:15" ht="15.95" customHeight="1">
      <c r="A31" s="33"/>
      <c r="B31" s="33">
        <f t="shared" si="8"/>
        <v>18</v>
      </c>
      <c r="C31" s="35"/>
      <c r="D31" s="35"/>
      <c r="E31" s="35"/>
      <c r="F31" s="15" t="s">
        <v>120</v>
      </c>
      <c r="G31" s="6">
        <v>22816.85</v>
      </c>
      <c r="H31" s="2">
        <v>3417.98</v>
      </c>
      <c r="I31" s="6">
        <v>10530</v>
      </c>
      <c r="J31" s="6"/>
      <c r="K31" s="2">
        <f t="shared" si="11"/>
        <v>36764.83</v>
      </c>
      <c r="L31" s="38">
        <v>4000</v>
      </c>
      <c r="M31" s="9">
        <f t="shared" si="6"/>
        <v>0.10879963269244003</v>
      </c>
      <c r="N31" s="5">
        <v>1</v>
      </c>
      <c r="O31" s="10">
        <f t="shared" si="7"/>
        <v>0.10879963269244003</v>
      </c>
    </row>
    <row r="32" spans="1:15" ht="15.95" customHeight="1">
      <c r="A32" s="33"/>
      <c r="B32" s="33">
        <f t="shared" si="8"/>
        <v>19</v>
      </c>
      <c r="C32" s="35"/>
      <c r="D32" s="35"/>
      <c r="E32" s="35"/>
      <c r="F32" s="15" t="s">
        <v>120</v>
      </c>
      <c r="G32" s="6">
        <v>22816.85</v>
      </c>
      <c r="H32" s="2">
        <v>3417.98</v>
      </c>
      <c r="I32" s="6">
        <v>10530</v>
      </c>
      <c r="J32" s="6"/>
      <c r="K32" s="2">
        <f t="shared" si="11"/>
        <v>36764.83</v>
      </c>
      <c r="L32" s="38">
        <v>4000</v>
      </c>
      <c r="M32" s="9">
        <f t="shared" si="6"/>
        <v>0.10879963269244003</v>
      </c>
      <c r="N32" s="5">
        <v>1</v>
      </c>
      <c r="O32" s="10">
        <f t="shared" si="7"/>
        <v>0.10879963269244003</v>
      </c>
    </row>
    <row r="33" spans="1:15" ht="15.95" customHeight="1">
      <c r="A33" s="33"/>
      <c r="B33" s="33">
        <f t="shared" si="8"/>
        <v>20</v>
      </c>
      <c r="C33" s="35"/>
      <c r="D33" s="35"/>
      <c r="E33" s="35"/>
      <c r="F33" s="15" t="s">
        <v>120</v>
      </c>
      <c r="G33" s="6">
        <v>20906.37</v>
      </c>
      <c r="H33" s="2">
        <v>3417.98</v>
      </c>
      <c r="I33" s="6">
        <v>10530</v>
      </c>
      <c r="J33" s="6"/>
      <c r="K33" s="2">
        <f t="shared" si="11"/>
        <v>34854.35</v>
      </c>
      <c r="L33" s="38">
        <v>4000</v>
      </c>
      <c r="M33" s="9">
        <f t="shared" si="6"/>
        <v>0.1147632935343795</v>
      </c>
      <c r="N33" s="5">
        <v>1</v>
      </c>
      <c r="O33" s="10">
        <f t="shared" si="7"/>
        <v>0.1147632935343795</v>
      </c>
    </row>
    <row r="34" spans="1:15" ht="15.95" customHeight="1">
      <c r="A34" s="66" t="s">
        <v>45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22">
        <f>SUM(N14:N33)</f>
        <v>20</v>
      </c>
      <c r="O34" s="23">
        <f>SUM(O14:O33)</f>
        <v>2.5137714267226081</v>
      </c>
    </row>
    <row r="35" spans="1:15" ht="15.95" customHeight="1">
      <c r="A35" s="11"/>
      <c r="B35" s="11"/>
      <c r="C35" s="11"/>
      <c r="D35" s="11"/>
      <c r="E35" s="11"/>
      <c r="F35" s="42"/>
      <c r="G35" s="11"/>
      <c r="H35" s="11"/>
      <c r="I35" s="11"/>
      <c r="J35" s="11"/>
      <c r="K35" s="11"/>
      <c r="L35" s="37"/>
      <c r="M35" s="11"/>
      <c r="N35" s="22"/>
      <c r="O35" s="23"/>
    </row>
    <row r="36" spans="1:15" ht="13.5" customHeight="1">
      <c r="A36" s="12" t="s">
        <v>17</v>
      </c>
      <c r="B36" s="24">
        <v>1</v>
      </c>
      <c r="C36" s="25"/>
      <c r="D36" s="25"/>
      <c r="E36" s="26"/>
      <c r="F36" s="15" t="s">
        <v>13</v>
      </c>
      <c r="G36" s="6">
        <v>20906.37</v>
      </c>
      <c r="H36" s="28">
        <v>3417.98</v>
      </c>
      <c r="I36" s="28">
        <v>6830</v>
      </c>
      <c r="J36" s="28"/>
      <c r="K36" s="6">
        <f>SUM(G36:I36)</f>
        <v>31154.35</v>
      </c>
      <c r="L36" s="36">
        <v>9000</v>
      </c>
      <c r="M36" s="9">
        <f t="shared" ref="M36" si="12">L36/K36</f>
        <v>0.28888421681081455</v>
      </c>
      <c r="N36" s="5">
        <v>1</v>
      </c>
      <c r="O36" s="10">
        <f t="shared" ref="O36" si="13">N36*M36</f>
        <v>0.28888421681081455</v>
      </c>
    </row>
    <row r="37" spans="1:15" ht="13.5" customHeight="1">
      <c r="B37" s="24">
        <f>1+B36</f>
        <v>2</v>
      </c>
      <c r="C37" s="25"/>
      <c r="D37" s="25"/>
      <c r="E37" s="26"/>
      <c r="F37" s="15" t="s">
        <v>13</v>
      </c>
      <c r="G37" s="6">
        <v>22816.85</v>
      </c>
      <c r="H37" s="28">
        <v>3417.98</v>
      </c>
      <c r="I37" s="28">
        <v>6830</v>
      </c>
      <c r="J37" s="28"/>
      <c r="K37" s="6">
        <f t="shared" ref="K37:K100" si="14">SUM(G37:I37)</f>
        <v>33064.83</v>
      </c>
      <c r="L37" s="36">
        <v>9000</v>
      </c>
      <c r="M37" s="9">
        <f t="shared" ref="M37:M100" si="15">L37/K37</f>
        <v>0.27219253811376015</v>
      </c>
      <c r="N37" s="5">
        <v>1</v>
      </c>
      <c r="O37" s="10">
        <f t="shared" ref="O37:O100" si="16">N37*M37</f>
        <v>0.27219253811376015</v>
      </c>
    </row>
    <row r="38" spans="1:15" ht="13.5" customHeight="1">
      <c r="B38" s="24">
        <f t="shared" ref="B38:B101" si="17">1+B37</f>
        <v>3</v>
      </c>
      <c r="C38" s="25"/>
      <c r="D38" s="25"/>
      <c r="E38" s="26"/>
      <c r="F38" s="15" t="s">
        <v>13</v>
      </c>
      <c r="G38" s="6">
        <v>20906.37</v>
      </c>
      <c r="H38" s="28">
        <v>3417.98</v>
      </c>
      <c r="I38" s="28">
        <v>6830</v>
      </c>
      <c r="J38" s="28"/>
      <c r="K38" s="6">
        <f t="shared" si="14"/>
        <v>31154.35</v>
      </c>
      <c r="L38" s="36">
        <v>9000</v>
      </c>
      <c r="M38" s="9">
        <f t="shared" si="15"/>
        <v>0.28888421681081455</v>
      </c>
      <c r="N38" s="5">
        <v>1</v>
      </c>
      <c r="O38" s="10">
        <f t="shared" si="16"/>
        <v>0.28888421681081455</v>
      </c>
    </row>
    <row r="39" spans="1:15" ht="13.5" customHeight="1">
      <c r="B39" s="24">
        <f t="shared" si="17"/>
        <v>4</v>
      </c>
      <c r="C39" s="25"/>
      <c r="D39" s="25"/>
      <c r="E39" s="26"/>
      <c r="F39" s="15" t="s">
        <v>13</v>
      </c>
      <c r="G39" s="6">
        <v>22816.85</v>
      </c>
      <c r="H39" s="28">
        <v>3417.98</v>
      </c>
      <c r="I39" s="28">
        <v>6830</v>
      </c>
      <c r="J39" s="28"/>
      <c r="K39" s="6">
        <f t="shared" si="14"/>
        <v>33064.83</v>
      </c>
      <c r="L39" s="36">
        <v>9000</v>
      </c>
      <c r="M39" s="9">
        <f t="shared" si="15"/>
        <v>0.27219253811376015</v>
      </c>
      <c r="N39" s="5">
        <v>1</v>
      </c>
      <c r="O39" s="10">
        <f t="shared" si="16"/>
        <v>0.27219253811376015</v>
      </c>
    </row>
    <row r="40" spans="1:15" ht="13.5" customHeight="1">
      <c r="B40" s="24">
        <f t="shared" si="17"/>
        <v>5</v>
      </c>
      <c r="C40" s="25"/>
      <c r="D40" s="25"/>
      <c r="E40" s="26"/>
      <c r="F40" s="15" t="s">
        <v>13</v>
      </c>
      <c r="G40" s="6">
        <v>22816.85</v>
      </c>
      <c r="H40" s="28">
        <v>3417.98</v>
      </c>
      <c r="I40" s="28">
        <v>6830</v>
      </c>
      <c r="J40" s="28"/>
      <c r="K40" s="6">
        <f t="shared" si="14"/>
        <v>33064.83</v>
      </c>
      <c r="L40" s="36">
        <v>9000</v>
      </c>
      <c r="M40" s="9">
        <f t="shared" si="15"/>
        <v>0.27219253811376015</v>
      </c>
      <c r="N40" s="5">
        <v>1</v>
      </c>
      <c r="O40" s="10">
        <f t="shared" si="16"/>
        <v>0.27219253811376015</v>
      </c>
    </row>
    <row r="41" spans="1:15" ht="13.5" customHeight="1">
      <c r="B41" s="24">
        <f t="shared" si="17"/>
        <v>6</v>
      </c>
      <c r="C41" s="25"/>
      <c r="D41" s="25"/>
      <c r="E41" s="26"/>
      <c r="F41" s="15" t="s">
        <v>13</v>
      </c>
      <c r="G41" s="6">
        <v>22816.85</v>
      </c>
      <c r="H41" s="28">
        <v>3417.98</v>
      </c>
      <c r="I41" s="28">
        <v>6830</v>
      </c>
      <c r="J41" s="28"/>
      <c r="K41" s="6">
        <f t="shared" si="14"/>
        <v>33064.83</v>
      </c>
      <c r="L41" s="36">
        <v>9000</v>
      </c>
      <c r="M41" s="9">
        <f t="shared" si="15"/>
        <v>0.27219253811376015</v>
      </c>
      <c r="N41" s="5">
        <v>1</v>
      </c>
      <c r="O41" s="10">
        <f t="shared" si="16"/>
        <v>0.27219253811376015</v>
      </c>
    </row>
    <row r="42" spans="1:15" ht="13.5" customHeight="1">
      <c r="B42" s="24">
        <f t="shared" si="17"/>
        <v>7</v>
      </c>
      <c r="C42" s="25"/>
      <c r="D42" s="25"/>
      <c r="E42" s="26"/>
      <c r="F42" s="15" t="s">
        <v>13</v>
      </c>
      <c r="G42" s="6">
        <v>22816.85</v>
      </c>
      <c r="H42" s="28">
        <v>3417.98</v>
      </c>
      <c r="I42" s="28">
        <v>6830</v>
      </c>
      <c r="J42" s="28"/>
      <c r="K42" s="6">
        <f t="shared" si="14"/>
        <v>33064.83</v>
      </c>
      <c r="L42" s="36">
        <v>9000</v>
      </c>
      <c r="M42" s="9">
        <f t="shared" si="15"/>
        <v>0.27219253811376015</v>
      </c>
      <c r="N42" s="5">
        <v>1</v>
      </c>
      <c r="O42" s="10">
        <f t="shared" si="16"/>
        <v>0.27219253811376015</v>
      </c>
    </row>
    <row r="43" spans="1:15" ht="13.5" customHeight="1">
      <c r="B43" s="24">
        <f t="shared" si="17"/>
        <v>8</v>
      </c>
      <c r="C43" s="25"/>
      <c r="D43" s="25"/>
      <c r="E43" s="26"/>
      <c r="F43" s="15" t="s">
        <v>13</v>
      </c>
      <c r="G43" s="6">
        <v>22816.85</v>
      </c>
      <c r="H43" s="28">
        <v>3417.98</v>
      </c>
      <c r="I43" s="28">
        <v>6830</v>
      </c>
      <c r="J43" s="28"/>
      <c r="K43" s="6">
        <f t="shared" si="14"/>
        <v>33064.83</v>
      </c>
      <c r="L43" s="36">
        <v>9000</v>
      </c>
      <c r="M43" s="9">
        <f t="shared" si="15"/>
        <v>0.27219253811376015</v>
      </c>
      <c r="N43" s="5">
        <v>1</v>
      </c>
      <c r="O43" s="10">
        <f t="shared" si="16"/>
        <v>0.27219253811376015</v>
      </c>
    </row>
    <row r="44" spans="1:15" ht="13.5" customHeight="1">
      <c r="B44" s="24">
        <f t="shared" si="17"/>
        <v>9</v>
      </c>
      <c r="C44" s="25"/>
      <c r="D44" s="25"/>
      <c r="E44" s="26"/>
      <c r="F44" s="15" t="s">
        <v>13</v>
      </c>
      <c r="G44" s="6">
        <v>22816.85</v>
      </c>
      <c r="H44" s="28">
        <v>3417.98</v>
      </c>
      <c r="I44" s="28">
        <v>6830</v>
      </c>
      <c r="J44" s="28"/>
      <c r="K44" s="6">
        <f t="shared" si="14"/>
        <v>33064.83</v>
      </c>
      <c r="L44" s="36">
        <v>9000</v>
      </c>
      <c r="M44" s="9">
        <f t="shared" si="15"/>
        <v>0.27219253811376015</v>
      </c>
      <c r="N44" s="5">
        <v>1</v>
      </c>
      <c r="O44" s="10">
        <f t="shared" si="16"/>
        <v>0.27219253811376015</v>
      </c>
    </row>
    <row r="45" spans="1:15" ht="13.5" customHeight="1">
      <c r="B45" s="24">
        <f t="shared" si="17"/>
        <v>10</v>
      </c>
      <c r="C45" s="25"/>
      <c r="D45" s="25"/>
      <c r="E45" s="29"/>
      <c r="F45" s="15" t="s">
        <v>13</v>
      </c>
      <c r="G45" s="6">
        <v>20906.37</v>
      </c>
      <c r="H45" s="28">
        <v>3417.98</v>
      </c>
      <c r="I45" s="28">
        <v>6830</v>
      </c>
      <c r="J45" s="28"/>
      <c r="K45" s="6">
        <f t="shared" si="14"/>
        <v>31154.35</v>
      </c>
      <c r="L45" s="36">
        <v>9000</v>
      </c>
      <c r="M45" s="9">
        <f t="shared" si="15"/>
        <v>0.28888421681081455</v>
      </c>
      <c r="N45" s="5">
        <v>1</v>
      </c>
      <c r="O45" s="10">
        <f t="shared" si="16"/>
        <v>0.28888421681081455</v>
      </c>
    </row>
    <row r="46" spans="1:15" ht="13.5" customHeight="1">
      <c r="B46" s="24">
        <f t="shared" si="17"/>
        <v>11</v>
      </c>
      <c r="C46" s="25"/>
      <c r="D46" s="25"/>
      <c r="E46" s="26"/>
      <c r="F46" s="15" t="s">
        <v>13</v>
      </c>
      <c r="G46" s="6">
        <v>22816.85</v>
      </c>
      <c r="H46" s="28">
        <v>3417.98</v>
      </c>
      <c r="I46" s="28">
        <v>6830</v>
      </c>
      <c r="J46" s="28"/>
      <c r="K46" s="6">
        <f t="shared" si="14"/>
        <v>33064.83</v>
      </c>
      <c r="L46" s="36">
        <v>9000</v>
      </c>
      <c r="M46" s="9">
        <f t="shared" si="15"/>
        <v>0.27219253811376015</v>
      </c>
      <c r="N46" s="5">
        <v>1</v>
      </c>
      <c r="O46" s="10">
        <f t="shared" si="16"/>
        <v>0.27219253811376015</v>
      </c>
    </row>
    <row r="47" spans="1:15" ht="13.5" customHeight="1">
      <c r="B47" s="24">
        <f t="shared" si="17"/>
        <v>12</v>
      </c>
      <c r="C47" s="25"/>
      <c r="D47" s="25"/>
      <c r="E47" s="26"/>
      <c r="F47" s="15" t="s">
        <v>13</v>
      </c>
      <c r="G47" s="6">
        <v>22816.85</v>
      </c>
      <c r="H47" s="28">
        <v>3417.98</v>
      </c>
      <c r="I47" s="28">
        <v>6830</v>
      </c>
      <c r="J47" s="28"/>
      <c r="K47" s="6">
        <f t="shared" si="14"/>
        <v>33064.83</v>
      </c>
      <c r="L47" s="36">
        <v>9000</v>
      </c>
      <c r="M47" s="9">
        <f t="shared" si="15"/>
        <v>0.27219253811376015</v>
      </c>
      <c r="N47" s="5">
        <v>1</v>
      </c>
      <c r="O47" s="10">
        <f t="shared" si="16"/>
        <v>0.27219253811376015</v>
      </c>
    </row>
    <row r="48" spans="1:15" ht="13.5" customHeight="1">
      <c r="B48" s="24">
        <f t="shared" si="17"/>
        <v>13</v>
      </c>
      <c r="C48" s="25"/>
      <c r="D48" s="25"/>
      <c r="F48" s="15" t="s">
        <v>13</v>
      </c>
      <c r="G48" s="6">
        <v>22816.85</v>
      </c>
      <c r="H48" s="28">
        <v>3417.98</v>
      </c>
      <c r="I48" s="28">
        <v>6830</v>
      </c>
      <c r="J48" s="28"/>
      <c r="K48" s="6">
        <f t="shared" si="14"/>
        <v>33064.83</v>
      </c>
      <c r="L48" s="36">
        <v>9000</v>
      </c>
      <c r="M48" s="9">
        <f t="shared" si="15"/>
        <v>0.27219253811376015</v>
      </c>
      <c r="N48" s="5">
        <v>1</v>
      </c>
      <c r="O48" s="10">
        <f t="shared" si="16"/>
        <v>0.27219253811376015</v>
      </c>
    </row>
    <row r="49" spans="2:15" ht="13.5" customHeight="1">
      <c r="B49" s="24">
        <f t="shared" si="17"/>
        <v>14</v>
      </c>
      <c r="C49" s="25"/>
      <c r="D49" s="25"/>
      <c r="F49" s="15" t="s">
        <v>13</v>
      </c>
      <c r="G49" s="6">
        <v>20906.37</v>
      </c>
      <c r="H49" s="28">
        <v>3417.98</v>
      </c>
      <c r="I49" s="28">
        <v>6830</v>
      </c>
      <c r="J49" s="28"/>
      <c r="K49" s="6">
        <f t="shared" si="14"/>
        <v>31154.35</v>
      </c>
      <c r="L49" s="36">
        <v>9000</v>
      </c>
      <c r="M49" s="9">
        <f t="shared" si="15"/>
        <v>0.28888421681081455</v>
      </c>
      <c r="N49" s="5">
        <v>1</v>
      </c>
      <c r="O49" s="10">
        <f t="shared" si="16"/>
        <v>0.28888421681081455</v>
      </c>
    </row>
    <row r="50" spans="2:15" ht="13.5" customHeight="1">
      <c r="B50" s="24">
        <f t="shared" si="17"/>
        <v>15</v>
      </c>
      <c r="C50" s="25"/>
      <c r="D50" s="25"/>
      <c r="F50" s="15" t="s">
        <v>13</v>
      </c>
      <c r="G50" s="6">
        <v>22816.85</v>
      </c>
      <c r="H50" s="28">
        <v>3417.98</v>
      </c>
      <c r="I50" s="28">
        <v>6830</v>
      </c>
      <c r="J50" s="28"/>
      <c r="K50" s="6">
        <f t="shared" si="14"/>
        <v>33064.83</v>
      </c>
      <c r="L50" s="36">
        <v>9000</v>
      </c>
      <c r="M50" s="9">
        <f t="shared" si="15"/>
        <v>0.27219253811376015</v>
      </c>
      <c r="N50" s="5">
        <v>1</v>
      </c>
      <c r="O50" s="10">
        <f t="shared" si="16"/>
        <v>0.27219253811376015</v>
      </c>
    </row>
    <row r="51" spans="2:15" ht="13.5" customHeight="1">
      <c r="B51" s="24">
        <f t="shared" si="17"/>
        <v>16</v>
      </c>
      <c r="C51" s="25"/>
      <c r="D51" s="25"/>
      <c r="F51" s="15" t="s">
        <v>13</v>
      </c>
      <c r="G51" s="6">
        <v>26000.95</v>
      </c>
      <c r="H51" s="28">
        <v>3417.98</v>
      </c>
      <c r="I51" s="28">
        <v>6830</v>
      </c>
      <c r="J51" s="28"/>
      <c r="K51" s="6">
        <f t="shared" si="14"/>
        <v>36248.93</v>
      </c>
      <c r="L51" s="36">
        <v>9000</v>
      </c>
      <c r="M51" s="9">
        <f t="shared" si="15"/>
        <v>0.24828319070383595</v>
      </c>
      <c r="N51" s="5">
        <v>1</v>
      </c>
      <c r="O51" s="10">
        <f t="shared" si="16"/>
        <v>0.24828319070383595</v>
      </c>
    </row>
    <row r="52" spans="2:15" ht="13.5" customHeight="1">
      <c r="B52" s="24">
        <f t="shared" si="17"/>
        <v>17</v>
      </c>
      <c r="C52" s="25"/>
      <c r="D52" s="25"/>
      <c r="E52" s="26"/>
      <c r="F52" s="15" t="s">
        <v>13</v>
      </c>
      <c r="G52" s="6">
        <v>22816.85</v>
      </c>
      <c r="H52" s="28">
        <v>3417.98</v>
      </c>
      <c r="I52" s="28">
        <v>6830</v>
      </c>
      <c r="J52" s="28"/>
      <c r="K52" s="6">
        <f t="shared" si="14"/>
        <v>33064.83</v>
      </c>
      <c r="L52" s="36">
        <v>9000</v>
      </c>
      <c r="M52" s="9">
        <f t="shared" si="15"/>
        <v>0.27219253811376015</v>
      </c>
      <c r="N52" s="5">
        <v>1</v>
      </c>
      <c r="O52" s="10">
        <f t="shared" si="16"/>
        <v>0.27219253811376015</v>
      </c>
    </row>
    <row r="53" spans="2:15" ht="13.5" customHeight="1">
      <c r="B53" s="24">
        <f t="shared" si="17"/>
        <v>18</v>
      </c>
      <c r="C53" s="25"/>
      <c r="D53" s="25"/>
      <c r="E53" s="26"/>
      <c r="F53" s="30" t="s">
        <v>13</v>
      </c>
      <c r="G53" s="6">
        <v>22816.85</v>
      </c>
      <c r="H53" s="28">
        <v>3417.98</v>
      </c>
      <c r="I53" s="28">
        <v>6830</v>
      </c>
      <c r="J53" s="28"/>
      <c r="K53" s="6">
        <f t="shared" si="14"/>
        <v>33064.83</v>
      </c>
      <c r="L53" s="36">
        <v>9000</v>
      </c>
      <c r="M53" s="9">
        <f t="shared" si="15"/>
        <v>0.27219253811376015</v>
      </c>
      <c r="N53" s="5">
        <v>1</v>
      </c>
      <c r="O53" s="10">
        <f t="shared" si="16"/>
        <v>0.27219253811376015</v>
      </c>
    </row>
    <row r="54" spans="2:15" ht="13.5" customHeight="1">
      <c r="B54" s="24">
        <f t="shared" si="17"/>
        <v>19</v>
      </c>
      <c r="C54" s="25"/>
      <c r="D54" s="25"/>
      <c r="E54" s="26"/>
      <c r="F54" s="30" t="s">
        <v>13</v>
      </c>
      <c r="G54" s="6">
        <v>26000.98</v>
      </c>
      <c r="H54" s="28">
        <v>3417.98</v>
      </c>
      <c r="I54" s="28">
        <v>6830</v>
      </c>
      <c r="J54" s="28"/>
      <c r="K54" s="6">
        <f t="shared" si="14"/>
        <v>36248.959999999999</v>
      </c>
      <c r="L54" s="36">
        <v>9000</v>
      </c>
      <c r="M54" s="9">
        <f t="shared" si="15"/>
        <v>0.24828298522219672</v>
      </c>
      <c r="N54" s="5">
        <v>1</v>
      </c>
      <c r="O54" s="10">
        <f t="shared" si="16"/>
        <v>0.24828298522219672</v>
      </c>
    </row>
    <row r="55" spans="2:15" ht="13.5" customHeight="1">
      <c r="B55" s="24">
        <f t="shared" si="17"/>
        <v>20</v>
      </c>
      <c r="C55" s="25"/>
      <c r="D55" s="25"/>
      <c r="E55" s="26"/>
      <c r="F55" s="30" t="s">
        <v>13</v>
      </c>
      <c r="G55" s="6">
        <v>20906.37</v>
      </c>
      <c r="H55" s="28">
        <v>3417.98</v>
      </c>
      <c r="I55" s="28">
        <v>6830</v>
      </c>
      <c r="J55" s="28"/>
      <c r="K55" s="6">
        <f t="shared" si="14"/>
        <v>31154.35</v>
      </c>
      <c r="L55" s="36">
        <v>9000</v>
      </c>
      <c r="M55" s="9">
        <f t="shared" si="15"/>
        <v>0.28888421681081455</v>
      </c>
      <c r="N55" s="5">
        <v>1</v>
      </c>
      <c r="O55" s="10">
        <f t="shared" si="16"/>
        <v>0.28888421681081455</v>
      </c>
    </row>
    <row r="56" spans="2:15" ht="13.5" customHeight="1">
      <c r="B56" s="24">
        <f t="shared" si="17"/>
        <v>21</v>
      </c>
      <c r="C56" s="25"/>
      <c r="D56" s="25"/>
      <c r="E56" s="26"/>
      <c r="F56" s="30" t="s">
        <v>13</v>
      </c>
      <c r="G56" s="6">
        <v>20906.37</v>
      </c>
      <c r="H56" s="28">
        <v>3417.98</v>
      </c>
      <c r="I56" s="28">
        <v>6830</v>
      </c>
      <c r="J56" s="28"/>
      <c r="K56" s="6">
        <f t="shared" si="14"/>
        <v>31154.35</v>
      </c>
      <c r="L56" s="36">
        <v>9000</v>
      </c>
      <c r="M56" s="9">
        <f t="shared" si="15"/>
        <v>0.28888421681081455</v>
      </c>
      <c r="N56" s="5">
        <v>1</v>
      </c>
      <c r="O56" s="10">
        <f t="shared" si="16"/>
        <v>0.28888421681081455</v>
      </c>
    </row>
    <row r="57" spans="2:15" ht="13.5" customHeight="1">
      <c r="B57" s="24">
        <f t="shared" si="17"/>
        <v>22</v>
      </c>
      <c r="C57" s="25"/>
      <c r="D57" s="25"/>
      <c r="E57" s="26"/>
      <c r="F57" s="30" t="s">
        <v>13</v>
      </c>
      <c r="G57" s="6">
        <v>20906.37</v>
      </c>
      <c r="H57" s="28">
        <v>3417.98</v>
      </c>
      <c r="I57" s="28">
        <v>6830</v>
      </c>
      <c r="J57" s="28"/>
      <c r="K57" s="6">
        <f t="shared" si="14"/>
        <v>31154.35</v>
      </c>
      <c r="L57" s="36">
        <v>9000</v>
      </c>
      <c r="M57" s="9">
        <f t="shared" si="15"/>
        <v>0.28888421681081455</v>
      </c>
      <c r="N57" s="5">
        <v>1</v>
      </c>
      <c r="O57" s="10">
        <f t="shared" si="16"/>
        <v>0.28888421681081455</v>
      </c>
    </row>
    <row r="58" spans="2:15" ht="13.5" customHeight="1">
      <c r="B58" s="24">
        <f t="shared" si="17"/>
        <v>23</v>
      </c>
      <c r="C58" s="25"/>
      <c r="D58" s="25"/>
      <c r="E58" s="26"/>
      <c r="F58" s="30" t="s">
        <v>13</v>
      </c>
      <c r="G58" s="6">
        <v>20906.37</v>
      </c>
      <c r="H58" s="28">
        <v>3417.98</v>
      </c>
      <c r="I58" s="28">
        <v>6830</v>
      </c>
      <c r="J58" s="28"/>
      <c r="K58" s="6">
        <f t="shared" si="14"/>
        <v>31154.35</v>
      </c>
      <c r="L58" s="36">
        <v>9000</v>
      </c>
      <c r="M58" s="9">
        <f t="shared" si="15"/>
        <v>0.28888421681081455</v>
      </c>
      <c r="N58" s="5">
        <v>1</v>
      </c>
      <c r="O58" s="10">
        <f t="shared" si="16"/>
        <v>0.28888421681081455</v>
      </c>
    </row>
    <row r="59" spans="2:15" ht="13.5" customHeight="1">
      <c r="B59" s="24">
        <f t="shared" si="17"/>
        <v>24</v>
      </c>
      <c r="C59" s="25"/>
      <c r="D59" s="25"/>
      <c r="E59" s="26"/>
      <c r="F59" s="30" t="s">
        <v>13</v>
      </c>
      <c r="G59" s="6">
        <v>20906.37</v>
      </c>
      <c r="H59" s="28">
        <v>3417.98</v>
      </c>
      <c r="I59" s="28">
        <v>6830</v>
      </c>
      <c r="J59" s="28"/>
      <c r="K59" s="6">
        <f t="shared" si="14"/>
        <v>31154.35</v>
      </c>
      <c r="L59" s="36">
        <v>9000</v>
      </c>
      <c r="M59" s="9">
        <f t="shared" si="15"/>
        <v>0.28888421681081455</v>
      </c>
      <c r="N59" s="5">
        <v>1</v>
      </c>
      <c r="O59" s="10">
        <f t="shared" si="16"/>
        <v>0.28888421681081455</v>
      </c>
    </row>
    <row r="60" spans="2:15" ht="13.5" customHeight="1">
      <c r="B60" s="24">
        <f t="shared" si="17"/>
        <v>25</v>
      </c>
      <c r="C60" s="25"/>
      <c r="D60" s="25"/>
      <c r="E60" s="26"/>
      <c r="F60" s="30" t="s">
        <v>13</v>
      </c>
      <c r="G60" s="6">
        <v>22816.85</v>
      </c>
      <c r="H60" s="28">
        <v>3417.98</v>
      </c>
      <c r="I60" s="28">
        <v>6830</v>
      </c>
      <c r="J60" s="28"/>
      <c r="K60" s="6">
        <f t="shared" si="14"/>
        <v>33064.83</v>
      </c>
      <c r="L60" s="36">
        <v>9000</v>
      </c>
      <c r="M60" s="9">
        <f t="shared" si="15"/>
        <v>0.27219253811376015</v>
      </c>
      <c r="N60" s="5">
        <v>1</v>
      </c>
      <c r="O60" s="10">
        <f t="shared" si="16"/>
        <v>0.27219253811376015</v>
      </c>
    </row>
    <row r="61" spans="2:15" ht="13.5" customHeight="1">
      <c r="B61" s="24">
        <f t="shared" si="17"/>
        <v>26</v>
      </c>
      <c r="C61" s="25"/>
      <c r="D61" s="25"/>
      <c r="E61" s="26"/>
      <c r="F61" s="30" t="s">
        <v>13</v>
      </c>
      <c r="G61" s="6">
        <v>22816.85</v>
      </c>
      <c r="H61" s="28">
        <v>3417.98</v>
      </c>
      <c r="I61" s="28">
        <v>6830</v>
      </c>
      <c r="J61" s="28"/>
      <c r="K61" s="6">
        <f t="shared" si="14"/>
        <v>33064.83</v>
      </c>
      <c r="L61" s="36">
        <v>9000</v>
      </c>
      <c r="M61" s="9">
        <f t="shared" si="15"/>
        <v>0.27219253811376015</v>
      </c>
      <c r="N61" s="5">
        <v>1</v>
      </c>
      <c r="O61" s="10">
        <f t="shared" si="16"/>
        <v>0.27219253811376015</v>
      </c>
    </row>
    <row r="62" spans="2:15" ht="13.5" customHeight="1">
      <c r="B62" s="24">
        <f t="shared" si="17"/>
        <v>27</v>
      </c>
      <c r="C62" s="25"/>
      <c r="D62" s="25"/>
      <c r="E62" s="26"/>
      <c r="F62" s="30" t="s">
        <v>13</v>
      </c>
      <c r="G62" s="6">
        <v>22816.85</v>
      </c>
      <c r="H62" s="28">
        <v>3417.98</v>
      </c>
      <c r="I62" s="28">
        <v>6830</v>
      </c>
      <c r="J62" s="28"/>
      <c r="K62" s="6">
        <f t="shared" si="14"/>
        <v>33064.83</v>
      </c>
      <c r="L62" s="36">
        <v>9000</v>
      </c>
      <c r="M62" s="9">
        <f t="shared" si="15"/>
        <v>0.27219253811376015</v>
      </c>
      <c r="N62" s="5">
        <v>1</v>
      </c>
      <c r="O62" s="10">
        <f t="shared" si="16"/>
        <v>0.27219253811376015</v>
      </c>
    </row>
    <row r="63" spans="2:15" ht="13.5" customHeight="1">
      <c r="B63" s="24">
        <f t="shared" si="17"/>
        <v>28</v>
      </c>
      <c r="C63" s="25"/>
      <c r="D63" s="25"/>
      <c r="E63" s="26"/>
      <c r="F63" s="30" t="s">
        <v>13</v>
      </c>
      <c r="G63" s="6">
        <v>22816.85</v>
      </c>
      <c r="H63" s="28">
        <v>3417.98</v>
      </c>
      <c r="I63" s="28">
        <v>6830</v>
      </c>
      <c r="J63" s="28"/>
      <c r="K63" s="6">
        <f t="shared" si="14"/>
        <v>33064.83</v>
      </c>
      <c r="L63" s="36">
        <v>9000</v>
      </c>
      <c r="M63" s="9">
        <f t="shared" si="15"/>
        <v>0.27219253811376015</v>
      </c>
      <c r="N63" s="5">
        <v>1</v>
      </c>
      <c r="O63" s="10">
        <f t="shared" si="16"/>
        <v>0.27219253811376015</v>
      </c>
    </row>
    <row r="64" spans="2:15" ht="13.5" customHeight="1">
      <c r="B64" s="24">
        <f t="shared" si="17"/>
        <v>29</v>
      </c>
      <c r="C64" s="25"/>
      <c r="D64" s="25"/>
      <c r="E64" s="26"/>
      <c r="F64" s="30" t="s">
        <v>13</v>
      </c>
      <c r="G64" s="6">
        <v>22816.85</v>
      </c>
      <c r="H64" s="28">
        <v>3417.98</v>
      </c>
      <c r="I64" s="28">
        <v>6830</v>
      </c>
      <c r="J64" s="28"/>
      <c r="K64" s="6">
        <f t="shared" si="14"/>
        <v>33064.83</v>
      </c>
      <c r="L64" s="36">
        <v>9000</v>
      </c>
      <c r="M64" s="9">
        <f t="shared" si="15"/>
        <v>0.27219253811376015</v>
      </c>
      <c r="N64" s="5">
        <v>1</v>
      </c>
      <c r="O64" s="10">
        <f t="shared" si="16"/>
        <v>0.27219253811376015</v>
      </c>
    </row>
    <row r="65" spans="2:15" ht="13.5" customHeight="1">
      <c r="B65" s="24">
        <f t="shared" si="17"/>
        <v>30</v>
      </c>
      <c r="C65" s="25"/>
      <c r="D65" s="25"/>
      <c r="E65" s="26"/>
      <c r="F65" s="30" t="s">
        <v>13</v>
      </c>
      <c r="G65" s="6">
        <v>22816.85</v>
      </c>
      <c r="H65" s="28">
        <v>3417.98</v>
      </c>
      <c r="I65" s="28">
        <v>6830</v>
      </c>
      <c r="J65" s="28"/>
      <c r="K65" s="6">
        <f t="shared" si="14"/>
        <v>33064.83</v>
      </c>
      <c r="L65" s="36">
        <v>9000</v>
      </c>
      <c r="M65" s="9">
        <f t="shared" si="15"/>
        <v>0.27219253811376015</v>
      </c>
      <c r="N65" s="5">
        <v>1</v>
      </c>
      <c r="O65" s="10">
        <f t="shared" si="16"/>
        <v>0.27219253811376015</v>
      </c>
    </row>
    <row r="66" spans="2:15" ht="13.5" customHeight="1">
      <c r="B66" s="24">
        <f t="shared" si="17"/>
        <v>31</v>
      </c>
      <c r="C66" s="25"/>
      <c r="D66" s="25"/>
      <c r="E66" s="26"/>
      <c r="F66" s="30" t="s">
        <v>13</v>
      </c>
      <c r="G66" s="6">
        <v>20906.37</v>
      </c>
      <c r="H66" s="28">
        <v>3417.98</v>
      </c>
      <c r="I66" s="28">
        <v>6830</v>
      </c>
      <c r="J66" s="28"/>
      <c r="K66" s="6">
        <f t="shared" si="14"/>
        <v>31154.35</v>
      </c>
      <c r="L66" s="36">
        <v>9000</v>
      </c>
      <c r="M66" s="9">
        <f t="shared" si="15"/>
        <v>0.28888421681081455</v>
      </c>
      <c r="N66" s="5">
        <v>1</v>
      </c>
      <c r="O66" s="10">
        <f t="shared" si="16"/>
        <v>0.28888421681081455</v>
      </c>
    </row>
    <row r="67" spans="2:15" ht="13.5" customHeight="1">
      <c r="B67" s="24">
        <f t="shared" si="17"/>
        <v>32</v>
      </c>
      <c r="C67" s="25"/>
      <c r="D67" s="25"/>
      <c r="E67" s="26"/>
      <c r="F67" s="30" t="s">
        <v>13</v>
      </c>
      <c r="G67" s="6">
        <v>22816.85</v>
      </c>
      <c r="H67" s="28">
        <v>3417.98</v>
      </c>
      <c r="I67" s="28">
        <v>6830</v>
      </c>
      <c r="J67" s="28"/>
      <c r="K67" s="6">
        <f t="shared" si="14"/>
        <v>33064.83</v>
      </c>
      <c r="L67" s="36">
        <v>9000</v>
      </c>
      <c r="M67" s="9">
        <f t="shared" si="15"/>
        <v>0.27219253811376015</v>
      </c>
      <c r="N67" s="5">
        <v>1</v>
      </c>
      <c r="O67" s="10">
        <f t="shared" si="16"/>
        <v>0.27219253811376015</v>
      </c>
    </row>
    <row r="68" spans="2:15" ht="13.5" customHeight="1">
      <c r="B68" s="24">
        <f t="shared" si="17"/>
        <v>33</v>
      </c>
      <c r="C68" s="25"/>
      <c r="D68" s="25"/>
      <c r="E68" s="26"/>
      <c r="F68" s="30" t="s">
        <v>13</v>
      </c>
      <c r="G68" s="6">
        <v>22816.85</v>
      </c>
      <c r="H68" s="28">
        <v>3417.98</v>
      </c>
      <c r="I68" s="28">
        <v>6830</v>
      </c>
      <c r="J68" s="28"/>
      <c r="K68" s="6">
        <f t="shared" si="14"/>
        <v>33064.83</v>
      </c>
      <c r="L68" s="36">
        <v>9000</v>
      </c>
      <c r="M68" s="9">
        <f t="shared" si="15"/>
        <v>0.27219253811376015</v>
      </c>
      <c r="N68" s="5">
        <v>1</v>
      </c>
      <c r="O68" s="10">
        <f t="shared" si="16"/>
        <v>0.27219253811376015</v>
      </c>
    </row>
    <row r="69" spans="2:15" ht="13.5" customHeight="1">
      <c r="B69" s="24">
        <f t="shared" si="17"/>
        <v>34</v>
      </c>
      <c r="C69" s="25"/>
      <c r="D69" s="25"/>
      <c r="E69" s="26"/>
      <c r="F69" s="30" t="s">
        <v>13</v>
      </c>
      <c r="G69" s="6">
        <v>20906.37</v>
      </c>
      <c r="H69" s="28">
        <v>3417.98</v>
      </c>
      <c r="I69" s="28">
        <v>6830</v>
      </c>
      <c r="J69" s="28"/>
      <c r="K69" s="6">
        <f t="shared" si="14"/>
        <v>31154.35</v>
      </c>
      <c r="L69" s="36">
        <v>9000</v>
      </c>
      <c r="M69" s="9">
        <f t="shared" si="15"/>
        <v>0.28888421681081455</v>
      </c>
      <c r="N69" s="5">
        <v>1</v>
      </c>
      <c r="O69" s="10">
        <f t="shared" si="16"/>
        <v>0.28888421681081455</v>
      </c>
    </row>
    <row r="70" spans="2:15" ht="13.5" customHeight="1">
      <c r="B70" s="24">
        <f t="shared" si="17"/>
        <v>35</v>
      </c>
      <c r="C70" s="25"/>
      <c r="D70" s="25"/>
      <c r="E70" s="26"/>
      <c r="F70" s="30" t="s">
        <v>13</v>
      </c>
      <c r="G70" s="6">
        <v>22816.85</v>
      </c>
      <c r="H70" s="28">
        <v>3417.98</v>
      </c>
      <c r="I70" s="28">
        <v>6830</v>
      </c>
      <c r="J70" s="28"/>
      <c r="K70" s="6">
        <f t="shared" si="14"/>
        <v>33064.83</v>
      </c>
      <c r="L70" s="36">
        <v>9000</v>
      </c>
      <c r="M70" s="9">
        <f t="shared" si="15"/>
        <v>0.27219253811376015</v>
      </c>
      <c r="N70" s="5">
        <v>1</v>
      </c>
      <c r="O70" s="10">
        <f t="shared" si="16"/>
        <v>0.27219253811376015</v>
      </c>
    </row>
    <row r="71" spans="2:15" ht="13.5" customHeight="1">
      <c r="B71" s="24">
        <f t="shared" si="17"/>
        <v>36</v>
      </c>
      <c r="C71" s="25"/>
      <c r="D71" s="25"/>
      <c r="E71" s="26"/>
      <c r="F71" s="30" t="s">
        <v>13</v>
      </c>
      <c r="G71" s="6">
        <v>22816.85</v>
      </c>
      <c r="H71" s="28">
        <v>3417.98</v>
      </c>
      <c r="I71" s="28">
        <v>6830</v>
      </c>
      <c r="J71" s="28"/>
      <c r="K71" s="6">
        <f t="shared" si="14"/>
        <v>33064.83</v>
      </c>
      <c r="L71" s="36">
        <v>9000</v>
      </c>
      <c r="M71" s="9">
        <f t="shared" si="15"/>
        <v>0.27219253811376015</v>
      </c>
      <c r="N71" s="5">
        <v>1</v>
      </c>
      <c r="O71" s="10">
        <f t="shared" si="16"/>
        <v>0.27219253811376015</v>
      </c>
    </row>
    <row r="72" spans="2:15" ht="13.5" customHeight="1">
      <c r="B72" s="24">
        <f t="shared" si="17"/>
        <v>37</v>
      </c>
      <c r="C72" s="25"/>
      <c r="D72" s="25"/>
      <c r="E72" s="26"/>
      <c r="F72" s="30" t="s">
        <v>13</v>
      </c>
      <c r="G72" s="6">
        <v>22816.85</v>
      </c>
      <c r="H72" s="28">
        <v>3417.98</v>
      </c>
      <c r="I72" s="28">
        <v>6830</v>
      </c>
      <c r="J72" s="28"/>
      <c r="K72" s="6">
        <f t="shared" si="14"/>
        <v>33064.83</v>
      </c>
      <c r="L72" s="36">
        <v>9000</v>
      </c>
      <c r="M72" s="9">
        <f t="shared" si="15"/>
        <v>0.27219253811376015</v>
      </c>
      <c r="N72" s="5">
        <v>1</v>
      </c>
      <c r="O72" s="10">
        <f t="shared" si="16"/>
        <v>0.27219253811376015</v>
      </c>
    </row>
    <row r="73" spans="2:15" ht="13.5" customHeight="1">
      <c r="B73" s="24">
        <f t="shared" si="17"/>
        <v>38</v>
      </c>
      <c r="C73" s="25"/>
      <c r="D73" s="25"/>
      <c r="E73" s="26"/>
      <c r="F73" s="30" t="s">
        <v>13</v>
      </c>
      <c r="G73" s="6">
        <v>20906.37</v>
      </c>
      <c r="H73" s="28">
        <v>3417.98</v>
      </c>
      <c r="I73" s="28">
        <v>6830</v>
      </c>
      <c r="J73" s="28"/>
      <c r="K73" s="6">
        <f t="shared" si="14"/>
        <v>31154.35</v>
      </c>
      <c r="L73" s="36">
        <v>9000</v>
      </c>
      <c r="M73" s="9">
        <f t="shared" si="15"/>
        <v>0.28888421681081455</v>
      </c>
      <c r="N73" s="5">
        <v>1</v>
      </c>
      <c r="O73" s="10">
        <f t="shared" si="16"/>
        <v>0.28888421681081455</v>
      </c>
    </row>
    <row r="74" spans="2:15" ht="13.5" customHeight="1">
      <c r="B74" s="24">
        <f t="shared" si="17"/>
        <v>39</v>
      </c>
      <c r="C74" s="25"/>
      <c r="D74" s="25"/>
      <c r="E74" s="26"/>
      <c r="F74" s="30" t="s">
        <v>13</v>
      </c>
      <c r="G74" s="6">
        <v>20906.37</v>
      </c>
      <c r="H74" s="28">
        <v>3417.98</v>
      </c>
      <c r="I74" s="28">
        <v>6830</v>
      </c>
      <c r="J74" s="28"/>
      <c r="K74" s="6">
        <f t="shared" si="14"/>
        <v>31154.35</v>
      </c>
      <c r="L74" s="36">
        <v>9000</v>
      </c>
      <c r="M74" s="9">
        <f t="shared" si="15"/>
        <v>0.28888421681081455</v>
      </c>
      <c r="N74" s="5">
        <v>1</v>
      </c>
      <c r="O74" s="10">
        <f t="shared" si="16"/>
        <v>0.28888421681081455</v>
      </c>
    </row>
    <row r="75" spans="2:15" ht="13.5" customHeight="1">
      <c r="B75" s="24">
        <f t="shared" si="17"/>
        <v>40</v>
      </c>
      <c r="C75" s="25"/>
      <c r="D75" s="25"/>
      <c r="E75" s="26"/>
      <c r="F75" s="30" t="s">
        <v>13</v>
      </c>
      <c r="G75" s="6">
        <v>22816.85</v>
      </c>
      <c r="H75" s="28">
        <v>3417.98</v>
      </c>
      <c r="I75" s="28">
        <v>6830</v>
      </c>
      <c r="J75" s="28"/>
      <c r="K75" s="6">
        <f t="shared" si="14"/>
        <v>33064.83</v>
      </c>
      <c r="L75" s="36">
        <v>9000</v>
      </c>
      <c r="M75" s="9">
        <f t="shared" si="15"/>
        <v>0.27219253811376015</v>
      </c>
      <c r="N75" s="5">
        <v>1</v>
      </c>
      <c r="O75" s="10">
        <f t="shared" si="16"/>
        <v>0.27219253811376015</v>
      </c>
    </row>
    <row r="76" spans="2:15" ht="13.5" customHeight="1">
      <c r="B76" s="24">
        <f t="shared" si="17"/>
        <v>41</v>
      </c>
      <c r="C76" s="25"/>
      <c r="D76" s="25"/>
      <c r="E76" s="26"/>
      <c r="F76" s="30" t="s">
        <v>13</v>
      </c>
      <c r="G76" s="6">
        <v>22816.85</v>
      </c>
      <c r="H76" s="28">
        <v>3417.98</v>
      </c>
      <c r="I76" s="28">
        <v>6830</v>
      </c>
      <c r="J76" s="28"/>
      <c r="K76" s="6">
        <f t="shared" si="14"/>
        <v>33064.83</v>
      </c>
      <c r="L76" s="36">
        <v>9000</v>
      </c>
      <c r="M76" s="9">
        <f t="shared" si="15"/>
        <v>0.27219253811376015</v>
      </c>
      <c r="N76" s="5">
        <v>1</v>
      </c>
      <c r="O76" s="10">
        <f t="shared" si="16"/>
        <v>0.27219253811376015</v>
      </c>
    </row>
    <row r="77" spans="2:15" ht="13.5" customHeight="1">
      <c r="B77" s="24">
        <f t="shared" si="17"/>
        <v>42</v>
      </c>
      <c r="C77" s="25"/>
      <c r="D77" s="25"/>
      <c r="E77" s="26"/>
      <c r="F77" s="30" t="s">
        <v>13</v>
      </c>
      <c r="G77" s="6">
        <v>22816.85</v>
      </c>
      <c r="H77" s="28">
        <v>3417.98</v>
      </c>
      <c r="I77" s="28">
        <v>6830</v>
      </c>
      <c r="J77" s="28"/>
      <c r="K77" s="6">
        <f t="shared" si="14"/>
        <v>33064.83</v>
      </c>
      <c r="L77" s="36">
        <v>9000</v>
      </c>
      <c r="M77" s="9">
        <f t="shared" si="15"/>
        <v>0.27219253811376015</v>
      </c>
      <c r="N77" s="5">
        <v>1</v>
      </c>
      <c r="O77" s="10">
        <f t="shared" si="16"/>
        <v>0.27219253811376015</v>
      </c>
    </row>
    <row r="78" spans="2:15" ht="13.5" customHeight="1">
      <c r="B78" s="24">
        <f t="shared" si="17"/>
        <v>43</v>
      </c>
      <c r="C78" s="25"/>
      <c r="D78" s="25"/>
      <c r="E78" s="26"/>
      <c r="F78" s="30" t="s">
        <v>13</v>
      </c>
      <c r="G78" s="6">
        <v>22816.85</v>
      </c>
      <c r="H78" s="28">
        <v>3417.98</v>
      </c>
      <c r="I78" s="28">
        <v>6830</v>
      </c>
      <c r="J78" s="28"/>
      <c r="K78" s="6">
        <f t="shared" si="14"/>
        <v>33064.83</v>
      </c>
      <c r="L78" s="36">
        <v>9000</v>
      </c>
      <c r="M78" s="9">
        <f t="shared" si="15"/>
        <v>0.27219253811376015</v>
      </c>
      <c r="N78" s="5">
        <v>1</v>
      </c>
      <c r="O78" s="10">
        <f t="shared" si="16"/>
        <v>0.27219253811376015</v>
      </c>
    </row>
    <row r="79" spans="2:15" ht="13.5" customHeight="1">
      <c r="B79" s="24">
        <f t="shared" si="17"/>
        <v>44</v>
      </c>
      <c r="C79" s="25"/>
      <c r="D79" s="25"/>
      <c r="E79" s="26"/>
      <c r="F79" s="30" t="s">
        <v>13</v>
      </c>
      <c r="G79" s="6">
        <v>20906.37</v>
      </c>
      <c r="H79" s="28">
        <v>3417.98</v>
      </c>
      <c r="I79" s="28">
        <v>6830</v>
      </c>
      <c r="J79" s="28"/>
      <c r="K79" s="6">
        <f t="shared" si="14"/>
        <v>31154.35</v>
      </c>
      <c r="L79" s="36">
        <v>9000</v>
      </c>
      <c r="M79" s="9">
        <f t="shared" si="15"/>
        <v>0.28888421681081455</v>
      </c>
      <c r="N79" s="5">
        <v>1</v>
      </c>
      <c r="O79" s="10">
        <f t="shared" si="16"/>
        <v>0.28888421681081455</v>
      </c>
    </row>
    <row r="80" spans="2:15" ht="13.5" customHeight="1">
      <c r="B80" s="24">
        <f t="shared" si="17"/>
        <v>45</v>
      </c>
      <c r="C80" s="25"/>
      <c r="D80" s="25"/>
      <c r="E80" s="26"/>
      <c r="F80" s="30" t="s">
        <v>13</v>
      </c>
      <c r="G80" s="6">
        <v>20906.37</v>
      </c>
      <c r="H80" s="28">
        <v>3417.98</v>
      </c>
      <c r="I80" s="28">
        <v>6830</v>
      </c>
      <c r="J80" s="28"/>
      <c r="K80" s="6">
        <f t="shared" si="14"/>
        <v>31154.35</v>
      </c>
      <c r="L80" s="36">
        <v>9000</v>
      </c>
      <c r="M80" s="9">
        <f t="shared" si="15"/>
        <v>0.28888421681081455</v>
      </c>
      <c r="N80" s="5">
        <v>1</v>
      </c>
      <c r="O80" s="10">
        <f t="shared" si="16"/>
        <v>0.28888421681081455</v>
      </c>
    </row>
    <row r="81" spans="2:15" ht="13.5" customHeight="1">
      <c r="B81" s="24">
        <f t="shared" si="17"/>
        <v>46</v>
      </c>
      <c r="C81" s="25"/>
      <c r="D81" s="25"/>
      <c r="E81" s="26"/>
      <c r="F81" s="30" t="s">
        <v>13</v>
      </c>
      <c r="G81" s="6">
        <v>22816.85</v>
      </c>
      <c r="H81" s="28">
        <v>3417.98</v>
      </c>
      <c r="I81" s="28">
        <v>6830</v>
      </c>
      <c r="J81" s="28"/>
      <c r="K81" s="6">
        <f t="shared" si="14"/>
        <v>33064.83</v>
      </c>
      <c r="L81" s="36">
        <v>9000</v>
      </c>
      <c r="M81" s="9">
        <f t="shared" si="15"/>
        <v>0.27219253811376015</v>
      </c>
      <c r="N81" s="5">
        <v>1</v>
      </c>
      <c r="O81" s="10">
        <f t="shared" si="16"/>
        <v>0.27219253811376015</v>
      </c>
    </row>
    <row r="82" spans="2:15" ht="13.5" customHeight="1">
      <c r="B82" s="24">
        <f t="shared" si="17"/>
        <v>47</v>
      </c>
      <c r="C82" s="25"/>
      <c r="D82" s="25"/>
      <c r="E82" s="26"/>
      <c r="F82" s="30" t="s">
        <v>13</v>
      </c>
      <c r="G82" s="6">
        <v>22816.85</v>
      </c>
      <c r="H82" s="28">
        <v>3417.98</v>
      </c>
      <c r="I82" s="28">
        <v>6830</v>
      </c>
      <c r="J82" s="28"/>
      <c r="K82" s="6">
        <f t="shared" si="14"/>
        <v>33064.83</v>
      </c>
      <c r="L82" s="36">
        <v>9000</v>
      </c>
      <c r="M82" s="9">
        <f t="shared" si="15"/>
        <v>0.27219253811376015</v>
      </c>
      <c r="N82" s="5">
        <v>1</v>
      </c>
      <c r="O82" s="10">
        <f t="shared" si="16"/>
        <v>0.27219253811376015</v>
      </c>
    </row>
    <row r="83" spans="2:15" ht="13.5" customHeight="1">
      <c r="B83" s="24">
        <f t="shared" si="17"/>
        <v>48</v>
      </c>
      <c r="C83" s="25"/>
      <c r="D83" s="25"/>
      <c r="E83" s="26"/>
      <c r="F83" s="30" t="s">
        <v>13</v>
      </c>
      <c r="G83" s="6">
        <v>22816.85</v>
      </c>
      <c r="H83" s="28">
        <v>3417.98</v>
      </c>
      <c r="I83" s="28">
        <v>6830</v>
      </c>
      <c r="J83" s="28"/>
      <c r="K83" s="6">
        <f t="shared" si="14"/>
        <v>33064.83</v>
      </c>
      <c r="L83" s="36">
        <v>9000</v>
      </c>
      <c r="M83" s="9">
        <f t="shared" si="15"/>
        <v>0.27219253811376015</v>
      </c>
      <c r="N83" s="5">
        <v>1</v>
      </c>
      <c r="O83" s="10">
        <f t="shared" si="16"/>
        <v>0.27219253811376015</v>
      </c>
    </row>
    <row r="84" spans="2:15" ht="13.5" customHeight="1">
      <c r="B84" s="24">
        <f t="shared" si="17"/>
        <v>49</v>
      </c>
      <c r="C84" s="25"/>
      <c r="D84" s="25"/>
      <c r="E84" s="26"/>
      <c r="F84" s="30" t="s">
        <v>13</v>
      </c>
      <c r="G84" s="6">
        <v>20906.37</v>
      </c>
      <c r="H84" s="28">
        <v>3417.98</v>
      </c>
      <c r="I84" s="28">
        <v>6830</v>
      </c>
      <c r="J84" s="28"/>
      <c r="K84" s="6">
        <f t="shared" si="14"/>
        <v>31154.35</v>
      </c>
      <c r="L84" s="36">
        <v>9000</v>
      </c>
      <c r="M84" s="9">
        <f t="shared" si="15"/>
        <v>0.28888421681081455</v>
      </c>
      <c r="N84" s="5">
        <v>1</v>
      </c>
      <c r="O84" s="10">
        <f t="shared" si="16"/>
        <v>0.28888421681081455</v>
      </c>
    </row>
    <row r="85" spans="2:15" ht="13.5" customHeight="1">
      <c r="B85" s="24">
        <f t="shared" si="17"/>
        <v>50</v>
      </c>
      <c r="C85" s="25"/>
      <c r="D85" s="25"/>
      <c r="E85" s="26"/>
      <c r="F85" s="30" t="s">
        <v>13</v>
      </c>
      <c r="G85" s="6">
        <v>22816.85</v>
      </c>
      <c r="H85" s="28">
        <v>3417.98</v>
      </c>
      <c r="I85" s="28">
        <v>6830</v>
      </c>
      <c r="J85" s="28"/>
      <c r="K85" s="6">
        <f t="shared" si="14"/>
        <v>33064.83</v>
      </c>
      <c r="L85" s="36">
        <v>9000</v>
      </c>
      <c r="M85" s="9">
        <f t="shared" si="15"/>
        <v>0.27219253811376015</v>
      </c>
      <c r="N85" s="5">
        <v>1</v>
      </c>
      <c r="O85" s="10">
        <f t="shared" si="16"/>
        <v>0.27219253811376015</v>
      </c>
    </row>
    <row r="86" spans="2:15" ht="13.5" customHeight="1">
      <c r="B86" s="24">
        <f t="shared" si="17"/>
        <v>51</v>
      </c>
      <c r="C86" s="25"/>
      <c r="D86" s="25"/>
      <c r="E86" s="26"/>
      <c r="F86" s="30" t="s">
        <v>13</v>
      </c>
      <c r="G86" s="6">
        <v>22816.85</v>
      </c>
      <c r="H86" s="28">
        <v>3417.98</v>
      </c>
      <c r="I86" s="28">
        <v>6830</v>
      </c>
      <c r="J86" s="28"/>
      <c r="K86" s="6">
        <f t="shared" si="14"/>
        <v>33064.83</v>
      </c>
      <c r="L86" s="36">
        <v>9000</v>
      </c>
      <c r="M86" s="9">
        <f t="shared" si="15"/>
        <v>0.27219253811376015</v>
      </c>
      <c r="N86" s="5">
        <v>1</v>
      </c>
      <c r="O86" s="10">
        <f t="shared" si="16"/>
        <v>0.27219253811376015</v>
      </c>
    </row>
    <row r="87" spans="2:15" ht="13.5" customHeight="1">
      <c r="B87" s="24">
        <f t="shared" si="17"/>
        <v>52</v>
      </c>
      <c r="C87" s="25"/>
      <c r="D87" s="25"/>
      <c r="E87" s="26"/>
      <c r="F87" s="30" t="s">
        <v>13</v>
      </c>
      <c r="G87" s="6">
        <v>20906.37</v>
      </c>
      <c r="H87" s="28">
        <v>3417.98</v>
      </c>
      <c r="I87" s="28">
        <v>6830</v>
      </c>
      <c r="J87" s="28"/>
      <c r="K87" s="6">
        <f t="shared" si="14"/>
        <v>31154.35</v>
      </c>
      <c r="L87" s="36">
        <v>9000</v>
      </c>
      <c r="M87" s="9">
        <f t="shared" si="15"/>
        <v>0.28888421681081455</v>
      </c>
      <c r="N87" s="5">
        <v>1</v>
      </c>
      <c r="O87" s="10">
        <f t="shared" si="16"/>
        <v>0.28888421681081455</v>
      </c>
    </row>
    <row r="88" spans="2:15" ht="13.5" customHeight="1">
      <c r="B88" s="24">
        <f t="shared" si="17"/>
        <v>53</v>
      </c>
      <c r="C88" s="25"/>
      <c r="D88" s="25"/>
      <c r="E88" s="26"/>
      <c r="F88" s="30" t="s">
        <v>13</v>
      </c>
      <c r="G88" s="6">
        <v>22816.85</v>
      </c>
      <c r="H88" s="28">
        <v>3417.98</v>
      </c>
      <c r="I88" s="28">
        <v>6830</v>
      </c>
      <c r="J88" s="28"/>
      <c r="K88" s="6">
        <f t="shared" si="14"/>
        <v>33064.83</v>
      </c>
      <c r="L88" s="36">
        <v>9000</v>
      </c>
      <c r="M88" s="9">
        <f t="shared" si="15"/>
        <v>0.27219253811376015</v>
      </c>
      <c r="N88" s="5">
        <v>1</v>
      </c>
      <c r="O88" s="10">
        <f t="shared" si="16"/>
        <v>0.27219253811376015</v>
      </c>
    </row>
    <row r="89" spans="2:15" ht="13.5" customHeight="1">
      <c r="B89" s="24">
        <f t="shared" si="17"/>
        <v>54</v>
      </c>
      <c r="C89" s="25"/>
      <c r="D89" s="25"/>
      <c r="E89" s="26"/>
      <c r="F89" s="30" t="s">
        <v>13</v>
      </c>
      <c r="G89" s="6">
        <v>22816.85</v>
      </c>
      <c r="H89" s="28">
        <v>3417.98</v>
      </c>
      <c r="I89" s="28">
        <v>6830</v>
      </c>
      <c r="J89" s="28"/>
      <c r="K89" s="6">
        <f t="shared" si="14"/>
        <v>33064.83</v>
      </c>
      <c r="L89" s="36">
        <v>9000</v>
      </c>
      <c r="M89" s="9">
        <f t="shared" si="15"/>
        <v>0.27219253811376015</v>
      </c>
      <c r="N89" s="5">
        <v>1</v>
      </c>
      <c r="O89" s="10">
        <f t="shared" si="16"/>
        <v>0.27219253811376015</v>
      </c>
    </row>
    <row r="90" spans="2:15" ht="13.5" customHeight="1">
      <c r="B90" s="24">
        <f t="shared" si="17"/>
        <v>55</v>
      </c>
      <c r="C90" s="25"/>
      <c r="D90" s="25"/>
      <c r="E90" s="26"/>
      <c r="F90" s="30" t="s">
        <v>13</v>
      </c>
      <c r="G90" s="6">
        <v>20906.37</v>
      </c>
      <c r="H90" s="28">
        <v>3417.98</v>
      </c>
      <c r="I90" s="28">
        <v>6830</v>
      </c>
      <c r="J90" s="28"/>
      <c r="K90" s="6">
        <f t="shared" si="14"/>
        <v>31154.35</v>
      </c>
      <c r="L90" s="36">
        <v>9000</v>
      </c>
      <c r="M90" s="9">
        <f t="shared" si="15"/>
        <v>0.28888421681081455</v>
      </c>
      <c r="N90" s="5">
        <v>1</v>
      </c>
      <c r="O90" s="10">
        <f t="shared" si="16"/>
        <v>0.28888421681081455</v>
      </c>
    </row>
    <row r="91" spans="2:15" ht="13.5" customHeight="1">
      <c r="B91" s="24">
        <f t="shared" si="17"/>
        <v>56</v>
      </c>
      <c r="C91" s="25"/>
      <c r="D91" s="25"/>
      <c r="E91" s="26"/>
      <c r="F91" s="30" t="s">
        <v>13</v>
      </c>
      <c r="G91" s="6">
        <v>22816.85</v>
      </c>
      <c r="H91" s="28">
        <v>3417.98</v>
      </c>
      <c r="I91" s="28">
        <v>6830</v>
      </c>
      <c r="J91" s="28"/>
      <c r="K91" s="6">
        <f t="shared" si="14"/>
        <v>33064.83</v>
      </c>
      <c r="L91" s="36">
        <v>9000</v>
      </c>
      <c r="M91" s="9">
        <f t="shared" si="15"/>
        <v>0.27219253811376015</v>
      </c>
      <c r="N91" s="5">
        <v>1</v>
      </c>
      <c r="O91" s="10">
        <f t="shared" si="16"/>
        <v>0.27219253811376015</v>
      </c>
    </row>
    <row r="92" spans="2:15" ht="13.5" customHeight="1">
      <c r="B92" s="24">
        <f t="shared" si="17"/>
        <v>57</v>
      </c>
      <c r="C92" s="25"/>
      <c r="D92" s="25"/>
      <c r="E92" s="26"/>
      <c r="F92" s="30" t="s">
        <v>13</v>
      </c>
      <c r="G92" s="6">
        <v>22816.85</v>
      </c>
      <c r="H92" s="28">
        <v>3417.98</v>
      </c>
      <c r="I92" s="28">
        <v>6830</v>
      </c>
      <c r="J92" s="28"/>
      <c r="K92" s="6">
        <f t="shared" si="14"/>
        <v>33064.83</v>
      </c>
      <c r="L92" s="36">
        <v>9000</v>
      </c>
      <c r="M92" s="9">
        <f t="shared" si="15"/>
        <v>0.27219253811376015</v>
      </c>
      <c r="N92" s="5">
        <v>1</v>
      </c>
      <c r="O92" s="10">
        <f t="shared" si="16"/>
        <v>0.27219253811376015</v>
      </c>
    </row>
    <row r="93" spans="2:15" ht="13.5" customHeight="1">
      <c r="B93" s="24">
        <f t="shared" si="17"/>
        <v>58</v>
      </c>
      <c r="C93" s="25"/>
      <c r="D93" s="25"/>
      <c r="E93" s="26"/>
      <c r="F93" s="30" t="s">
        <v>13</v>
      </c>
      <c r="G93" s="6">
        <v>20906.37</v>
      </c>
      <c r="H93" s="28">
        <v>3417.98</v>
      </c>
      <c r="I93" s="28">
        <v>6830</v>
      </c>
      <c r="J93" s="28"/>
      <c r="K93" s="6">
        <f t="shared" si="14"/>
        <v>31154.35</v>
      </c>
      <c r="L93" s="36">
        <v>9000</v>
      </c>
      <c r="M93" s="9">
        <f t="shared" si="15"/>
        <v>0.28888421681081455</v>
      </c>
      <c r="N93" s="5">
        <v>1</v>
      </c>
      <c r="O93" s="10">
        <f t="shared" si="16"/>
        <v>0.28888421681081455</v>
      </c>
    </row>
    <row r="94" spans="2:15" ht="13.5" customHeight="1">
      <c r="B94" s="24">
        <f t="shared" si="17"/>
        <v>59</v>
      </c>
      <c r="C94" s="25"/>
      <c r="D94" s="25"/>
      <c r="E94" s="26"/>
      <c r="F94" s="30" t="s">
        <v>13</v>
      </c>
      <c r="G94" s="6">
        <v>20906.37</v>
      </c>
      <c r="H94" s="28">
        <v>3417.98</v>
      </c>
      <c r="I94" s="28">
        <v>6830</v>
      </c>
      <c r="J94" s="28"/>
      <c r="K94" s="6">
        <f t="shared" si="14"/>
        <v>31154.35</v>
      </c>
      <c r="L94" s="36">
        <v>9000</v>
      </c>
      <c r="M94" s="9">
        <f t="shared" si="15"/>
        <v>0.28888421681081455</v>
      </c>
      <c r="N94" s="5">
        <v>1</v>
      </c>
      <c r="O94" s="10">
        <f t="shared" si="16"/>
        <v>0.28888421681081455</v>
      </c>
    </row>
    <row r="95" spans="2:15" ht="13.5" customHeight="1">
      <c r="B95" s="24">
        <f t="shared" si="17"/>
        <v>60</v>
      </c>
      <c r="C95" s="25"/>
      <c r="D95" s="25"/>
      <c r="E95" s="26"/>
      <c r="F95" s="30" t="s">
        <v>13</v>
      </c>
      <c r="G95" s="6">
        <v>20906.37</v>
      </c>
      <c r="H95" s="28">
        <v>3417.98</v>
      </c>
      <c r="I95" s="28">
        <v>6830</v>
      </c>
      <c r="J95" s="28"/>
      <c r="K95" s="6">
        <f t="shared" si="14"/>
        <v>31154.35</v>
      </c>
      <c r="L95" s="36">
        <v>9000</v>
      </c>
      <c r="M95" s="9">
        <f t="shared" si="15"/>
        <v>0.28888421681081455</v>
      </c>
      <c r="N95" s="5">
        <v>1</v>
      </c>
      <c r="O95" s="10">
        <f t="shared" si="16"/>
        <v>0.28888421681081455</v>
      </c>
    </row>
    <row r="96" spans="2:15" ht="13.5" customHeight="1">
      <c r="B96" s="24">
        <f t="shared" si="17"/>
        <v>61</v>
      </c>
      <c r="C96" s="25"/>
      <c r="D96" s="25"/>
      <c r="E96" s="26"/>
      <c r="F96" s="30" t="s">
        <v>13</v>
      </c>
      <c r="G96" s="6">
        <v>20906.37</v>
      </c>
      <c r="H96" s="28">
        <v>3417.98</v>
      </c>
      <c r="I96" s="28">
        <v>6830</v>
      </c>
      <c r="J96" s="28"/>
      <c r="K96" s="6">
        <f t="shared" si="14"/>
        <v>31154.35</v>
      </c>
      <c r="L96" s="36">
        <v>9000</v>
      </c>
      <c r="M96" s="9">
        <f t="shared" si="15"/>
        <v>0.28888421681081455</v>
      </c>
      <c r="N96" s="5">
        <v>1</v>
      </c>
      <c r="O96" s="10">
        <f t="shared" si="16"/>
        <v>0.28888421681081455</v>
      </c>
    </row>
    <row r="97" spans="2:15" ht="13.5" customHeight="1">
      <c r="B97" s="24">
        <f t="shared" si="17"/>
        <v>62</v>
      </c>
      <c r="C97" s="25"/>
      <c r="D97" s="25"/>
      <c r="E97" s="26"/>
      <c r="F97" s="30" t="s">
        <v>13</v>
      </c>
      <c r="G97" s="6">
        <v>20906.37</v>
      </c>
      <c r="H97" s="28">
        <v>3417.98</v>
      </c>
      <c r="I97" s="28">
        <v>6830</v>
      </c>
      <c r="J97" s="28"/>
      <c r="K97" s="6">
        <f t="shared" si="14"/>
        <v>31154.35</v>
      </c>
      <c r="L97" s="36">
        <v>9000</v>
      </c>
      <c r="M97" s="9">
        <f t="shared" si="15"/>
        <v>0.28888421681081455</v>
      </c>
      <c r="N97" s="5">
        <v>1</v>
      </c>
      <c r="O97" s="10">
        <f t="shared" si="16"/>
        <v>0.28888421681081455</v>
      </c>
    </row>
    <row r="98" spans="2:15" ht="13.5" customHeight="1">
      <c r="B98" s="24">
        <f t="shared" si="17"/>
        <v>63</v>
      </c>
      <c r="C98" s="25"/>
      <c r="D98" s="25"/>
      <c r="E98" s="26"/>
      <c r="F98" s="30" t="s">
        <v>13</v>
      </c>
      <c r="G98" s="6">
        <v>20906.37</v>
      </c>
      <c r="H98" s="28">
        <v>3417.98</v>
      </c>
      <c r="I98" s="28">
        <v>6830</v>
      </c>
      <c r="J98" s="28"/>
      <c r="K98" s="6">
        <f t="shared" si="14"/>
        <v>31154.35</v>
      </c>
      <c r="L98" s="36">
        <v>9000</v>
      </c>
      <c r="M98" s="9">
        <f t="shared" si="15"/>
        <v>0.28888421681081455</v>
      </c>
      <c r="N98" s="5">
        <v>1</v>
      </c>
      <c r="O98" s="10">
        <f t="shared" si="16"/>
        <v>0.28888421681081455</v>
      </c>
    </row>
    <row r="99" spans="2:15" ht="13.5" customHeight="1">
      <c r="B99" s="24">
        <f t="shared" si="17"/>
        <v>64</v>
      </c>
      <c r="C99" s="25"/>
      <c r="D99" s="25"/>
      <c r="E99" s="26"/>
      <c r="F99" s="30" t="s">
        <v>13</v>
      </c>
      <c r="G99" s="6">
        <v>22816.85</v>
      </c>
      <c r="H99" s="28">
        <v>3417.98</v>
      </c>
      <c r="I99" s="28">
        <v>6830</v>
      </c>
      <c r="J99" s="28"/>
      <c r="K99" s="6">
        <f t="shared" si="14"/>
        <v>33064.83</v>
      </c>
      <c r="L99" s="36">
        <v>9000</v>
      </c>
      <c r="M99" s="9">
        <f t="shared" si="15"/>
        <v>0.27219253811376015</v>
      </c>
      <c r="N99" s="5">
        <v>1</v>
      </c>
      <c r="O99" s="10">
        <f t="shared" si="16"/>
        <v>0.27219253811376015</v>
      </c>
    </row>
    <row r="100" spans="2:15" ht="13.5" customHeight="1">
      <c r="B100" s="24">
        <f t="shared" si="17"/>
        <v>65</v>
      </c>
      <c r="C100" s="25"/>
      <c r="D100" s="25"/>
      <c r="E100" s="26"/>
      <c r="F100" s="30" t="s">
        <v>13</v>
      </c>
      <c r="G100" s="6">
        <v>22816.85</v>
      </c>
      <c r="H100" s="28">
        <v>3417.98</v>
      </c>
      <c r="I100" s="28">
        <v>6830</v>
      </c>
      <c r="J100" s="28"/>
      <c r="K100" s="6">
        <f t="shared" si="14"/>
        <v>33064.83</v>
      </c>
      <c r="L100" s="36">
        <v>9000</v>
      </c>
      <c r="M100" s="9">
        <f t="shared" si="15"/>
        <v>0.27219253811376015</v>
      </c>
      <c r="N100" s="5">
        <v>1</v>
      </c>
      <c r="O100" s="10">
        <f t="shared" si="16"/>
        <v>0.27219253811376015</v>
      </c>
    </row>
    <row r="101" spans="2:15" ht="13.5" customHeight="1">
      <c r="B101" s="24">
        <f t="shared" si="17"/>
        <v>66</v>
      </c>
      <c r="C101" s="25"/>
      <c r="D101" s="25"/>
      <c r="E101" s="26"/>
      <c r="F101" s="30" t="s">
        <v>13</v>
      </c>
      <c r="G101" s="6">
        <v>22816.85</v>
      </c>
      <c r="H101" s="28">
        <v>3417.98</v>
      </c>
      <c r="I101" s="28">
        <v>6830</v>
      </c>
      <c r="J101" s="28"/>
      <c r="K101" s="6">
        <f t="shared" ref="K101:K164" si="18">SUM(G101:I101)</f>
        <v>33064.83</v>
      </c>
      <c r="L101" s="36">
        <v>9000</v>
      </c>
      <c r="M101" s="9">
        <f t="shared" ref="M101:M164" si="19">L101/K101</f>
        <v>0.27219253811376015</v>
      </c>
      <c r="N101" s="5">
        <v>1</v>
      </c>
      <c r="O101" s="10">
        <f t="shared" ref="O101:O164" si="20">N101*M101</f>
        <v>0.27219253811376015</v>
      </c>
    </row>
    <row r="102" spans="2:15" ht="13.5" customHeight="1">
      <c r="B102" s="24">
        <f t="shared" ref="B102:B165" si="21">1+B101</f>
        <v>67</v>
      </c>
      <c r="C102" s="25"/>
      <c r="D102" s="25"/>
      <c r="E102" s="26"/>
      <c r="F102" s="30" t="s">
        <v>13</v>
      </c>
      <c r="G102" s="6">
        <v>20906.37</v>
      </c>
      <c r="H102" s="28">
        <v>3417.98</v>
      </c>
      <c r="I102" s="28">
        <v>6830</v>
      </c>
      <c r="J102" s="28"/>
      <c r="K102" s="6">
        <f t="shared" si="18"/>
        <v>31154.35</v>
      </c>
      <c r="L102" s="36">
        <v>9000</v>
      </c>
      <c r="M102" s="9">
        <f t="shared" si="19"/>
        <v>0.28888421681081455</v>
      </c>
      <c r="N102" s="5">
        <v>1</v>
      </c>
      <c r="O102" s="10">
        <f t="shared" si="20"/>
        <v>0.28888421681081455</v>
      </c>
    </row>
    <row r="103" spans="2:15" ht="13.5" customHeight="1">
      <c r="B103" s="24">
        <f t="shared" si="21"/>
        <v>68</v>
      </c>
      <c r="C103" s="25"/>
      <c r="D103" s="25"/>
      <c r="E103" s="26"/>
      <c r="F103" s="30" t="s">
        <v>13</v>
      </c>
      <c r="G103" s="6">
        <v>22816.85</v>
      </c>
      <c r="H103" s="28">
        <v>3417.98</v>
      </c>
      <c r="I103" s="28">
        <v>6830</v>
      </c>
      <c r="J103" s="28"/>
      <c r="K103" s="6">
        <f t="shared" si="18"/>
        <v>33064.83</v>
      </c>
      <c r="L103" s="36">
        <v>9000</v>
      </c>
      <c r="M103" s="9">
        <f t="shared" si="19"/>
        <v>0.27219253811376015</v>
      </c>
      <c r="N103" s="5">
        <v>1</v>
      </c>
      <c r="O103" s="10">
        <f t="shared" si="20"/>
        <v>0.27219253811376015</v>
      </c>
    </row>
    <row r="104" spans="2:15" ht="13.5" customHeight="1">
      <c r="B104" s="24">
        <f t="shared" si="21"/>
        <v>69</v>
      </c>
      <c r="C104" s="25"/>
      <c r="D104" s="25"/>
      <c r="E104" s="26"/>
      <c r="F104" s="30" t="s">
        <v>13</v>
      </c>
      <c r="G104" s="6">
        <v>20906.37</v>
      </c>
      <c r="H104" s="28">
        <v>3417.98</v>
      </c>
      <c r="I104" s="28">
        <v>6830</v>
      </c>
      <c r="J104" s="28"/>
      <c r="K104" s="6">
        <f t="shared" si="18"/>
        <v>31154.35</v>
      </c>
      <c r="L104" s="36">
        <v>9000</v>
      </c>
      <c r="M104" s="9">
        <f t="shared" si="19"/>
        <v>0.28888421681081455</v>
      </c>
      <c r="N104" s="5">
        <v>1</v>
      </c>
      <c r="O104" s="10">
        <f t="shared" si="20"/>
        <v>0.28888421681081455</v>
      </c>
    </row>
    <row r="105" spans="2:15" ht="13.5" customHeight="1">
      <c r="B105" s="24">
        <f t="shared" si="21"/>
        <v>70</v>
      </c>
      <c r="C105" s="25"/>
      <c r="D105" s="25"/>
      <c r="E105" s="26"/>
      <c r="F105" s="30" t="s">
        <v>13</v>
      </c>
      <c r="G105" s="6">
        <v>22816.85</v>
      </c>
      <c r="H105" s="28">
        <v>3417.98</v>
      </c>
      <c r="I105" s="28">
        <v>6830</v>
      </c>
      <c r="J105" s="28"/>
      <c r="K105" s="6">
        <f t="shared" si="18"/>
        <v>33064.83</v>
      </c>
      <c r="L105" s="36">
        <v>9000</v>
      </c>
      <c r="M105" s="9">
        <f t="shared" si="19"/>
        <v>0.27219253811376015</v>
      </c>
      <c r="N105" s="5">
        <v>1</v>
      </c>
      <c r="O105" s="10">
        <f t="shared" si="20"/>
        <v>0.27219253811376015</v>
      </c>
    </row>
    <row r="106" spans="2:15" ht="13.5" customHeight="1">
      <c r="B106" s="24">
        <f t="shared" si="21"/>
        <v>71</v>
      </c>
      <c r="C106" s="25"/>
      <c r="D106" s="25"/>
      <c r="E106" s="26"/>
      <c r="F106" s="30" t="s">
        <v>13</v>
      </c>
      <c r="G106" s="6">
        <v>22816.85</v>
      </c>
      <c r="H106" s="28">
        <v>3417.98</v>
      </c>
      <c r="I106" s="28">
        <v>6830</v>
      </c>
      <c r="J106" s="28"/>
      <c r="K106" s="6">
        <f t="shared" si="18"/>
        <v>33064.83</v>
      </c>
      <c r="L106" s="36">
        <v>9000</v>
      </c>
      <c r="M106" s="9">
        <f t="shared" si="19"/>
        <v>0.27219253811376015</v>
      </c>
      <c r="N106" s="5">
        <v>1</v>
      </c>
      <c r="O106" s="10">
        <f t="shared" si="20"/>
        <v>0.27219253811376015</v>
      </c>
    </row>
    <row r="107" spans="2:15" ht="13.5" customHeight="1">
      <c r="B107" s="24">
        <f t="shared" si="21"/>
        <v>72</v>
      </c>
      <c r="C107" s="25"/>
      <c r="D107" s="25"/>
      <c r="E107" s="26"/>
      <c r="F107" s="30" t="s">
        <v>13</v>
      </c>
      <c r="G107" s="6">
        <v>22816.85</v>
      </c>
      <c r="H107" s="28">
        <v>3417.98</v>
      </c>
      <c r="I107" s="28">
        <v>6830</v>
      </c>
      <c r="J107" s="28"/>
      <c r="K107" s="6">
        <f t="shared" si="18"/>
        <v>33064.83</v>
      </c>
      <c r="L107" s="36">
        <v>9000</v>
      </c>
      <c r="M107" s="9">
        <f t="shared" si="19"/>
        <v>0.27219253811376015</v>
      </c>
      <c r="N107" s="5">
        <v>1</v>
      </c>
      <c r="O107" s="10">
        <f t="shared" si="20"/>
        <v>0.27219253811376015</v>
      </c>
    </row>
    <row r="108" spans="2:15" ht="13.5" customHeight="1">
      <c r="B108" s="24">
        <f t="shared" si="21"/>
        <v>73</v>
      </c>
      <c r="C108" s="25"/>
      <c r="D108" s="25"/>
      <c r="E108" s="26"/>
      <c r="F108" s="30" t="s">
        <v>13</v>
      </c>
      <c r="G108" s="6">
        <v>20906.37</v>
      </c>
      <c r="H108" s="28">
        <v>3417.98</v>
      </c>
      <c r="I108" s="28">
        <v>6830</v>
      </c>
      <c r="J108" s="28"/>
      <c r="K108" s="6">
        <f t="shared" si="18"/>
        <v>31154.35</v>
      </c>
      <c r="L108" s="36">
        <v>9000</v>
      </c>
      <c r="M108" s="9">
        <f t="shared" si="19"/>
        <v>0.28888421681081455</v>
      </c>
      <c r="N108" s="5">
        <v>1</v>
      </c>
      <c r="O108" s="10">
        <f t="shared" si="20"/>
        <v>0.28888421681081455</v>
      </c>
    </row>
    <row r="109" spans="2:15" ht="13.5" customHeight="1">
      <c r="B109" s="24">
        <f t="shared" si="21"/>
        <v>74</v>
      </c>
      <c r="C109" s="25"/>
      <c r="D109" s="25"/>
      <c r="E109" s="26"/>
      <c r="F109" s="30" t="s">
        <v>13</v>
      </c>
      <c r="G109" s="6">
        <v>20906.37</v>
      </c>
      <c r="H109" s="28">
        <v>3417.98</v>
      </c>
      <c r="I109" s="28">
        <v>6830</v>
      </c>
      <c r="J109" s="28"/>
      <c r="K109" s="6">
        <f t="shared" si="18"/>
        <v>31154.35</v>
      </c>
      <c r="L109" s="36">
        <v>9000</v>
      </c>
      <c r="M109" s="9">
        <f t="shared" si="19"/>
        <v>0.28888421681081455</v>
      </c>
      <c r="N109" s="5">
        <v>1</v>
      </c>
      <c r="O109" s="10">
        <f t="shared" si="20"/>
        <v>0.28888421681081455</v>
      </c>
    </row>
    <row r="110" spans="2:15" ht="13.5" customHeight="1">
      <c r="B110" s="24">
        <f t="shared" si="21"/>
        <v>75</v>
      </c>
      <c r="C110" s="25"/>
      <c r="D110" s="25"/>
      <c r="E110" s="26"/>
      <c r="F110" s="30" t="s">
        <v>13</v>
      </c>
      <c r="G110" s="6">
        <v>22816.85</v>
      </c>
      <c r="H110" s="28">
        <v>3417.98</v>
      </c>
      <c r="I110" s="28">
        <v>6830</v>
      </c>
      <c r="J110" s="28"/>
      <c r="K110" s="6">
        <f t="shared" si="18"/>
        <v>33064.83</v>
      </c>
      <c r="L110" s="36">
        <v>9000</v>
      </c>
      <c r="M110" s="9">
        <f t="shared" si="19"/>
        <v>0.27219253811376015</v>
      </c>
      <c r="N110" s="5">
        <v>1</v>
      </c>
      <c r="O110" s="10">
        <f t="shared" si="20"/>
        <v>0.27219253811376015</v>
      </c>
    </row>
    <row r="111" spans="2:15" ht="13.5" customHeight="1">
      <c r="B111" s="24">
        <f t="shared" si="21"/>
        <v>76</v>
      </c>
      <c r="C111" s="25"/>
      <c r="D111" s="25"/>
      <c r="E111" s="26"/>
      <c r="F111" s="30" t="s">
        <v>13</v>
      </c>
      <c r="G111" s="6">
        <v>20906.37</v>
      </c>
      <c r="H111" s="28">
        <v>3417.98</v>
      </c>
      <c r="I111" s="28">
        <v>6830</v>
      </c>
      <c r="J111" s="28"/>
      <c r="K111" s="6">
        <f t="shared" si="18"/>
        <v>31154.35</v>
      </c>
      <c r="L111" s="36">
        <v>9000</v>
      </c>
      <c r="M111" s="9">
        <f t="shared" si="19"/>
        <v>0.28888421681081455</v>
      </c>
      <c r="N111" s="5">
        <v>1</v>
      </c>
      <c r="O111" s="10">
        <f t="shared" si="20"/>
        <v>0.28888421681081455</v>
      </c>
    </row>
    <row r="112" spans="2:15" ht="13.5" customHeight="1">
      <c r="B112" s="24">
        <f t="shared" si="21"/>
        <v>77</v>
      </c>
      <c r="C112" s="25"/>
      <c r="D112" s="25"/>
      <c r="E112" s="26"/>
      <c r="F112" s="30" t="s">
        <v>13</v>
      </c>
      <c r="G112" s="6">
        <v>20906.37</v>
      </c>
      <c r="H112" s="28">
        <v>3417.98</v>
      </c>
      <c r="I112" s="28">
        <v>6830</v>
      </c>
      <c r="J112" s="28"/>
      <c r="K112" s="6">
        <f t="shared" si="18"/>
        <v>31154.35</v>
      </c>
      <c r="L112" s="36">
        <v>9000</v>
      </c>
      <c r="M112" s="9">
        <f t="shared" si="19"/>
        <v>0.28888421681081455</v>
      </c>
      <c r="N112" s="5">
        <v>1</v>
      </c>
      <c r="O112" s="10">
        <f t="shared" si="20"/>
        <v>0.28888421681081455</v>
      </c>
    </row>
    <row r="113" spans="2:15" ht="13.5" customHeight="1">
      <c r="B113" s="24">
        <f t="shared" si="21"/>
        <v>78</v>
      </c>
      <c r="C113" s="25"/>
      <c r="D113" s="25"/>
      <c r="E113" s="26"/>
      <c r="F113" s="30" t="s">
        <v>13</v>
      </c>
      <c r="G113" s="6">
        <v>20906.37</v>
      </c>
      <c r="H113" s="28">
        <v>3417.98</v>
      </c>
      <c r="I113" s="28">
        <v>6830</v>
      </c>
      <c r="J113" s="28"/>
      <c r="K113" s="6">
        <f t="shared" si="18"/>
        <v>31154.35</v>
      </c>
      <c r="L113" s="36">
        <v>9000</v>
      </c>
      <c r="M113" s="9">
        <f t="shared" si="19"/>
        <v>0.28888421681081455</v>
      </c>
      <c r="N113" s="5">
        <v>1</v>
      </c>
      <c r="O113" s="10">
        <f t="shared" si="20"/>
        <v>0.28888421681081455</v>
      </c>
    </row>
    <row r="114" spans="2:15" ht="13.5" customHeight="1">
      <c r="B114" s="24">
        <f t="shared" si="21"/>
        <v>79</v>
      </c>
      <c r="C114" s="25"/>
      <c r="D114" s="25"/>
      <c r="E114" s="26"/>
      <c r="F114" s="30" t="s">
        <v>13</v>
      </c>
      <c r="G114" s="6">
        <v>22816.85</v>
      </c>
      <c r="H114" s="28">
        <v>3417.98</v>
      </c>
      <c r="I114" s="28">
        <v>6830</v>
      </c>
      <c r="J114" s="28"/>
      <c r="K114" s="6">
        <f t="shared" si="18"/>
        <v>33064.83</v>
      </c>
      <c r="L114" s="36">
        <v>9000</v>
      </c>
      <c r="M114" s="9">
        <f t="shared" si="19"/>
        <v>0.27219253811376015</v>
      </c>
      <c r="N114" s="5">
        <v>1</v>
      </c>
      <c r="O114" s="10">
        <f t="shared" si="20"/>
        <v>0.27219253811376015</v>
      </c>
    </row>
    <row r="115" spans="2:15" ht="13.5" customHeight="1">
      <c r="B115" s="24">
        <f t="shared" si="21"/>
        <v>80</v>
      </c>
      <c r="C115" s="25"/>
      <c r="D115" s="25"/>
      <c r="E115" s="26"/>
      <c r="F115" s="30" t="s">
        <v>13</v>
      </c>
      <c r="G115" s="6">
        <v>20906.37</v>
      </c>
      <c r="H115" s="28">
        <v>3417.98</v>
      </c>
      <c r="I115" s="28">
        <v>6830</v>
      </c>
      <c r="J115" s="28"/>
      <c r="K115" s="6">
        <f t="shared" si="18"/>
        <v>31154.35</v>
      </c>
      <c r="L115" s="36">
        <v>9000</v>
      </c>
      <c r="M115" s="9">
        <f t="shared" si="19"/>
        <v>0.28888421681081455</v>
      </c>
      <c r="N115" s="5">
        <v>1</v>
      </c>
      <c r="O115" s="10">
        <f t="shared" si="20"/>
        <v>0.28888421681081455</v>
      </c>
    </row>
    <row r="116" spans="2:15" ht="13.5" customHeight="1">
      <c r="B116" s="24">
        <f t="shared" si="21"/>
        <v>81</v>
      </c>
      <c r="C116" s="25"/>
      <c r="D116" s="25"/>
      <c r="E116" s="26"/>
      <c r="F116" s="30" t="s">
        <v>13</v>
      </c>
      <c r="G116" s="6">
        <v>22816.85</v>
      </c>
      <c r="H116" s="28">
        <v>3417.98</v>
      </c>
      <c r="I116" s="28">
        <v>6830</v>
      </c>
      <c r="J116" s="28"/>
      <c r="K116" s="6">
        <f t="shared" si="18"/>
        <v>33064.83</v>
      </c>
      <c r="L116" s="36">
        <v>9000</v>
      </c>
      <c r="M116" s="9">
        <f t="shared" si="19"/>
        <v>0.27219253811376015</v>
      </c>
      <c r="N116" s="5">
        <v>1</v>
      </c>
      <c r="O116" s="10">
        <f t="shared" si="20"/>
        <v>0.27219253811376015</v>
      </c>
    </row>
    <row r="117" spans="2:15" ht="13.5" customHeight="1">
      <c r="B117" s="24">
        <f t="shared" si="21"/>
        <v>82</v>
      </c>
      <c r="C117" s="25"/>
      <c r="D117" s="25"/>
      <c r="E117" s="26"/>
      <c r="F117" s="30" t="s">
        <v>13</v>
      </c>
      <c r="G117" s="6">
        <v>26000.98</v>
      </c>
      <c r="H117" s="28">
        <v>3417.98</v>
      </c>
      <c r="I117" s="28">
        <v>6830</v>
      </c>
      <c r="J117" s="28"/>
      <c r="K117" s="6">
        <f t="shared" si="18"/>
        <v>36248.959999999999</v>
      </c>
      <c r="L117" s="36">
        <v>9000</v>
      </c>
      <c r="M117" s="9">
        <f t="shared" si="19"/>
        <v>0.24828298522219672</v>
      </c>
      <c r="N117" s="5">
        <v>1</v>
      </c>
      <c r="O117" s="10">
        <f t="shared" si="20"/>
        <v>0.24828298522219672</v>
      </c>
    </row>
    <row r="118" spans="2:15" ht="13.5" customHeight="1">
      <c r="B118" s="24">
        <f t="shared" si="21"/>
        <v>83</v>
      </c>
      <c r="C118" s="25"/>
      <c r="D118" s="25"/>
      <c r="E118" s="26"/>
      <c r="F118" s="30" t="s">
        <v>13</v>
      </c>
      <c r="G118" s="6">
        <v>22816.85</v>
      </c>
      <c r="H118" s="28">
        <v>3417.98</v>
      </c>
      <c r="I118" s="28">
        <v>6830</v>
      </c>
      <c r="J118" s="28"/>
      <c r="K118" s="6">
        <f t="shared" si="18"/>
        <v>33064.83</v>
      </c>
      <c r="L118" s="36">
        <v>9000</v>
      </c>
      <c r="M118" s="9">
        <f t="shared" si="19"/>
        <v>0.27219253811376015</v>
      </c>
      <c r="N118" s="5">
        <v>1</v>
      </c>
      <c r="O118" s="10">
        <f t="shared" si="20"/>
        <v>0.27219253811376015</v>
      </c>
    </row>
    <row r="119" spans="2:15" ht="13.5" customHeight="1">
      <c r="B119" s="24">
        <f t="shared" si="21"/>
        <v>84</v>
      </c>
      <c r="C119" s="25"/>
      <c r="D119" s="25"/>
      <c r="E119" s="26"/>
      <c r="F119" s="30" t="s">
        <v>13</v>
      </c>
      <c r="G119" s="6">
        <v>29185.119999999999</v>
      </c>
      <c r="H119" s="28">
        <v>3417.98</v>
      </c>
      <c r="I119" s="28">
        <v>6830</v>
      </c>
      <c r="J119" s="28"/>
      <c r="K119" s="6">
        <f t="shared" si="18"/>
        <v>39433.1</v>
      </c>
      <c r="L119" s="36">
        <v>9000</v>
      </c>
      <c r="M119" s="9">
        <f t="shared" si="19"/>
        <v>0.22823465565730314</v>
      </c>
      <c r="N119" s="5">
        <v>1</v>
      </c>
      <c r="O119" s="10">
        <f t="shared" si="20"/>
        <v>0.22823465565730314</v>
      </c>
    </row>
    <row r="120" spans="2:15" ht="13.5" customHeight="1">
      <c r="B120" s="24">
        <f t="shared" si="21"/>
        <v>85</v>
      </c>
      <c r="C120" s="25"/>
      <c r="D120" s="25"/>
      <c r="E120" s="26"/>
      <c r="F120" s="30" t="s">
        <v>13</v>
      </c>
      <c r="G120" s="6">
        <v>20906.37</v>
      </c>
      <c r="H120" s="28">
        <v>3417.98</v>
      </c>
      <c r="I120" s="28">
        <v>6830</v>
      </c>
      <c r="J120" s="28"/>
      <c r="K120" s="6">
        <f t="shared" si="18"/>
        <v>31154.35</v>
      </c>
      <c r="L120" s="36">
        <v>9000</v>
      </c>
      <c r="M120" s="9">
        <f t="shared" si="19"/>
        <v>0.28888421681081455</v>
      </c>
      <c r="N120" s="5">
        <v>1</v>
      </c>
      <c r="O120" s="10">
        <f t="shared" si="20"/>
        <v>0.28888421681081455</v>
      </c>
    </row>
    <row r="121" spans="2:15" ht="13.5" customHeight="1">
      <c r="B121" s="24">
        <f t="shared" si="21"/>
        <v>86</v>
      </c>
      <c r="C121" s="25"/>
      <c r="D121" s="25"/>
      <c r="E121" s="26"/>
      <c r="F121" s="30" t="s">
        <v>13</v>
      </c>
      <c r="G121" s="6">
        <v>20906.37</v>
      </c>
      <c r="H121" s="28">
        <v>3417.98</v>
      </c>
      <c r="I121" s="28">
        <v>6830</v>
      </c>
      <c r="J121" s="28"/>
      <c r="K121" s="6">
        <f t="shared" si="18"/>
        <v>31154.35</v>
      </c>
      <c r="L121" s="36">
        <v>9000</v>
      </c>
      <c r="M121" s="9">
        <f t="shared" si="19"/>
        <v>0.28888421681081455</v>
      </c>
      <c r="N121" s="5">
        <v>1</v>
      </c>
      <c r="O121" s="10">
        <f t="shared" si="20"/>
        <v>0.28888421681081455</v>
      </c>
    </row>
    <row r="122" spans="2:15" ht="13.5" customHeight="1">
      <c r="B122" s="24">
        <f t="shared" si="21"/>
        <v>87</v>
      </c>
      <c r="C122" s="25"/>
      <c r="D122" s="25"/>
      <c r="E122" s="26"/>
      <c r="F122" s="30" t="s">
        <v>13</v>
      </c>
      <c r="G122" s="6">
        <v>22816.85</v>
      </c>
      <c r="H122" s="28">
        <v>3417.98</v>
      </c>
      <c r="I122" s="28">
        <v>6830</v>
      </c>
      <c r="J122" s="28"/>
      <c r="K122" s="6">
        <f t="shared" si="18"/>
        <v>33064.83</v>
      </c>
      <c r="L122" s="36">
        <v>9000</v>
      </c>
      <c r="M122" s="9">
        <f t="shared" si="19"/>
        <v>0.27219253811376015</v>
      </c>
      <c r="N122" s="5">
        <v>1</v>
      </c>
      <c r="O122" s="10">
        <f t="shared" si="20"/>
        <v>0.27219253811376015</v>
      </c>
    </row>
    <row r="123" spans="2:15" ht="13.5" customHeight="1">
      <c r="B123" s="24">
        <f t="shared" si="21"/>
        <v>88</v>
      </c>
      <c r="C123" s="25"/>
      <c r="D123" s="25"/>
      <c r="E123" s="26"/>
      <c r="F123" s="30" t="s">
        <v>13</v>
      </c>
      <c r="G123" s="6">
        <v>22816.85</v>
      </c>
      <c r="H123" s="28">
        <v>3417.98</v>
      </c>
      <c r="I123" s="28">
        <v>6830</v>
      </c>
      <c r="J123" s="28"/>
      <c r="K123" s="6">
        <f t="shared" si="18"/>
        <v>33064.83</v>
      </c>
      <c r="L123" s="36">
        <v>9000</v>
      </c>
      <c r="M123" s="9">
        <f t="shared" si="19"/>
        <v>0.27219253811376015</v>
      </c>
      <c r="N123" s="5">
        <v>1</v>
      </c>
      <c r="O123" s="10">
        <f t="shared" si="20"/>
        <v>0.27219253811376015</v>
      </c>
    </row>
    <row r="124" spans="2:15" ht="13.5" customHeight="1">
      <c r="B124" s="24">
        <f t="shared" si="21"/>
        <v>89</v>
      </c>
      <c r="C124" s="25"/>
      <c r="D124" s="25"/>
      <c r="E124" s="26"/>
      <c r="F124" s="30" t="s">
        <v>13</v>
      </c>
      <c r="G124" s="6">
        <v>26000.98</v>
      </c>
      <c r="H124" s="28">
        <v>3417.98</v>
      </c>
      <c r="I124" s="28">
        <v>6830</v>
      </c>
      <c r="J124" s="28"/>
      <c r="K124" s="6">
        <f t="shared" si="18"/>
        <v>36248.959999999999</v>
      </c>
      <c r="L124" s="36">
        <v>9000</v>
      </c>
      <c r="M124" s="9">
        <f t="shared" si="19"/>
        <v>0.24828298522219672</v>
      </c>
      <c r="N124" s="5">
        <v>1</v>
      </c>
      <c r="O124" s="10">
        <f t="shared" si="20"/>
        <v>0.24828298522219672</v>
      </c>
    </row>
    <row r="125" spans="2:15" ht="13.5" customHeight="1">
      <c r="B125" s="24">
        <f t="shared" si="21"/>
        <v>90</v>
      </c>
      <c r="C125" s="25"/>
      <c r="D125" s="25"/>
      <c r="E125" s="26"/>
      <c r="F125" s="30" t="s">
        <v>13</v>
      </c>
      <c r="G125" s="6">
        <v>22816.85</v>
      </c>
      <c r="H125" s="28">
        <v>3417.98</v>
      </c>
      <c r="I125" s="28">
        <v>6830</v>
      </c>
      <c r="J125" s="28"/>
      <c r="K125" s="6">
        <f t="shared" si="18"/>
        <v>33064.83</v>
      </c>
      <c r="L125" s="36">
        <v>9000</v>
      </c>
      <c r="M125" s="9">
        <f t="shared" si="19"/>
        <v>0.27219253811376015</v>
      </c>
      <c r="N125" s="5">
        <v>1</v>
      </c>
      <c r="O125" s="10">
        <f t="shared" si="20"/>
        <v>0.27219253811376015</v>
      </c>
    </row>
    <row r="126" spans="2:15" ht="13.5" customHeight="1">
      <c r="B126" s="24">
        <f t="shared" si="21"/>
        <v>91</v>
      </c>
      <c r="C126" s="25"/>
      <c r="D126" s="25"/>
      <c r="E126" s="26"/>
      <c r="F126" s="30" t="s">
        <v>13</v>
      </c>
      <c r="G126" s="6">
        <v>20906.37</v>
      </c>
      <c r="H126" s="28">
        <v>3417.98</v>
      </c>
      <c r="I126" s="28">
        <v>6830</v>
      </c>
      <c r="J126" s="28"/>
      <c r="K126" s="6">
        <f t="shared" si="18"/>
        <v>31154.35</v>
      </c>
      <c r="L126" s="36">
        <v>9000</v>
      </c>
      <c r="M126" s="9">
        <f t="shared" si="19"/>
        <v>0.28888421681081455</v>
      </c>
      <c r="N126" s="5">
        <v>1</v>
      </c>
      <c r="O126" s="10">
        <f t="shared" si="20"/>
        <v>0.28888421681081455</v>
      </c>
    </row>
    <row r="127" spans="2:15" ht="13.5" customHeight="1">
      <c r="B127" s="24">
        <f t="shared" si="21"/>
        <v>92</v>
      </c>
      <c r="C127" s="25"/>
      <c r="D127" s="25"/>
      <c r="E127" s="26"/>
      <c r="F127" s="30" t="s">
        <v>13</v>
      </c>
      <c r="G127" s="6">
        <v>22816.85</v>
      </c>
      <c r="H127" s="28">
        <v>3417.98</v>
      </c>
      <c r="I127" s="28">
        <v>6830</v>
      </c>
      <c r="J127" s="28"/>
      <c r="K127" s="6">
        <f t="shared" si="18"/>
        <v>33064.83</v>
      </c>
      <c r="L127" s="36">
        <v>9000</v>
      </c>
      <c r="M127" s="9">
        <f t="shared" si="19"/>
        <v>0.27219253811376015</v>
      </c>
      <c r="N127" s="5">
        <v>1</v>
      </c>
      <c r="O127" s="10">
        <f t="shared" si="20"/>
        <v>0.27219253811376015</v>
      </c>
    </row>
    <row r="128" spans="2:15" ht="13.5" customHeight="1">
      <c r="B128" s="24">
        <f t="shared" si="21"/>
        <v>93</v>
      </c>
      <c r="C128" s="25"/>
      <c r="D128" s="25"/>
      <c r="E128" s="26"/>
      <c r="F128" s="30" t="s">
        <v>13</v>
      </c>
      <c r="G128" s="6">
        <v>22816.85</v>
      </c>
      <c r="H128" s="28">
        <v>3417.98</v>
      </c>
      <c r="I128" s="28">
        <v>6830</v>
      </c>
      <c r="J128" s="28"/>
      <c r="K128" s="6">
        <f t="shared" si="18"/>
        <v>33064.83</v>
      </c>
      <c r="L128" s="36">
        <v>9000</v>
      </c>
      <c r="M128" s="9">
        <f t="shared" si="19"/>
        <v>0.27219253811376015</v>
      </c>
      <c r="N128" s="5">
        <v>1</v>
      </c>
      <c r="O128" s="10">
        <f t="shared" si="20"/>
        <v>0.27219253811376015</v>
      </c>
    </row>
    <row r="129" spans="2:15" ht="13.5" customHeight="1">
      <c r="B129" s="24">
        <f t="shared" si="21"/>
        <v>94</v>
      </c>
      <c r="C129" s="25"/>
      <c r="D129" s="25"/>
      <c r="E129" s="26"/>
      <c r="F129" s="30" t="s">
        <v>13</v>
      </c>
      <c r="G129" s="6">
        <v>20906.37</v>
      </c>
      <c r="H129" s="28">
        <v>3417.98</v>
      </c>
      <c r="I129" s="28">
        <v>6830</v>
      </c>
      <c r="J129" s="28"/>
      <c r="K129" s="6">
        <f t="shared" si="18"/>
        <v>31154.35</v>
      </c>
      <c r="L129" s="36">
        <v>9000</v>
      </c>
      <c r="M129" s="9">
        <f t="shared" si="19"/>
        <v>0.28888421681081455</v>
      </c>
      <c r="N129" s="5">
        <v>1</v>
      </c>
      <c r="O129" s="10">
        <f t="shared" si="20"/>
        <v>0.28888421681081455</v>
      </c>
    </row>
    <row r="130" spans="2:15" ht="13.5" customHeight="1">
      <c r="B130" s="24">
        <f t="shared" si="21"/>
        <v>95</v>
      </c>
      <c r="C130" s="25"/>
      <c r="D130" s="25"/>
      <c r="E130" s="26"/>
      <c r="F130" s="30" t="s">
        <v>13</v>
      </c>
      <c r="G130" s="6">
        <v>20906.37</v>
      </c>
      <c r="H130" s="28">
        <v>3417.98</v>
      </c>
      <c r="I130" s="28">
        <v>6830</v>
      </c>
      <c r="J130" s="28"/>
      <c r="K130" s="6">
        <f t="shared" si="18"/>
        <v>31154.35</v>
      </c>
      <c r="L130" s="36">
        <v>9000</v>
      </c>
      <c r="M130" s="9">
        <f t="shared" si="19"/>
        <v>0.28888421681081455</v>
      </c>
      <c r="N130" s="5">
        <v>1</v>
      </c>
      <c r="O130" s="10">
        <f t="shared" si="20"/>
        <v>0.28888421681081455</v>
      </c>
    </row>
    <row r="131" spans="2:15" ht="13.5" customHeight="1">
      <c r="B131" s="24">
        <f t="shared" si="21"/>
        <v>96</v>
      </c>
      <c r="C131" s="25"/>
      <c r="D131" s="25"/>
      <c r="E131" s="26"/>
      <c r="F131" s="30" t="s">
        <v>13</v>
      </c>
      <c r="G131" s="6">
        <v>20906.37</v>
      </c>
      <c r="H131" s="28">
        <v>3417.98</v>
      </c>
      <c r="I131" s="28">
        <v>6830</v>
      </c>
      <c r="J131" s="28"/>
      <c r="K131" s="6">
        <f t="shared" si="18"/>
        <v>31154.35</v>
      </c>
      <c r="L131" s="36">
        <v>9000</v>
      </c>
      <c r="M131" s="9">
        <f t="shared" si="19"/>
        <v>0.28888421681081455</v>
      </c>
      <c r="N131" s="5">
        <v>1</v>
      </c>
      <c r="O131" s="10">
        <f t="shared" si="20"/>
        <v>0.28888421681081455</v>
      </c>
    </row>
    <row r="132" spans="2:15" ht="13.5" customHeight="1">
      <c r="B132" s="24">
        <f t="shared" si="21"/>
        <v>97</v>
      </c>
      <c r="C132" s="25"/>
      <c r="D132" s="25"/>
      <c r="E132" s="26"/>
      <c r="F132" s="30" t="s">
        <v>13</v>
      </c>
      <c r="G132" s="6">
        <v>20906.37</v>
      </c>
      <c r="H132" s="28">
        <v>3417.98</v>
      </c>
      <c r="I132" s="28">
        <v>6830</v>
      </c>
      <c r="J132" s="28"/>
      <c r="K132" s="6">
        <f t="shared" si="18"/>
        <v>31154.35</v>
      </c>
      <c r="L132" s="36">
        <v>9000</v>
      </c>
      <c r="M132" s="9">
        <f t="shared" si="19"/>
        <v>0.28888421681081455</v>
      </c>
      <c r="N132" s="5">
        <v>1</v>
      </c>
      <c r="O132" s="10">
        <f t="shared" si="20"/>
        <v>0.28888421681081455</v>
      </c>
    </row>
    <row r="133" spans="2:15" ht="13.5" customHeight="1">
      <c r="B133" s="24">
        <f t="shared" si="21"/>
        <v>98</v>
      </c>
      <c r="C133" s="25"/>
      <c r="D133" s="25"/>
      <c r="E133" s="26"/>
      <c r="F133" s="30" t="s">
        <v>13</v>
      </c>
      <c r="G133" s="6">
        <v>22816.85</v>
      </c>
      <c r="H133" s="28">
        <v>3417.98</v>
      </c>
      <c r="I133" s="28">
        <v>6830</v>
      </c>
      <c r="J133" s="28"/>
      <c r="K133" s="6">
        <f t="shared" si="18"/>
        <v>33064.83</v>
      </c>
      <c r="L133" s="36">
        <v>9000</v>
      </c>
      <c r="M133" s="9">
        <f t="shared" si="19"/>
        <v>0.27219253811376015</v>
      </c>
      <c r="N133" s="5">
        <v>1</v>
      </c>
      <c r="O133" s="10">
        <f t="shared" si="20"/>
        <v>0.27219253811376015</v>
      </c>
    </row>
    <row r="134" spans="2:15" ht="13.5" customHeight="1">
      <c r="B134" s="24">
        <f t="shared" si="21"/>
        <v>99</v>
      </c>
      <c r="C134" s="25"/>
      <c r="D134" s="25"/>
      <c r="E134" s="26"/>
      <c r="F134" s="30" t="s">
        <v>13</v>
      </c>
      <c r="G134" s="6">
        <v>22816.85</v>
      </c>
      <c r="H134" s="28">
        <v>3417.98</v>
      </c>
      <c r="I134" s="28">
        <v>6830</v>
      </c>
      <c r="J134" s="28"/>
      <c r="K134" s="6">
        <f t="shared" si="18"/>
        <v>33064.83</v>
      </c>
      <c r="L134" s="36">
        <v>9000</v>
      </c>
      <c r="M134" s="9">
        <f t="shared" si="19"/>
        <v>0.27219253811376015</v>
      </c>
      <c r="N134" s="5">
        <v>1</v>
      </c>
      <c r="O134" s="10">
        <f t="shared" si="20"/>
        <v>0.27219253811376015</v>
      </c>
    </row>
    <row r="135" spans="2:15" ht="13.5" customHeight="1">
      <c r="B135" s="24">
        <f t="shared" si="21"/>
        <v>100</v>
      </c>
      <c r="C135" s="25"/>
      <c r="D135" s="25"/>
      <c r="E135" s="26"/>
      <c r="F135" s="30" t="s">
        <v>13</v>
      </c>
      <c r="G135" s="6">
        <v>29186.12</v>
      </c>
      <c r="H135" s="28">
        <v>3417.98</v>
      </c>
      <c r="I135" s="28">
        <v>6830</v>
      </c>
      <c r="J135" s="28"/>
      <c r="K135" s="6">
        <f t="shared" si="18"/>
        <v>39434.1</v>
      </c>
      <c r="L135" s="36">
        <v>9000</v>
      </c>
      <c r="M135" s="9">
        <f t="shared" si="19"/>
        <v>0.22822886790873889</v>
      </c>
      <c r="N135" s="5">
        <v>1</v>
      </c>
      <c r="O135" s="10">
        <f t="shared" si="20"/>
        <v>0.22822886790873889</v>
      </c>
    </row>
    <row r="136" spans="2:15" ht="13.5" customHeight="1">
      <c r="B136" s="24">
        <f t="shared" si="21"/>
        <v>101</v>
      </c>
      <c r="C136" s="25"/>
      <c r="D136" s="25"/>
      <c r="E136" s="26"/>
      <c r="F136" s="30" t="s">
        <v>13</v>
      </c>
      <c r="G136" s="6">
        <v>20906.37</v>
      </c>
      <c r="H136" s="28">
        <v>3417.98</v>
      </c>
      <c r="I136" s="28">
        <v>6830</v>
      </c>
      <c r="J136" s="28"/>
      <c r="K136" s="6">
        <f t="shared" si="18"/>
        <v>31154.35</v>
      </c>
      <c r="L136" s="36">
        <v>9000</v>
      </c>
      <c r="M136" s="9">
        <f t="shared" si="19"/>
        <v>0.28888421681081455</v>
      </c>
      <c r="N136" s="5">
        <v>1</v>
      </c>
      <c r="O136" s="10">
        <f t="shared" si="20"/>
        <v>0.28888421681081455</v>
      </c>
    </row>
    <row r="137" spans="2:15" ht="13.5" customHeight="1">
      <c r="B137" s="24">
        <f t="shared" si="21"/>
        <v>102</v>
      </c>
      <c r="C137" s="25"/>
      <c r="D137" s="25"/>
      <c r="E137" s="26"/>
      <c r="F137" s="30" t="s">
        <v>13</v>
      </c>
      <c r="G137" s="6">
        <v>22816.85</v>
      </c>
      <c r="H137" s="28">
        <v>3417.98</v>
      </c>
      <c r="I137" s="28">
        <v>6830</v>
      </c>
      <c r="J137" s="28"/>
      <c r="K137" s="6">
        <f t="shared" si="18"/>
        <v>33064.83</v>
      </c>
      <c r="L137" s="36">
        <v>9000</v>
      </c>
      <c r="M137" s="9">
        <f t="shared" si="19"/>
        <v>0.27219253811376015</v>
      </c>
      <c r="N137" s="5">
        <v>1</v>
      </c>
      <c r="O137" s="10">
        <f t="shared" si="20"/>
        <v>0.27219253811376015</v>
      </c>
    </row>
    <row r="138" spans="2:15" ht="13.5" customHeight="1">
      <c r="B138" s="24">
        <f t="shared" si="21"/>
        <v>103</v>
      </c>
      <c r="C138" s="25"/>
      <c r="D138" s="25"/>
      <c r="E138" s="26"/>
      <c r="F138" s="30" t="s">
        <v>13</v>
      </c>
      <c r="G138" s="6">
        <v>22816.85</v>
      </c>
      <c r="H138" s="28">
        <v>3417.98</v>
      </c>
      <c r="I138" s="28">
        <v>6830</v>
      </c>
      <c r="J138" s="28"/>
      <c r="K138" s="6">
        <f t="shared" si="18"/>
        <v>33064.83</v>
      </c>
      <c r="L138" s="36">
        <v>9000</v>
      </c>
      <c r="M138" s="9">
        <f t="shared" si="19"/>
        <v>0.27219253811376015</v>
      </c>
      <c r="N138" s="5">
        <v>1</v>
      </c>
      <c r="O138" s="10">
        <f t="shared" si="20"/>
        <v>0.27219253811376015</v>
      </c>
    </row>
    <row r="139" spans="2:15" ht="13.5" customHeight="1">
      <c r="B139" s="24">
        <f t="shared" si="21"/>
        <v>104</v>
      </c>
      <c r="C139" s="25"/>
      <c r="D139" s="25"/>
      <c r="E139" s="26"/>
      <c r="F139" s="30" t="s">
        <v>13</v>
      </c>
      <c r="G139" s="6">
        <v>22816.85</v>
      </c>
      <c r="H139" s="28">
        <v>3417.98</v>
      </c>
      <c r="I139" s="28">
        <v>6830</v>
      </c>
      <c r="J139" s="28"/>
      <c r="K139" s="6">
        <f t="shared" si="18"/>
        <v>33064.83</v>
      </c>
      <c r="L139" s="36">
        <v>9000</v>
      </c>
      <c r="M139" s="9">
        <f t="shared" si="19"/>
        <v>0.27219253811376015</v>
      </c>
      <c r="N139" s="5">
        <v>1</v>
      </c>
      <c r="O139" s="10">
        <f t="shared" si="20"/>
        <v>0.27219253811376015</v>
      </c>
    </row>
    <row r="140" spans="2:15" ht="13.5" customHeight="1">
      <c r="B140" s="24">
        <f t="shared" si="21"/>
        <v>105</v>
      </c>
      <c r="C140" s="25"/>
      <c r="D140" s="25"/>
      <c r="E140" s="26"/>
      <c r="F140" s="30" t="s">
        <v>13</v>
      </c>
      <c r="G140" s="6">
        <v>22816.85</v>
      </c>
      <c r="H140" s="28">
        <v>3417.98</v>
      </c>
      <c r="I140" s="28">
        <v>6830</v>
      </c>
      <c r="J140" s="28"/>
      <c r="K140" s="6">
        <f t="shared" si="18"/>
        <v>33064.83</v>
      </c>
      <c r="L140" s="36">
        <v>9000</v>
      </c>
      <c r="M140" s="9">
        <f t="shared" si="19"/>
        <v>0.27219253811376015</v>
      </c>
      <c r="N140" s="5">
        <v>1</v>
      </c>
      <c r="O140" s="10">
        <f t="shared" si="20"/>
        <v>0.27219253811376015</v>
      </c>
    </row>
    <row r="141" spans="2:15" ht="13.5" customHeight="1">
      <c r="B141" s="24">
        <f t="shared" si="21"/>
        <v>106</v>
      </c>
      <c r="C141" s="25"/>
      <c r="D141" s="25"/>
      <c r="E141" s="26"/>
      <c r="F141" s="30" t="s">
        <v>13</v>
      </c>
      <c r="G141" s="6">
        <v>20906.37</v>
      </c>
      <c r="H141" s="28">
        <v>3417.98</v>
      </c>
      <c r="I141" s="28">
        <v>6830</v>
      </c>
      <c r="J141" s="28"/>
      <c r="K141" s="6">
        <f t="shared" si="18"/>
        <v>31154.35</v>
      </c>
      <c r="L141" s="36">
        <v>9000</v>
      </c>
      <c r="M141" s="9">
        <f t="shared" si="19"/>
        <v>0.28888421681081455</v>
      </c>
      <c r="N141" s="5">
        <v>1</v>
      </c>
      <c r="O141" s="10">
        <f t="shared" si="20"/>
        <v>0.28888421681081455</v>
      </c>
    </row>
    <row r="142" spans="2:15" ht="13.5" customHeight="1">
      <c r="B142" s="24">
        <f t="shared" si="21"/>
        <v>107</v>
      </c>
      <c r="C142" s="25"/>
      <c r="D142" s="25"/>
      <c r="E142" s="26"/>
      <c r="F142" s="30" t="s">
        <v>13</v>
      </c>
      <c r="G142" s="6">
        <v>22816.85</v>
      </c>
      <c r="H142" s="28">
        <v>3417.98</v>
      </c>
      <c r="I142" s="28">
        <v>6830</v>
      </c>
      <c r="J142" s="28"/>
      <c r="K142" s="6">
        <f t="shared" si="18"/>
        <v>33064.83</v>
      </c>
      <c r="L142" s="36">
        <v>9000</v>
      </c>
      <c r="M142" s="9">
        <f t="shared" si="19"/>
        <v>0.27219253811376015</v>
      </c>
      <c r="N142" s="5">
        <v>1</v>
      </c>
      <c r="O142" s="10">
        <f t="shared" si="20"/>
        <v>0.27219253811376015</v>
      </c>
    </row>
    <row r="143" spans="2:15" ht="13.5" customHeight="1">
      <c r="B143" s="24">
        <f t="shared" si="21"/>
        <v>108</v>
      </c>
      <c r="C143" s="25"/>
      <c r="D143" s="25"/>
      <c r="E143" s="26"/>
      <c r="F143" s="30" t="s">
        <v>13</v>
      </c>
      <c r="G143" s="6">
        <v>22816.85</v>
      </c>
      <c r="H143" s="28">
        <v>3417.98</v>
      </c>
      <c r="I143" s="28">
        <v>6830</v>
      </c>
      <c r="J143" s="28"/>
      <c r="K143" s="6">
        <f t="shared" si="18"/>
        <v>33064.83</v>
      </c>
      <c r="L143" s="36">
        <v>9000</v>
      </c>
      <c r="M143" s="9">
        <f t="shared" si="19"/>
        <v>0.27219253811376015</v>
      </c>
      <c r="N143" s="5">
        <v>1</v>
      </c>
      <c r="O143" s="10">
        <f t="shared" si="20"/>
        <v>0.27219253811376015</v>
      </c>
    </row>
    <row r="144" spans="2:15" ht="13.5" customHeight="1">
      <c r="B144" s="24">
        <f t="shared" si="21"/>
        <v>109</v>
      </c>
      <c r="C144" s="25"/>
      <c r="D144" s="25"/>
      <c r="E144" s="26"/>
      <c r="F144" s="30" t="s">
        <v>13</v>
      </c>
      <c r="G144" s="6">
        <v>22816.85</v>
      </c>
      <c r="H144" s="28">
        <v>3417.98</v>
      </c>
      <c r="I144" s="28">
        <v>6830</v>
      </c>
      <c r="J144" s="28"/>
      <c r="K144" s="6">
        <f t="shared" si="18"/>
        <v>33064.83</v>
      </c>
      <c r="L144" s="36">
        <v>9000</v>
      </c>
      <c r="M144" s="9">
        <f t="shared" si="19"/>
        <v>0.27219253811376015</v>
      </c>
      <c r="N144" s="5">
        <v>1</v>
      </c>
      <c r="O144" s="10">
        <f t="shared" si="20"/>
        <v>0.27219253811376015</v>
      </c>
    </row>
    <row r="145" spans="2:15" ht="13.5" customHeight="1">
      <c r="B145" s="24">
        <f t="shared" si="21"/>
        <v>110</v>
      </c>
      <c r="C145" s="25"/>
      <c r="D145" s="25"/>
      <c r="E145" s="26"/>
      <c r="F145" s="30" t="s">
        <v>13</v>
      </c>
      <c r="G145" s="6">
        <v>22816.85</v>
      </c>
      <c r="H145" s="28">
        <v>3417.98</v>
      </c>
      <c r="I145" s="28">
        <v>6830</v>
      </c>
      <c r="J145" s="28"/>
      <c r="K145" s="6">
        <f t="shared" si="18"/>
        <v>33064.83</v>
      </c>
      <c r="L145" s="36">
        <v>9000</v>
      </c>
      <c r="M145" s="9">
        <f t="shared" si="19"/>
        <v>0.27219253811376015</v>
      </c>
      <c r="N145" s="5">
        <v>1</v>
      </c>
      <c r="O145" s="10">
        <f t="shared" si="20"/>
        <v>0.27219253811376015</v>
      </c>
    </row>
    <row r="146" spans="2:15" ht="13.5" customHeight="1">
      <c r="B146" s="24">
        <f t="shared" si="21"/>
        <v>111</v>
      </c>
      <c r="C146" s="25"/>
      <c r="D146" s="25"/>
      <c r="E146" s="26"/>
      <c r="F146" s="30" t="s">
        <v>13</v>
      </c>
      <c r="G146" s="6">
        <v>20906.37</v>
      </c>
      <c r="H146" s="28">
        <v>3417.98</v>
      </c>
      <c r="I146" s="28">
        <v>6830</v>
      </c>
      <c r="J146" s="28"/>
      <c r="K146" s="6">
        <f t="shared" si="18"/>
        <v>31154.35</v>
      </c>
      <c r="L146" s="36">
        <v>9000</v>
      </c>
      <c r="M146" s="9">
        <f t="shared" si="19"/>
        <v>0.28888421681081455</v>
      </c>
      <c r="N146" s="5">
        <v>1</v>
      </c>
      <c r="O146" s="10">
        <f t="shared" si="20"/>
        <v>0.28888421681081455</v>
      </c>
    </row>
    <row r="147" spans="2:15" ht="13.5" customHeight="1">
      <c r="B147" s="24">
        <f t="shared" si="21"/>
        <v>112</v>
      </c>
      <c r="C147" s="25"/>
      <c r="D147" s="25"/>
      <c r="E147" s="26"/>
      <c r="F147" s="30" t="s">
        <v>13</v>
      </c>
      <c r="G147" s="6">
        <v>22816.85</v>
      </c>
      <c r="H147" s="28">
        <v>3417.98</v>
      </c>
      <c r="I147" s="28">
        <v>6830</v>
      </c>
      <c r="J147" s="28"/>
      <c r="K147" s="6">
        <f t="shared" si="18"/>
        <v>33064.83</v>
      </c>
      <c r="L147" s="36">
        <v>9000</v>
      </c>
      <c r="M147" s="9">
        <f t="shared" si="19"/>
        <v>0.27219253811376015</v>
      </c>
      <c r="N147" s="5">
        <v>1</v>
      </c>
      <c r="O147" s="10">
        <f t="shared" si="20"/>
        <v>0.27219253811376015</v>
      </c>
    </row>
    <row r="148" spans="2:15" ht="13.5" customHeight="1">
      <c r="B148" s="24">
        <f t="shared" si="21"/>
        <v>113</v>
      </c>
      <c r="C148" s="25"/>
      <c r="D148" s="25"/>
      <c r="E148" s="26"/>
      <c r="F148" s="30" t="s">
        <v>13</v>
      </c>
      <c r="G148" s="6">
        <v>22816.85</v>
      </c>
      <c r="H148" s="28">
        <v>3417.98</v>
      </c>
      <c r="I148" s="28">
        <v>6830</v>
      </c>
      <c r="J148" s="28"/>
      <c r="K148" s="6">
        <f t="shared" si="18"/>
        <v>33064.83</v>
      </c>
      <c r="L148" s="36">
        <v>9000</v>
      </c>
      <c r="M148" s="9">
        <f t="shared" si="19"/>
        <v>0.27219253811376015</v>
      </c>
      <c r="N148" s="5">
        <v>1</v>
      </c>
      <c r="O148" s="10">
        <f t="shared" si="20"/>
        <v>0.27219253811376015</v>
      </c>
    </row>
    <row r="149" spans="2:15" ht="13.5" customHeight="1">
      <c r="B149" s="24">
        <f t="shared" si="21"/>
        <v>114</v>
      </c>
      <c r="C149" s="25"/>
      <c r="D149" s="25"/>
      <c r="E149" s="26"/>
      <c r="F149" s="30" t="s">
        <v>13</v>
      </c>
      <c r="G149" s="6">
        <v>20906.37</v>
      </c>
      <c r="H149" s="28">
        <v>3417.98</v>
      </c>
      <c r="I149" s="28">
        <v>6830</v>
      </c>
      <c r="J149" s="28"/>
      <c r="K149" s="6">
        <f t="shared" si="18"/>
        <v>31154.35</v>
      </c>
      <c r="L149" s="36">
        <v>9000</v>
      </c>
      <c r="M149" s="9">
        <f t="shared" si="19"/>
        <v>0.28888421681081455</v>
      </c>
      <c r="N149" s="5">
        <v>1</v>
      </c>
      <c r="O149" s="10">
        <f t="shared" si="20"/>
        <v>0.28888421681081455</v>
      </c>
    </row>
    <row r="150" spans="2:15" ht="13.5" customHeight="1">
      <c r="B150" s="24">
        <f t="shared" si="21"/>
        <v>115</v>
      </c>
      <c r="C150" s="25"/>
      <c r="D150" s="25"/>
      <c r="E150" s="26"/>
      <c r="F150" s="30" t="s">
        <v>13</v>
      </c>
      <c r="G150" s="6">
        <v>20906.37</v>
      </c>
      <c r="H150" s="28">
        <v>3417.98</v>
      </c>
      <c r="I150" s="28">
        <v>6830</v>
      </c>
      <c r="J150" s="28"/>
      <c r="K150" s="6">
        <f t="shared" si="18"/>
        <v>31154.35</v>
      </c>
      <c r="L150" s="36">
        <v>9000</v>
      </c>
      <c r="M150" s="9">
        <f t="shared" si="19"/>
        <v>0.28888421681081455</v>
      </c>
      <c r="N150" s="5">
        <v>1</v>
      </c>
      <c r="O150" s="10">
        <f t="shared" si="20"/>
        <v>0.28888421681081455</v>
      </c>
    </row>
    <row r="151" spans="2:15" ht="13.5" customHeight="1">
      <c r="B151" s="24">
        <f t="shared" si="21"/>
        <v>116</v>
      </c>
      <c r="C151" s="25"/>
      <c r="D151" s="25"/>
      <c r="E151" s="26"/>
      <c r="F151" s="30" t="s">
        <v>13</v>
      </c>
      <c r="G151" s="6">
        <v>22816.85</v>
      </c>
      <c r="H151" s="28">
        <v>3417.98</v>
      </c>
      <c r="I151" s="28">
        <v>6830</v>
      </c>
      <c r="J151" s="28"/>
      <c r="K151" s="6">
        <f t="shared" si="18"/>
        <v>33064.83</v>
      </c>
      <c r="L151" s="36">
        <v>9000</v>
      </c>
      <c r="M151" s="9">
        <f t="shared" si="19"/>
        <v>0.27219253811376015</v>
      </c>
      <c r="N151" s="5">
        <v>1</v>
      </c>
      <c r="O151" s="10">
        <f t="shared" si="20"/>
        <v>0.27219253811376015</v>
      </c>
    </row>
    <row r="152" spans="2:15" ht="13.5" customHeight="1">
      <c r="B152" s="24">
        <f t="shared" si="21"/>
        <v>117</v>
      </c>
      <c r="C152" s="25"/>
      <c r="D152" s="25"/>
      <c r="E152" s="26"/>
      <c r="F152" s="30" t="s">
        <v>13</v>
      </c>
      <c r="G152" s="6">
        <v>22816.85</v>
      </c>
      <c r="H152" s="28">
        <v>3417.98</v>
      </c>
      <c r="I152" s="28">
        <v>6830</v>
      </c>
      <c r="J152" s="28"/>
      <c r="K152" s="6">
        <f t="shared" si="18"/>
        <v>33064.83</v>
      </c>
      <c r="L152" s="36">
        <v>9000</v>
      </c>
      <c r="M152" s="9">
        <f t="shared" si="19"/>
        <v>0.27219253811376015</v>
      </c>
      <c r="N152" s="5">
        <v>1</v>
      </c>
      <c r="O152" s="10">
        <f t="shared" si="20"/>
        <v>0.27219253811376015</v>
      </c>
    </row>
    <row r="153" spans="2:15" ht="13.5" customHeight="1">
      <c r="B153" s="24">
        <f t="shared" si="21"/>
        <v>118</v>
      </c>
      <c r="C153" s="25"/>
      <c r="D153" s="25"/>
      <c r="E153" s="26"/>
      <c r="F153" s="30" t="s">
        <v>13</v>
      </c>
      <c r="G153" s="6">
        <v>20906.37</v>
      </c>
      <c r="H153" s="28">
        <v>3417.98</v>
      </c>
      <c r="I153" s="28">
        <v>6830</v>
      </c>
      <c r="J153" s="28"/>
      <c r="K153" s="6">
        <f t="shared" si="18"/>
        <v>31154.35</v>
      </c>
      <c r="L153" s="36">
        <v>9000</v>
      </c>
      <c r="M153" s="9">
        <f t="shared" si="19"/>
        <v>0.28888421681081455</v>
      </c>
      <c r="N153" s="5">
        <v>1</v>
      </c>
      <c r="O153" s="10">
        <f t="shared" si="20"/>
        <v>0.28888421681081455</v>
      </c>
    </row>
    <row r="154" spans="2:15" ht="13.5" customHeight="1">
      <c r="B154" s="24">
        <f t="shared" si="21"/>
        <v>119</v>
      </c>
      <c r="C154" s="25"/>
      <c r="D154" s="25"/>
      <c r="E154" s="26"/>
      <c r="F154" s="30" t="s">
        <v>13</v>
      </c>
      <c r="G154" s="6">
        <v>29185.119999999999</v>
      </c>
      <c r="H154" s="28">
        <v>3417.98</v>
      </c>
      <c r="I154" s="28">
        <v>6830</v>
      </c>
      <c r="J154" s="28"/>
      <c r="K154" s="6">
        <f t="shared" si="18"/>
        <v>39433.1</v>
      </c>
      <c r="L154" s="36">
        <v>9000</v>
      </c>
      <c r="M154" s="9">
        <f t="shared" si="19"/>
        <v>0.22823465565730314</v>
      </c>
      <c r="N154" s="5">
        <v>1</v>
      </c>
      <c r="O154" s="10">
        <f t="shared" si="20"/>
        <v>0.22823465565730314</v>
      </c>
    </row>
    <row r="155" spans="2:15" ht="13.5" customHeight="1">
      <c r="B155" s="24">
        <f t="shared" si="21"/>
        <v>120</v>
      </c>
      <c r="C155" s="25"/>
      <c r="D155" s="25"/>
      <c r="E155" s="26"/>
      <c r="F155" s="30" t="s">
        <v>13</v>
      </c>
      <c r="G155" s="6">
        <v>22816.85</v>
      </c>
      <c r="H155" s="28">
        <v>3417.98</v>
      </c>
      <c r="I155" s="28">
        <v>6830</v>
      </c>
      <c r="J155" s="28"/>
      <c r="K155" s="6">
        <f t="shared" si="18"/>
        <v>33064.83</v>
      </c>
      <c r="L155" s="36">
        <v>9000</v>
      </c>
      <c r="M155" s="9">
        <f t="shared" si="19"/>
        <v>0.27219253811376015</v>
      </c>
      <c r="N155" s="5">
        <v>1</v>
      </c>
      <c r="O155" s="10">
        <f t="shared" si="20"/>
        <v>0.27219253811376015</v>
      </c>
    </row>
    <row r="156" spans="2:15" ht="13.5" customHeight="1">
      <c r="B156" s="24">
        <f t="shared" si="21"/>
        <v>121</v>
      </c>
      <c r="C156" s="25"/>
      <c r="D156" s="25"/>
      <c r="E156" s="26"/>
      <c r="F156" s="30" t="s">
        <v>13</v>
      </c>
      <c r="G156" s="6">
        <v>22816.85</v>
      </c>
      <c r="H156" s="28">
        <v>3417.98</v>
      </c>
      <c r="I156" s="28">
        <v>6830</v>
      </c>
      <c r="J156" s="28"/>
      <c r="K156" s="6">
        <f t="shared" si="18"/>
        <v>33064.83</v>
      </c>
      <c r="L156" s="36">
        <v>9000</v>
      </c>
      <c r="M156" s="9">
        <f t="shared" si="19"/>
        <v>0.27219253811376015</v>
      </c>
      <c r="N156" s="5">
        <v>1</v>
      </c>
      <c r="O156" s="10">
        <f t="shared" si="20"/>
        <v>0.27219253811376015</v>
      </c>
    </row>
    <row r="157" spans="2:15" ht="13.5" customHeight="1">
      <c r="B157" s="24">
        <f t="shared" si="21"/>
        <v>122</v>
      </c>
      <c r="C157" s="25"/>
      <c r="D157" s="25"/>
      <c r="E157" s="26"/>
      <c r="F157" s="30" t="s">
        <v>13</v>
      </c>
      <c r="G157" s="6">
        <v>22816.85</v>
      </c>
      <c r="H157" s="28">
        <v>3417.98</v>
      </c>
      <c r="I157" s="28">
        <v>6830</v>
      </c>
      <c r="J157" s="28"/>
      <c r="K157" s="6">
        <f t="shared" si="18"/>
        <v>33064.83</v>
      </c>
      <c r="L157" s="36">
        <v>9000</v>
      </c>
      <c r="M157" s="9">
        <f t="shared" si="19"/>
        <v>0.27219253811376015</v>
      </c>
      <c r="N157" s="5">
        <v>1</v>
      </c>
      <c r="O157" s="10">
        <f t="shared" si="20"/>
        <v>0.27219253811376015</v>
      </c>
    </row>
    <row r="158" spans="2:15" ht="13.5" customHeight="1">
      <c r="B158" s="24">
        <f t="shared" si="21"/>
        <v>123</v>
      </c>
      <c r="C158" s="25"/>
      <c r="D158" s="25"/>
      <c r="E158" s="26"/>
      <c r="F158" s="30" t="s">
        <v>13</v>
      </c>
      <c r="G158" s="6">
        <v>29185.119999999999</v>
      </c>
      <c r="H158" s="28">
        <v>3417.98</v>
      </c>
      <c r="I158" s="28">
        <v>6830</v>
      </c>
      <c r="J158" s="28"/>
      <c r="K158" s="6">
        <f t="shared" si="18"/>
        <v>39433.1</v>
      </c>
      <c r="L158" s="36">
        <v>9000</v>
      </c>
      <c r="M158" s="9">
        <f t="shared" si="19"/>
        <v>0.22823465565730314</v>
      </c>
      <c r="N158" s="5">
        <v>1</v>
      </c>
      <c r="O158" s="10">
        <f t="shared" si="20"/>
        <v>0.22823465565730314</v>
      </c>
    </row>
    <row r="159" spans="2:15" ht="13.5" customHeight="1">
      <c r="B159" s="24">
        <f t="shared" si="21"/>
        <v>124</v>
      </c>
      <c r="C159" s="25"/>
      <c r="D159" s="25"/>
      <c r="E159" s="26"/>
      <c r="F159" s="30" t="s">
        <v>13</v>
      </c>
      <c r="G159" s="6">
        <v>22816.85</v>
      </c>
      <c r="H159" s="28">
        <v>3417.98</v>
      </c>
      <c r="I159" s="28">
        <v>6830</v>
      </c>
      <c r="J159" s="28"/>
      <c r="K159" s="6">
        <f t="shared" si="18"/>
        <v>33064.83</v>
      </c>
      <c r="L159" s="36">
        <v>9000</v>
      </c>
      <c r="M159" s="9">
        <f t="shared" si="19"/>
        <v>0.27219253811376015</v>
      </c>
      <c r="N159" s="5">
        <v>1</v>
      </c>
      <c r="O159" s="10">
        <f t="shared" si="20"/>
        <v>0.27219253811376015</v>
      </c>
    </row>
    <row r="160" spans="2:15" ht="13.5" customHeight="1">
      <c r="B160" s="24">
        <f t="shared" si="21"/>
        <v>125</v>
      </c>
      <c r="C160" s="25"/>
      <c r="D160" s="25"/>
      <c r="E160" s="26"/>
      <c r="F160" s="30" t="s">
        <v>13</v>
      </c>
      <c r="G160" s="6">
        <v>22816.85</v>
      </c>
      <c r="H160" s="28">
        <v>3417.98</v>
      </c>
      <c r="I160" s="28">
        <v>6830</v>
      </c>
      <c r="J160" s="28"/>
      <c r="K160" s="6">
        <f t="shared" si="18"/>
        <v>33064.83</v>
      </c>
      <c r="L160" s="36">
        <v>9000</v>
      </c>
      <c r="M160" s="9">
        <f t="shared" si="19"/>
        <v>0.27219253811376015</v>
      </c>
      <c r="N160" s="5">
        <v>1</v>
      </c>
      <c r="O160" s="10">
        <f t="shared" si="20"/>
        <v>0.27219253811376015</v>
      </c>
    </row>
    <row r="161" spans="2:15" ht="13.5" customHeight="1">
      <c r="B161" s="24">
        <f t="shared" si="21"/>
        <v>126</v>
      </c>
      <c r="C161" s="25"/>
      <c r="D161" s="25"/>
      <c r="E161" s="26"/>
      <c r="F161" s="30" t="s">
        <v>13</v>
      </c>
      <c r="G161" s="6">
        <v>22816.85</v>
      </c>
      <c r="H161" s="28">
        <v>3417.98</v>
      </c>
      <c r="I161" s="28">
        <v>6830</v>
      </c>
      <c r="J161" s="28"/>
      <c r="K161" s="6">
        <f t="shared" si="18"/>
        <v>33064.83</v>
      </c>
      <c r="L161" s="36">
        <v>9000</v>
      </c>
      <c r="M161" s="9">
        <f t="shared" si="19"/>
        <v>0.27219253811376015</v>
      </c>
      <c r="N161" s="5">
        <v>1</v>
      </c>
      <c r="O161" s="10">
        <f t="shared" si="20"/>
        <v>0.27219253811376015</v>
      </c>
    </row>
    <row r="162" spans="2:15" ht="13.5" customHeight="1">
      <c r="B162" s="24">
        <f t="shared" si="21"/>
        <v>127</v>
      </c>
      <c r="C162" s="25"/>
      <c r="D162" s="25"/>
      <c r="E162" s="26"/>
      <c r="F162" s="30" t="s">
        <v>13</v>
      </c>
      <c r="G162" s="6">
        <v>22816.85</v>
      </c>
      <c r="H162" s="28">
        <v>3417.98</v>
      </c>
      <c r="I162" s="28">
        <v>6830</v>
      </c>
      <c r="J162" s="28"/>
      <c r="K162" s="6">
        <f t="shared" si="18"/>
        <v>33064.83</v>
      </c>
      <c r="L162" s="36">
        <v>9000</v>
      </c>
      <c r="M162" s="9">
        <f t="shared" si="19"/>
        <v>0.27219253811376015</v>
      </c>
      <c r="N162" s="5">
        <v>1</v>
      </c>
      <c r="O162" s="10">
        <f t="shared" si="20"/>
        <v>0.27219253811376015</v>
      </c>
    </row>
    <row r="163" spans="2:15" ht="13.5" customHeight="1">
      <c r="B163" s="24">
        <f t="shared" si="21"/>
        <v>128</v>
      </c>
      <c r="C163" s="25"/>
      <c r="D163" s="25"/>
      <c r="E163" s="26"/>
      <c r="F163" s="30" t="s">
        <v>13</v>
      </c>
      <c r="G163" s="6">
        <v>22816.85</v>
      </c>
      <c r="H163" s="28">
        <v>3417.98</v>
      </c>
      <c r="I163" s="28">
        <v>6830</v>
      </c>
      <c r="J163" s="28"/>
      <c r="K163" s="6">
        <f t="shared" si="18"/>
        <v>33064.83</v>
      </c>
      <c r="L163" s="36">
        <v>9000</v>
      </c>
      <c r="M163" s="9">
        <f t="shared" si="19"/>
        <v>0.27219253811376015</v>
      </c>
      <c r="N163" s="5">
        <v>1</v>
      </c>
      <c r="O163" s="10">
        <f t="shared" si="20"/>
        <v>0.27219253811376015</v>
      </c>
    </row>
    <row r="164" spans="2:15" ht="13.5" customHeight="1">
      <c r="B164" s="24">
        <f t="shared" si="21"/>
        <v>129</v>
      </c>
      <c r="C164" s="25"/>
      <c r="D164" s="25"/>
      <c r="E164" s="26"/>
      <c r="F164" s="30" t="s">
        <v>13</v>
      </c>
      <c r="G164" s="6">
        <v>22816.85</v>
      </c>
      <c r="H164" s="28">
        <v>3417.98</v>
      </c>
      <c r="I164" s="28">
        <v>6830</v>
      </c>
      <c r="J164" s="28"/>
      <c r="K164" s="6">
        <f t="shared" si="18"/>
        <v>33064.83</v>
      </c>
      <c r="L164" s="36">
        <v>9000</v>
      </c>
      <c r="M164" s="9">
        <f t="shared" si="19"/>
        <v>0.27219253811376015</v>
      </c>
      <c r="N164" s="5">
        <v>1</v>
      </c>
      <c r="O164" s="10">
        <f t="shared" si="20"/>
        <v>0.27219253811376015</v>
      </c>
    </row>
    <row r="165" spans="2:15" ht="13.5" customHeight="1">
      <c r="B165" s="24">
        <f t="shared" si="21"/>
        <v>130</v>
      </c>
      <c r="C165" s="25"/>
      <c r="D165" s="25"/>
      <c r="E165" s="26"/>
      <c r="F165" s="30" t="s">
        <v>13</v>
      </c>
      <c r="G165" s="6">
        <v>22816.85</v>
      </c>
      <c r="H165" s="28">
        <v>3417.98</v>
      </c>
      <c r="I165" s="28">
        <v>6830</v>
      </c>
      <c r="J165" s="28"/>
      <c r="K165" s="6">
        <f t="shared" ref="K165:K181" si="22">SUM(G165:I165)</f>
        <v>33064.83</v>
      </c>
      <c r="L165" s="36">
        <v>9000</v>
      </c>
      <c r="M165" s="9">
        <f t="shared" ref="M165:M181" si="23">L165/K165</f>
        <v>0.27219253811376015</v>
      </c>
      <c r="N165" s="5">
        <v>1</v>
      </c>
      <c r="O165" s="10">
        <f t="shared" ref="O165:O181" si="24">N165*M165</f>
        <v>0.27219253811376015</v>
      </c>
    </row>
    <row r="166" spans="2:15" ht="13.5" customHeight="1">
      <c r="B166" s="24">
        <f t="shared" ref="B166:B181" si="25">1+B165</f>
        <v>131</v>
      </c>
      <c r="C166" s="25"/>
      <c r="D166" s="25"/>
      <c r="E166" s="26"/>
      <c r="F166" s="30" t="s">
        <v>13</v>
      </c>
      <c r="G166" s="6">
        <v>22816.85</v>
      </c>
      <c r="H166" s="28">
        <v>3417.98</v>
      </c>
      <c r="I166" s="28">
        <v>6830</v>
      </c>
      <c r="J166" s="28"/>
      <c r="K166" s="6">
        <f t="shared" si="22"/>
        <v>33064.83</v>
      </c>
      <c r="L166" s="36">
        <v>9000</v>
      </c>
      <c r="M166" s="9">
        <f t="shared" si="23"/>
        <v>0.27219253811376015</v>
      </c>
      <c r="N166" s="5">
        <v>1</v>
      </c>
      <c r="O166" s="10">
        <f t="shared" si="24"/>
        <v>0.27219253811376015</v>
      </c>
    </row>
    <row r="167" spans="2:15" ht="13.5" customHeight="1">
      <c r="B167" s="24">
        <f t="shared" si="25"/>
        <v>132</v>
      </c>
      <c r="C167" s="25"/>
      <c r="D167" s="25"/>
      <c r="E167" s="26"/>
      <c r="F167" s="30" t="s">
        <v>13</v>
      </c>
      <c r="G167" s="6">
        <v>22816.85</v>
      </c>
      <c r="H167" s="28">
        <v>3417.98</v>
      </c>
      <c r="I167" s="28">
        <v>6830</v>
      </c>
      <c r="J167" s="28"/>
      <c r="K167" s="6">
        <f t="shared" si="22"/>
        <v>33064.83</v>
      </c>
      <c r="L167" s="36">
        <v>9000</v>
      </c>
      <c r="M167" s="9">
        <f t="shared" si="23"/>
        <v>0.27219253811376015</v>
      </c>
      <c r="N167" s="5">
        <v>1</v>
      </c>
      <c r="O167" s="10">
        <f t="shared" si="24"/>
        <v>0.27219253811376015</v>
      </c>
    </row>
    <row r="168" spans="2:15" ht="13.5" customHeight="1">
      <c r="B168" s="24">
        <f t="shared" si="25"/>
        <v>133</v>
      </c>
      <c r="C168" s="25"/>
      <c r="D168" s="25"/>
      <c r="E168" s="26"/>
      <c r="F168" s="30" t="s">
        <v>13</v>
      </c>
      <c r="G168" s="6">
        <v>22816.85</v>
      </c>
      <c r="H168" s="28">
        <v>3417.98</v>
      </c>
      <c r="I168" s="28">
        <v>6830</v>
      </c>
      <c r="J168" s="28"/>
      <c r="K168" s="6">
        <f t="shared" si="22"/>
        <v>33064.83</v>
      </c>
      <c r="L168" s="36">
        <v>9000</v>
      </c>
      <c r="M168" s="9">
        <f t="shared" si="23"/>
        <v>0.27219253811376015</v>
      </c>
      <c r="N168" s="5">
        <v>1</v>
      </c>
      <c r="O168" s="10">
        <f t="shared" si="24"/>
        <v>0.27219253811376015</v>
      </c>
    </row>
    <row r="169" spans="2:15" ht="13.5" customHeight="1">
      <c r="B169" s="24">
        <f t="shared" si="25"/>
        <v>134</v>
      </c>
      <c r="C169" s="25"/>
      <c r="D169" s="25"/>
      <c r="E169" s="26"/>
      <c r="F169" s="30" t="s">
        <v>13</v>
      </c>
      <c r="G169" s="6">
        <v>22816.85</v>
      </c>
      <c r="H169" s="28">
        <v>3417.98</v>
      </c>
      <c r="I169" s="28">
        <v>6830</v>
      </c>
      <c r="J169" s="28"/>
      <c r="K169" s="6">
        <f t="shared" si="22"/>
        <v>33064.83</v>
      </c>
      <c r="L169" s="36">
        <v>9000</v>
      </c>
      <c r="M169" s="9">
        <f t="shared" si="23"/>
        <v>0.27219253811376015</v>
      </c>
      <c r="N169" s="5">
        <v>1</v>
      </c>
      <c r="O169" s="10">
        <f t="shared" si="24"/>
        <v>0.27219253811376015</v>
      </c>
    </row>
    <row r="170" spans="2:15" ht="13.5" customHeight="1">
      <c r="B170" s="24">
        <f t="shared" si="25"/>
        <v>135</v>
      </c>
      <c r="C170" s="25"/>
      <c r="D170" s="25"/>
      <c r="E170" s="26"/>
      <c r="F170" s="30" t="s">
        <v>13</v>
      </c>
      <c r="G170" s="6">
        <v>20906.37</v>
      </c>
      <c r="H170" s="28">
        <v>3417.98</v>
      </c>
      <c r="I170" s="28">
        <v>6830</v>
      </c>
      <c r="J170" s="28"/>
      <c r="K170" s="6">
        <f t="shared" si="22"/>
        <v>31154.35</v>
      </c>
      <c r="L170" s="36">
        <v>9000</v>
      </c>
      <c r="M170" s="9">
        <f t="shared" si="23"/>
        <v>0.28888421681081455</v>
      </c>
      <c r="N170" s="5">
        <v>1</v>
      </c>
      <c r="O170" s="10">
        <f t="shared" si="24"/>
        <v>0.28888421681081455</v>
      </c>
    </row>
    <row r="171" spans="2:15" ht="13.5" customHeight="1">
      <c r="B171" s="24">
        <f t="shared" si="25"/>
        <v>136</v>
      </c>
      <c r="C171" s="25"/>
      <c r="D171" s="25"/>
      <c r="E171" s="26"/>
      <c r="F171" s="30" t="s">
        <v>13</v>
      </c>
      <c r="G171" s="6">
        <v>22816.85</v>
      </c>
      <c r="H171" s="28">
        <v>3417.98</v>
      </c>
      <c r="I171" s="28">
        <v>6830</v>
      </c>
      <c r="J171" s="28"/>
      <c r="K171" s="6">
        <f t="shared" si="22"/>
        <v>33064.83</v>
      </c>
      <c r="L171" s="36">
        <v>9000</v>
      </c>
      <c r="M171" s="9">
        <f t="shared" si="23"/>
        <v>0.27219253811376015</v>
      </c>
      <c r="N171" s="5">
        <v>1</v>
      </c>
      <c r="O171" s="10">
        <f t="shared" si="24"/>
        <v>0.27219253811376015</v>
      </c>
    </row>
    <row r="172" spans="2:15" ht="13.5" customHeight="1">
      <c r="B172" s="24">
        <f t="shared" si="25"/>
        <v>137</v>
      </c>
      <c r="C172" s="25"/>
      <c r="D172" s="25"/>
      <c r="E172" s="26"/>
      <c r="F172" s="30" t="s">
        <v>13</v>
      </c>
      <c r="G172" s="6">
        <v>22816.85</v>
      </c>
      <c r="H172" s="28">
        <v>3417.98</v>
      </c>
      <c r="I172" s="28">
        <v>6830</v>
      </c>
      <c r="J172" s="28"/>
      <c r="K172" s="6">
        <f t="shared" si="22"/>
        <v>33064.83</v>
      </c>
      <c r="L172" s="36">
        <v>9000</v>
      </c>
      <c r="M172" s="9">
        <f t="shared" si="23"/>
        <v>0.27219253811376015</v>
      </c>
      <c r="N172" s="5">
        <v>1</v>
      </c>
      <c r="O172" s="10">
        <f t="shared" si="24"/>
        <v>0.27219253811376015</v>
      </c>
    </row>
    <row r="173" spans="2:15" ht="13.5" customHeight="1">
      <c r="B173" s="24">
        <f t="shared" si="25"/>
        <v>138</v>
      </c>
      <c r="C173" s="25"/>
      <c r="D173" s="25"/>
      <c r="E173" s="26"/>
      <c r="F173" s="30" t="s">
        <v>13</v>
      </c>
      <c r="G173" s="6">
        <v>22816.85</v>
      </c>
      <c r="H173" s="28">
        <v>3417.98</v>
      </c>
      <c r="I173" s="28">
        <v>6830</v>
      </c>
      <c r="J173" s="28"/>
      <c r="K173" s="6">
        <f t="shared" si="22"/>
        <v>33064.83</v>
      </c>
      <c r="L173" s="36">
        <v>9000</v>
      </c>
      <c r="M173" s="9">
        <f t="shared" si="23"/>
        <v>0.27219253811376015</v>
      </c>
      <c r="N173" s="5">
        <v>1</v>
      </c>
      <c r="O173" s="10">
        <f t="shared" si="24"/>
        <v>0.27219253811376015</v>
      </c>
    </row>
    <row r="174" spans="2:15" ht="13.5" customHeight="1">
      <c r="B174" s="24">
        <f t="shared" si="25"/>
        <v>139</v>
      </c>
      <c r="C174" s="25"/>
      <c r="D174" s="25"/>
      <c r="E174" s="26"/>
      <c r="F174" s="30" t="s">
        <v>13</v>
      </c>
      <c r="G174" s="6">
        <v>20906.37</v>
      </c>
      <c r="H174" s="28">
        <v>3417.98</v>
      </c>
      <c r="I174" s="28">
        <v>6830</v>
      </c>
      <c r="J174" s="28"/>
      <c r="K174" s="6">
        <f t="shared" si="22"/>
        <v>31154.35</v>
      </c>
      <c r="L174" s="36">
        <v>9000</v>
      </c>
      <c r="M174" s="9">
        <f t="shared" si="23"/>
        <v>0.28888421681081455</v>
      </c>
      <c r="N174" s="5">
        <v>1</v>
      </c>
      <c r="O174" s="10">
        <f t="shared" si="24"/>
        <v>0.28888421681081455</v>
      </c>
    </row>
    <row r="175" spans="2:15" ht="13.5" customHeight="1">
      <c r="B175" s="24">
        <f t="shared" si="25"/>
        <v>140</v>
      </c>
      <c r="C175" s="25"/>
      <c r="D175" s="25"/>
      <c r="E175" s="26"/>
      <c r="F175" s="30" t="s">
        <v>13</v>
      </c>
      <c r="G175" s="6">
        <v>20906.37</v>
      </c>
      <c r="H175" s="28">
        <v>3417.98</v>
      </c>
      <c r="I175" s="28">
        <v>6830</v>
      </c>
      <c r="J175" s="28"/>
      <c r="K175" s="6">
        <f t="shared" si="22"/>
        <v>31154.35</v>
      </c>
      <c r="L175" s="36">
        <v>9000</v>
      </c>
      <c r="M175" s="9">
        <f t="shared" si="23"/>
        <v>0.28888421681081455</v>
      </c>
      <c r="N175" s="5">
        <v>1</v>
      </c>
      <c r="O175" s="10">
        <f t="shared" si="24"/>
        <v>0.28888421681081455</v>
      </c>
    </row>
    <row r="176" spans="2:15" ht="13.5" customHeight="1">
      <c r="B176" s="24">
        <f t="shared" si="25"/>
        <v>141</v>
      </c>
      <c r="C176" s="25"/>
      <c r="D176" s="25"/>
      <c r="E176" s="26"/>
      <c r="F176" s="30" t="s">
        <v>13</v>
      </c>
      <c r="G176" s="6">
        <v>22816.85</v>
      </c>
      <c r="H176" s="28">
        <v>3417.98</v>
      </c>
      <c r="I176" s="28">
        <v>6830</v>
      </c>
      <c r="J176" s="28"/>
      <c r="K176" s="6">
        <f t="shared" si="22"/>
        <v>33064.83</v>
      </c>
      <c r="L176" s="36">
        <v>9000</v>
      </c>
      <c r="M176" s="9">
        <f t="shared" si="23"/>
        <v>0.27219253811376015</v>
      </c>
      <c r="N176" s="5">
        <v>1</v>
      </c>
      <c r="O176" s="10">
        <f t="shared" si="24"/>
        <v>0.27219253811376015</v>
      </c>
    </row>
    <row r="177" spans="2:15" ht="13.5" customHeight="1">
      <c r="B177" s="24">
        <f t="shared" si="25"/>
        <v>142</v>
      </c>
      <c r="C177" s="25"/>
      <c r="D177" s="25"/>
      <c r="E177" s="26"/>
      <c r="F177" s="30" t="s">
        <v>13</v>
      </c>
      <c r="G177" s="6">
        <v>22816.85</v>
      </c>
      <c r="H177" s="28">
        <v>3417.98</v>
      </c>
      <c r="I177" s="28">
        <v>6830</v>
      </c>
      <c r="J177" s="28"/>
      <c r="K177" s="6">
        <f t="shared" si="22"/>
        <v>33064.83</v>
      </c>
      <c r="L177" s="36">
        <v>9000</v>
      </c>
      <c r="M177" s="9">
        <f t="shared" si="23"/>
        <v>0.27219253811376015</v>
      </c>
      <c r="N177" s="5">
        <v>1</v>
      </c>
      <c r="O177" s="10">
        <f t="shared" si="24"/>
        <v>0.27219253811376015</v>
      </c>
    </row>
    <row r="178" spans="2:15" ht="13.5" customHeight="1">
      <c r="B178" s="24">
        <f t="shared" si="25"/>
        <v>143</v>
      </c>
      <c r="C178" s="25"/>
      <c r="D178" s="25"/>
      <c r="E178" s="26"/>
      <c r="F178" s="30" t="s">
        <v>13</v>
      </c>
      <c r="G178" s="6">
        <v>22816.85</v>
      </c>
      <c r="H178" s="28">
        <v>3417.98</v>
      </c>
      <c r="I178" s="28">
        <v>6830</v>
      </c>
      <c r="J178" s="28"/>
      <c r="K178" s="6">
        <f t="shared" si="22"/>
        <v>33064.83</v>
      </c>
      <c r="L178" s="36">
        <v>9000</v>
      </c>
      <c r="M178" s="9">
        <f t="shared" si="23"/>
        <v>0.27219253811376015</v>
      </c>
      <c r="N178" s="5">
        <v>1</v>
      </c>
      <c r="O178" s="10">
        <f t="shared" si="24"/>
        <v>0.27219253811376015</v>
      </c>
    </row>
    <row r="179" spans="2:15" ht="13.5" customHeight="1">
      <c r="B179" s="24">
        <f t="shared" si="25"/>
        <v>144</v>
      </c>
      <c r="C179" s="25"/>
      <c r="D179" s="25"/>
      <c r="E179" s="26"/>
      <c r="F179" s="30" t="s">
        <v>13</v>
      </c>
      <c r="G179" s="6">
        <v>22816.85</v>
      </c>
      <c r="H179" s="28">
        <v>3417.98</v>
      </c>
      <c r="I179" s="28">
        <v>6830</v>
      </c>
      <c r="J179" s="28"/>
      <c r="K179" s="6">
        <f t="shared" si="22"/>
        <v>33064.83</v>
      </c>
      <c r="L179" s="36">
        <v>9000</v>
      </c>
      <c r="M179" s="9">
        <f t="shared" si="23"/>
        <v>0.27219253811376015</v>
      </c>
      <c r="N179" s="5">
        <v>1</v>
      </c>
      <c r="O179" s="10">
        <f t="shared" si="24"/>
        <v>0.27219253811376015</v>
      </c>
    </row>
    <row r="180" spans="2:15" ht="13.5" customHeight="1">
      <c r="B180" s="24">
        <f t="shared" si="25"/>
        <v>145</v>
      </c>
      <c r="C180" s="25"/>
      <c r="D180" s="25"/>
      <c r="E180" s="26"/>
      <c r="F180" s="30" t="s">
        <v>13</v>
      </c>
      <c r="G180" s="6">
        <v>26000.98</v>
      </c>
      <c r="H180" s="28">
        <v>3417.98</v>
      </c>
      <c r="I180" s="28">
        <v>6830</v>
      </c>
      <c r="J180" s="28"/>
      <c r="K180" s="6">
        <f t="shared" si="22"/>
        <v>36248.959999999999</v>
      </c>
      <c r="L180" s="36">
        <v>9000</v>
      </c>
      <c r="M180" s="9">
        <f t="shared" si="23"/>
        <v>0.24828298522219672</v>
      </c>
      <c r="N180" s="5">
        <v>1</v>
      </c>
      <c r="O180" s="10">
        <f t="shared" si="24"/>
        <v>0.24828298522219672</v>
      </c>
    </row>
    <row r="181" spans="2:15" ht="13.5" customHeight="1">
      <c r="B181" s="24">
        <f t="shared" si="25"/>
        <v>146</v>
      </c>
      <c r="C181" s="25"/>
      <c r="D181" s="25"/>
      <c r="E181" s="26"/>
      <c r="F181" s="30" t="s">
        <v>13</v>
      </c>
      <c r="G181" s="6">
        <v>22816.85</v>
      </c>
      <c r="H181" s="28">
        <v>3417.98</v>
      </c>
      <c r="I181" s="28">
        <v>6830</v>
      </c>
      <c r="J181" s="28"/>
      <c r="K181" s="6">
        <f t="shared" si="22"/>
        <v>33064.83</v>
      </c>
      <c r="L181" s="36">
        <v>9000</v>
      </c>
      <c r="M181" s="9">
        <f t="shared" si="23"/>
        <v>0.27219253811376015</v>
      </c>
      <c r="N181" s="5">
        <v>1</v>
      </c>
      <c r="O181" s="10">
        <f t="shared" si="24"/>
        <v>0.27219253811376015</v>
      </c>
    </row>
    <row r="182" spans="2:15" ht="13.5" customHeight="1">
      <c r="B182" s="25">
        <v>1</v>
      </c>
      <c r="C182" s="25"/>
      <c r="D182" s="25"/>
      <c r="E182" s="26"/>
      <c r="F182" s="15" t="s">
        <v>18</v>
      </c>
      <c r="G182" s="6">
        <v>22816.85</v>
      </c>
      <c r="H182" s="2">
        <v>3417.98</v>
      </c>
      <c r="I182" s="2">
        <v>6080</v>
      </c>
      <c r="J182" s="2"/>
      <c r="K182" s="7">
        <f>SUM(G182:I182)</f>
        <v>32314.829999999998</v>
      </c>
      <c r="L182" s="8">
        <v>9000</v>
      </c>
      <c r="M182" s="9">
        <f t="shared" ref="M182" si="26">L182/K182</f>
        <v>0.27850989777758389</v>
      </c>
      <c r="N182" s="5">
        <v>1</v>
      </c>
      <c r="O182" s="10">
        <f t="shared" ref="O182" si="27">N182*M182</f>
        <v>0.27850989777758389</v>
      </c>
    </row>
    <row r="183" spans="2:15" ht="13.5" customHeight="1">
      <c r="B183" s="25">
        <f>+B182+1</f>
        <v>2</v>
      </c>
      <c r="C183" s="25"/>
      <c r="D183" s="25"/>
      <c r="E183" s="26"/>
      <c r="F183" s="15" t="s">
        <v>18</v>
      </c>
      <c r="G183" s="6">
        <v>20906.37</v>
      </c>
      <c r="H183" s="2">
        <v>3417.98</v>
      </c>
      <c r="I183" s="2">
        <v>6080</v>
      </c>
      <c r="J183" s="2"/>
      <c r="K183" s="7">
        <f t="shared" ref="K183:K246" si="28">SUM(G183:I183)</f>
        <v>30404.35</v>
      </c>
      <c r="L183" s="8">
        <v>9000</v>
      </c>
      <c r="M183" s="9">
        <f t="shared" ref="M183:M246" si="29">L183/K183</f>
        <v>0.29601027484554021</v>
      </c>
      <c r="N183" s="5">
        <v>1</v>
      </c>
      <c r="O183" s="10">
        <f t="shared" ref="O183:O246" si="30">N183*M183</f>
        <v>0.29601027484554021</v>
      </c>
    </row>
    <row r="184" spans="2:15" ht="13.5" customHeight="1">
      <c r="B184" s="25">
        <f t="shared" ref="B184:B247" si="31">+B183+1</f>
        <v>3</v>
      </c>
      <c r="C184" s="25"/>
      <c r="D184" s="25"/>
      <c r="E184" s="26"/>
      <c r="F184" s="15" t="s">
        <v>18</v>
      </c>
      <c r="G184" s="6">
        <v>20906.37</v>
      </c>
      <c r="H184" s="2">
        <v>3417.98</v>
      </c>
      <c r="I184" s="2">
        <v>6080</v>
      </c>
      <c r="J184" s="2"/>
      <c r="K184" s="7">
        <f t="shared" si="28"/>
        <v>30404.35</v>
      </c>
      <c r="L184" s="8">
        <v>9000</v>
      </c>
      <c r="M184" s="9">
        <f t="shared" si="29"/>
        <v>0.29601027484554021</v>
      </c>
      <c r="N184" s="5">
        <v>1</v>
      </c>
      <c r="O184" s="10">
        <f t="shared" si="30"/>
        <v>0.29601027484554021</v>
      </c>
    </row>
    <row r="185" spans="2:15" ht="13.5" customHeight="1">
      <c r="B185" s="25">
        <f t="shared" si="31"/>
        <v>4</v>
      </c>
      <c r="C185" s="25"/>
      <c r="D185" s="25"/>
      <c r="E185" s="26"/>
      <c r="F185" s="15" t="s">
        <v>18</v>
      </c>
      <c r="G185" s="6">
        <v>20906.37</v>
      </c>
      <c r="H185" s="2">
        <v>3417.98</v>
      </c>
      <c r="I185" s="2">
        <v>6080</v>
      </c>
      <c r="J185" s="2"/>
      <c r="K185" s="7">
        <f t="shared" si="28"/>
        <v>30404.35</v>
      </c>
      <c r="L185" s="8">
        <v>9000</v>
      </c>
      <c r="M185" s="9">
        <f t="shared" si="29"/>
        <v>0.29601027484554021</v>
      </c>
      <c r="N185" s="5">
        <v>1</v>
      </c>
      <c r="O185" s="10">
        <f t="shared" si="30"/>
        <v>0.29601027484554021</v>
      </c>
    </row>
    <row r="186" spans="2:15" ht="13.5" customHeight="1">
      <c r="B186" s="25">
        <f t="shared" si="31"/>
        <v>5</v>
      </c>
      <c r="C186" s="25"/>
      <c r="D186" s="25"/>
      <c r="F186" s="15" t="s">
        <v>18</v>
      </c>
      <c r="G186" s="6">
        <v>22816.85</v>
      </c>
      <c r="H186" s="2">
        <v>3417.98</v>
      </c>
      <c r="I186" s="2">
        <v>6080</v>
      </c>
      <c r="J186" s="2"/>
      <c r="K186" s="7">
        <f t="shared" si="28"/>
        <v>32314.829999999998</v>
      </c>
      <c r="L186" s="8">
        <v>9000</v>
      </c>
      <c r="M186" s="9">
        <f t="shared" si="29"/>
        <v>0.27850989777758389</v>
      </c>
      <c r="N186" s="5">
        <v>1</v>
      </c>
      <c r="O186" s="10">
        <f t="shared" si="30"/>
        <v>0.27850989777758389</v>
      </c>
    </row>
    <row r="187" spans="2:15" ht="13.5" customHeight="1">
      <c r="B187" s="25">
        <f t="shared" si="31"/>
        <v>6</v>
      </c>
      <c r="C187" s="25"/>
      <c r="D187" s="25"/>
      <c r="F187" s="15" t="s">
        <v>18</v>
      </c>
      <c r="G187" s="6">
        <v>22816.85</v>
      </c>
      <c r="H187" s="2">
        <v>3417.98</v>
      </c>
      <c r="I187" s="2">
        <v>6080</v>
      </c>
      <c r="J187" s="2"/>
      <c r="K187" s="7">
        <f t="shared" si="28"/>
        <v>32314.829999999998</v>
      </c>
      <c r="L187" s="8">
        <v>9000</v>
      </c>
      <c r="M187" s="9">
        <f t="shared" si="29"/>
        <v>0.27850989777758389</v>
      </c>
      <c r="N187" s="5">
        <v>1</v>
      </c>
      <c r="O187" s="10">
        <f t="shared" si="30"/>
        <v>0.27850989777758389</v>
      </c>
    </row>
    <row r="188" spans="2:15" ht="13.5" customHeight="1">
      <c r="B188" s="25">
        <f t="shared" si="31"/>
        <v>7</v>
      </c>
      <c r="C188" s="25"/>
      <c r="D188" s="25"/>
      <c r="F188" s="15" t="s">
        <v>18</v>
      </c>
      <c r="G188" s="6">
        <v>20906.37</v>
      </c>
      <c r="H188" s="2">
        <v>3417.98</v>
      </c>
      <c r="I188" s="2">
        <v>6080</v>
      </c>
      <c r="J188" s="2"/>
      <c r="K188" s="7">
        <f t="shared" si="28"/>
        <v>30404.35</v>
      </c>
      <c r="L188" s="8">
        <v>9000</v>
      </c>
      <c r="M188" s="9">
        <f t="shared" si="29"/>
        <v>0.29601027484554021</v>
      </c>
      <c r="N188" s="5">
        <v>1</v>
      </c>
      <c r="O188" s="10">
        <f t="shared" si="30"/>
        <v>0.29601027484554021</v>
      </c>
    </row>
    <row r="189" spans="2:15" ht="13.5" customHeight="1">
      <c r="B189" s="25">
        <f t="shared" si="31"/>
        <v>8</v>
      </c>
      <c r="C189" s="25"/>
      <c r="D189" s="25"/>
      <c r="E189" s="26"/>
      <c r="F189" s="15" t="s">
        <v>18</v>
      </c>
      <c r="G189" s="6">
        <v>20906.37</v>
      </c>
      <c r="H189" s="2">
        <v>3417.98</v>
      </c>
      <c r="I189" s="2">
        <v>6080</v>
      </c>
      <c r="J189" s="2"/>
      <c r="K189" s="7">
        <f t="shared" si="28"/>
        <v>30404.35</v>
      </c>
      <c r="L189" s="8">
        <v>9000</v>
      </c>
      <c r="M189" s="9">
        <f t="shared" si="29"/>
        <v>0.29601027484554021</v>
      </c>
      <c r="N189" s="5">
        <v>1</v>
      </c>
      <c r="O189" s="10">
        <f t="shared" si="30"/>
        <v>0.29601027484554021</v>
      </c>
    </row>
    <row r="190" spans="2:15" ht="13.5" customHeight="1">
      <c r="B190" s="25">
        <f t="shared" si="31"/>
        <v>9</v>
      </c>
      <c r="C190" s="25"/>
      <c r="D190" s="25"/>
      <c r="E190" s="26"/>
      <c r="F190" s="15" t="s">
        <v>18</v>
      </c>
      <c r="G190" s="6">
        <v>22816.85</v>
      </c>
      <c r="H190" s="2">
        <v>3417.98</v>
      </c>
      <c r="I190" s="2">
        <v>6080</v>
      </c>
      <c r="J190" s="2"/>
      <c r="K190" s="7">
        <f t="shared" si="28"/>
        <v>32314.829999999998</v>
      </c>
      <c r="L190" s="8">
        <v>9000</v>
      </c>
      <c r="M190" s="9">
        <f t="shared" si="29"/>
        <v>0.27850989777758389</v>
      </c>
      <c r="N190" s="5">
        <v>1</v>
      </c>
      <c r="O190" s="10">
        <f t="shared" si="30"/>
        <v>0.27850989777758389</v>
      </c>
    </row>
    <row r="191" spans="2:15" ht="13.5" customHeight="1">
      <c r="B191" s="25">
        <f t="shared" si="31"/>
        <v>10</v>
      </c>
      <c r="C191" s="25"/>
      <c r="D191" s="25"/>
      <c r="E191" s="26"/>
      <c r="F191" s="15" t="s">
        <v>18</v>
      </c>
      <c r="G191" s="6">
        <v>22816.85</v>
      </c>
      <c r="H191" s="2">
        <v>3417.98</v>
      </c>
      <c r="I191" s="2">
        <v>6080</v>
      </c>
      <c r="J191" s="2"/>
      <c r="K191" s="7">
        <f t="shared" si="28"/>
        <v>32314.829999999998</v>
      </c>
      <c r="L191" s="8">
        <v>9000</v>
      </c>
      <c r="M191" s="9">
        <f t="shared" si="29"/>
        <v>0.27850989777758389</v>
      </c>
      <c r="N191" s="5">
        <v>1</v>
      </c>
      <c r="O191" s="10">
        <f t="shared" si="30"/>
        <v>0.27850989777758389</v>
      </c>
    </row>
    <row r="192" spans="2:15" ht="13.5" customHeight="1">
      <c r="B192" s="25">
        <f t="shared" si="31"/>
        <v>11</v>
      </c>
      <c r="C192" s="25"/>
      <c r="D192" s="25"/>
      <c r="F192" s="15" t="s">
        <v>18</v>
      </c>
      <c r="G192" s="6">
        <v>22816.85</v>
      </c>
      <c r="H192" s="2">
        <v>3417.98</v>
      </c>
      <c r="I192" s="2">
        <v>6080</v>
      </c>
      <c r="J192" s="2"/>
      <c r="K192" s="7">
        <f t="shared" si="28"/>
        <v>32314.829999999998</v>
      </c>
      <c r="L192" s="8">
        <v>9000</v>
      </c>
      <c r="M192" s="9">
        <f t="shared" si="29"/>
        <v>0.27850989777758389</v>
      </c>
      <c r="N192" s="5">
        <v>1</v>
      </c>
      <c r="O192" s="10">
        <f t="shared" si="30"/>
        <v>0.27850989777758389</v>
      </c>
    </row>
    <row r="193" spans="2:15" ht="13.5" customHeight="1">
      <c r="B193" s="25">
        <f t="shared" si="31"/>
        <v>12</v>
      </c>
      <c r="C193" s="25"/>
      <c r="D193" s="25"/>
      <c r="E193" s="26"/>
      <c r="F193" s="15" t="s">
        <v>18</v>
      </c>
      <c r="G193" s="6">
        <v>29185.119999999999</v>
      </c>
      <c r="H193" s="2">
        <v>3417.98</v>
      </c>
      <c r="I193" s="2">
        <v>6080</v>
      </c>
      <c r="J193" s="2"/>
      <c r="K193" s="7">
        <f t="shared" si="28"/>
        <v>38683.1</v>
      </c>
      <c r="L193" s="8">
        <v>9000</v>
      </c>
      <c r="M193" s="9">
        <f t="shared" si="29"/>
        <v>0.23265974030002767</v>
      </c>
      <c r="N193" s="5">
        <v>1</v>
      </c>
      <c r="O193" s="10">
        <f t="shared" si="30"/>
        <v>0.23265974030002767</v>
      </c>
    </row>
    <row r="194" spans="2:15" ht="13.5" customHeight="1">
      <c r="B194" s="25">
        <f t="shared" si="31"/>
        <v>13</v>
      </c>
      <c r="C194" s="25"/>
      <c r="D194" s="25"/>
      <c r="F194" s="15" t="s">
        <v>18</v>
      </c>
      <c r="G194" s="6">
        <v>20906.37</v>
      </c>
      <c r="H194" s="2">
        <v>3417.98</v>
      </c>
      <c r="I194" s="2">
        <v>6080</v>
      </c>
      <c r="J194" s="2"/>
      <c r="K194" s="7">
        <f t="shared" si="28"/>
        <v>30404.35</v>
      </c>
      <c r="L194" s="8">
        <v>9000</v>
      </c>
      <c r="M194" s="9">
        <f t="shared" si="29"/>
        <v>0.29601027484554021</v>
      </c>
      <c r="N194" s="5">
        <v>1</v>
      </c>
      <c r="O194" s="10">
        <f t="shared" si="30"/>
        <v>0.29601027484554021</v>
      </c>
    </row>
    <row r="195" spans="2:15" ht="13.5" customHeight="1">
      <c r="B195" s="25">
        <f t="shared" si="31"/>
        <v>14</v>
      </c>
      <c r="C195" s="25"/>
      <c r="D195" s="25"/>
      <c r="F195" s="15" t="s">
        <v>18</v>
      </c>
      <c r="G195" s="6">
        <v>20906.37</v>
      </c>
      <c r="H195" s="2">
        <v>3417.98</v>
      </c>
      <c r="I195" s="2">
        <v>6080</v>
      </c>
      <c r="J195" s="2"/>
      <c r="K195" s="7">
        <f t="shared" si="28"/>
        <v>30404.35</v>
      </c>
      <c r="L195" s="8">
        <v>9000</v>
      </c>
      <c r="M195" s="9">
        <f t="shared" si="29"/>
        <v>0.29601027484554021</v>
      </c>
      <c r="N195" s="5">
        <v>1</v>
      </c>
      <c r="O195" s="10">
        <f t="shared" si="30"/>
        <v>0.29601027484554021</v>
      </c>
    </row>
    <row r="196" spans="2:15" ht="13.5" customHeight="1">
      <c r="B196" s="25">
        <f t="shared" si="31"/>
        <v>15</v>
      </c>
      <c r="C196" s="25"/>
      <c r="D196" s="25"/>
      <c r="F196" s="15" t="s">
        <v>18</v>
      </c>
      <c r="G196" s="6">
        <v>20906.37</v>
      </c>
      <c r="H196" s="2">
        <v>3417.98</v>
      </c>
      <c r="I196" s="2">
        <v>6080</v>
      </c>
      <c r="J196" s="2"/>
      <c r="K196" s="7">
        <f t="shared" si="28"/>
        <v>30404.35</v>
      </c>
      <c r="L196" s="8">
        <v>9000</v>
      </c>
      <c r="M196" s="9">
        <f t="shared" si="29"/>
        <v>0.29601027484554021</v>
      </c>
      <c r="N196" s="5">
        <v>1</v>
      </c>
      <c r="O196" s="10">
        <f t="shared" si="30"/>
        <v>0.29601027484554021</v>
      </c>
    </row>
    <row r="197" spans="2:15" ht="13.5" customHeight="1">
      <c r="B197" s="25">
        <f t="shared" si="31"/>
        <v>16</v>
      </c>
      <c r="C197" s="25"/>
      <c r="D197" s="25"/>
      <c r="E197" s="26"/>
      <c r="F197" s="15" t="s">
        <v>18</v>
      </c>
      <c r="G197" s="6">
        <v>20906.37</v>
      </c>
      <c r="H197" s="2">
        <v>3417.98</v>
      </c>
      <c r="I197" s="2">
        <v>6080</v>
      </c>
      <c r="J197" s="2"/>
      <c r="K197" s="7">
        <f t="shared" si="28"/>
        <v>30404.35</v>
      </c>
      <c r="L197" s="8">
        <v>9000</v>
      </c>
      <c r="M197" s="9">
        <f t="shared" si="29"/>
        <v>0.29601027484554021</v>
      </c>
      <c r="N197" s="5">
        <v>1</v>
      </c>
      <c r="O197" s="10">
        <f t="shared" si="30"/>
        <v>0.29601027484554021</v>
      </c>
    </row>
    <row r="198" spans="2:15" ht="13.5" customHeight="1">
      <c r="B198" s="25">
        <f t="shared" si="31"/>
        <v>17</v>
      </c>
      <c r="C198" s="25"/>
      <c r="D198" s="25"/>
      <c r="E198" s="26"/>
      <c r="F198" s="15" t="s">
        <v>18</v>
      </c>
      <c r="G198" s="6">
        <v>22816.85</v>
      </c>
      <c r="H198" s="2">
        <v>3417.98</v>
      </c>
      <c r="I198" s="2">
        <v>6080</v>
      </c>
      <c r="J198" s="2"/>
      <c r="K198" s="7">
        <f t="shared" si="28"/>
        <v>32314.829999999998</v>
      </c>
      <c r="L198" s="8">
        <v>9000</v>
      </c>
      <c r="M198" s="9">
        <f t="shared" si="29"/>
        <v>0.27850989777758389</v>
      </c>
      <c r="N198" s="5">
        <v>1</v>
      </c>
      <c r="O198" s="10">
        <f t="shared" si="30"/>
        <v>0.27850989777758389</v>
      </c>
    </row>
    <row r="199" spans="2:15" ht="13.5" customHeight="1">
      <c r="B199" s="25">
        <f t="shared" si="31"/>
        <v>18</v>
      </c>
      <c r="C199" s="25"/>
      <c r="D199" s="25"/>
      <c r="E199" s="26"/>
      <c r="F199" s="15" t="s">
        <v>18</v>
      </c>
      <c r="G199" s="6">
        <v>22816.85</v>
      </c>
      <c r="H199" s="2">
        <v>3417.98</v>
      </c>
      <c r="I199" s="2">
        <v>6080</v>
      </c>
      <c r="J199" s="2"/>
      <c r="K199" s="7">
        <f t="shared" si="28"/>
        <v>32314.829999999998</v>
      </c>
      <c r="L199" s="8">
        <v>9000</v>
      </c>
      <c r="M199" s="9">
        <f t="shared" si="29"/>
        <v>0.27850989777758389</v>
      </c>
      <c r="N199" s="5">
        <v>1</v>
      </c>
      <c r="O199" s="10">
        <f t="shared" si="30"/>
        <v>0.27850989777758389</v>
      </c>
    </row>
    <row r="200" spans="2:15" ht="13.5" customHeight="1">
      <c r="B200" s="25">
        <f t="shared" si="31"/>
        <v>19</v>
      </c>
      <c r="C200" s="25"/>
      <c r="D200" s="25"/>
      <c r="E200" s="26"/>
      <c r="F200" s="15" t="s">
        <v>18</v>
      </c>
      <c r="G200" s="6">
        <v>20906.37</v>
      </c>
      <c r="H200" s="2">
        <v>3417.98</v>
      </c>
      <c r="I200" s="2">
        <v>6080</v>
      </c>
      <c r="J200" s="2"/>
      <c r="K200" s="7">
        <f t="shared" si="28"/>
        <v>30404.35</v>
      </c>
      <c r="L200" s="8">
        <v>9000</v>
      </c>
      <c r="M200" s="9">
        <f t="shared" si="29"/>
        <v>0.29601027484554021</v>
      </c>
      <c r="N200" s="5">
        <v>1</v>
      </c>
      <c r="O200" s="10">
        <f t="shared" si="30"/>
        <v>0.29601027484554021</v>
      </c>
    </row>
    <row r="201" spans="2:15" ht="13.5" customHeight="1">
      <c r="B201" s="25">
        <f t="shared" si="31"/>
        <v>20</v>
      </c>
      <c r="C201" s="25"/>
      <c r="D201" s="25"/>
      <c r="E201" s="26"/>
      <c r="F201" s="15" t="s">
        <v>18</v>
      </c>
      <c r="G201" s="6">
        <v>20906.37</v>
      </c>
      <c r="H201" s="2">
        <v>3417.98</v>
      </c>
      <c r="I201" s="2">
        <v>6080</v>
      </c>
      <c r="J201" s="2"/>
      <c r="K201" s="7">
        <f t="shared" si="28"/>
        <v>30404.35</v>
      </c>
      <c r="L201" s="8">
        <v>9000</v>
      </c>
      <c r="M201" s="9">
        <f t="shared" si="29"/>
        <v>0.29601027484554021</v>
      </c>
      <c r="N201" s="5">
        <v>1</v>
      </c>
      <c r="O201" s="10">
        <f t="shared" si="30"/>
        <v>0.29601027484554021</v>
      </c>
    </row>
    <row r="202" spans="2:15" ht="13.5" customHeight="1">
      <c r="B202" s="25">
        <f t="shared" si="31"/>
        <v>21</v>
      </c>
      <c r="C202" s="25"/>
      <c r="D202" s="25"/>
      <c r="F202" s="15" t="s">
        <v>18</v>
      </c>
      <c r="G202" s="6">
        <v>22816.85</v>
      </c>
      <c r="H202" s="2">
        <v>3417.98</v>
      </c>
      <c r="I202" s="2">
        <v>6080</v>
      </c>
      <c r="J202" s="2"/>
      <c r="K202" s="7">
        <f t="shared" si="28"/>
        <v>32314.829999999998</v>
      </c>
      <c r="L202" s="8">
        <v>9000</v>
      </c>
      <c r="M202" s="9">
        <f t="shared" si="29"/>
        <v>0.27850989777758389</v>
      </c>
      <c r="N202" s="5">
        <v>1</v>
      </c>
      <c r="O202" s="10">
        <f t="shared" si="30"/>
        <v>0.27850989777758389</v>
      </c>
    </row>
    <row r="203" spans="2:15" ht="13.5" customHeight="1">
      <c r="B203" s="25">
        <f t="shared" si="31"/>
        <v>22</v>
      </c>
      <c r="C203" s="25"/>
      <c r="D203" s="25"/>
      <c r="E203" s="26"/>
      <c r="F203" s="15" t="s">
        <v>18</v>
      </c>
      <c r="G203" s="6">
        <v>22816.85</v>
      </c>
      <c r="H203" s="2">
        <v>3417.98</v>
      </c>
      <c r="I203" s="2">
        <v>6080</v>
      </c>
      <c r="J203" s="2"/>
      <c r="K203" s="7">
        <f t="shared" si="28"/>
        <v>32314.829999999998</v>
      </c>
      <c r="L203" s="8">
        <v>9000</v>
      </c>
      <c r="M203" s="9">
        <f t="shared" si="29"/>
        <v>0.27850989777758389</v>
      </c>
      <c r="N203" s="5">
        <v>1</v>
      </c>
      <c r="O203" s="10">
        <f t="shared" si="30"/>
        <v>0.27850989777758389</v>
      </c>
    </row>
    <row r="204" spans="2:15" ht="13.5" customHeight="1">
      <c r="B204" s="25">
        <f t="shared" si="31"/>
        <v>23</v>
      </c>
      <c r="C204" s="25"/>
      <c r="D204" s="25"/>
      <c r="E204" s="26"/>
      <c r="F204" s="15" t="s">
        <v>18</v>
      </c>
      <c r="G204" s="6">
        <v>22816.85</v>
      </c>
      <c r="H204" s="2">
        <v>3417.98</v>
      </c>
      <c r="I204" s="2">
        <v>6080</v>
      </c>
      <c r="J204" s="2"/>
      <c r="K204" s="7">
        <f t="shared" si="28"/>
        <v>32314.829999999998</v>
      </c>
      <c r="L204" s="8">
        <v>9000</v>
      </c>
      <c r="M204" s="9">
        <f t="shared" si="29"/>
        <v>0.27850989777758389</v>
      </c>
      <c r="N204" s="5">
        <v>1</v>
      </c>
      <c r="O204" s="10">
        <f t="shared" si="30"/>
        <v>0.27850989777758389</v>
      </c>
    </row>
    <row r="205" spans="2:15" ht="13.5" customHeight="1">
      <c r="B205" s="25">
        <f t="shared" si="31"/>
        <v>24</v>
      </c>
      <c r="C205" s="25"/>
      <c r="D205" s="25"/>
      <c r="E205" s="26"/>
      <c r="F205" s="15" t="s">
        <v>18</v>
      </c>
      <c r="G205" s="6">
        <v>22816.799999999999</v>
      </c>
      <c r="H205" s="2">
        <v>3417.98</v>
      </c>
      <c r="I205" s="2">
        <v>6080</v>
      </c>
      <c r="J205" s="2"/>
      <c r="K205" s="7">
        <f t="shared" si="28"/>
        <v>32314.78</v>
      </c>
      <c r="L205" s="8">
        <v>9000</v>
      </c>
      <c r="M205" s="9">
        <f t="shared" si="29"/>
        <v>0.27851032871026821</v>
      </c>
      <c r="N205" s="5">
        <v>1</v>
      </c>
      <c r="O205" s="10">
        <f t="shared" si="30"/>
        <v>0.27851032871026821</v>
      </c>
    </row>
    <row r="206" spans="2:15" ht="13.5" customHeight="1">
      <c r="B206" s="25">
        <f t="shared" si="31"/>
        <v>25</v>
      </c>
      <c r="C206" s="25"/>
      <c r="D206" s="25"/>
      <c r="E206" s="26"/>
      <c r="F206" s="15" t="s">
        <v>18</v>
      </c>
      <c r="G206" s="6">
        <v>20906.37</v>
      </c>
      <c r="H206" s="2">
        <v>3417.98</v>
      </c>
      <c r="I206" s="2">
        <v>6080</v>
      </c>
      <c r="J206" s="2"/>
      <c r="K206" s="7">
        <f t="shared" si="28"/>
        <v>30404.35</v>
      </c>
      <c r="L206" s="8">
        <v>9000</v>
      </c>
      <c r="M206" s="9">
        <f t="shared" si="29"/>
        <v>0.29601027484554021</v>
      </c>
      <c r="N206" s="5">
        <v>1</v>
      </c>
      <c r="O206" s="10">
        <f t="shared" si="30"/>
        <v>0.29601027484554021</v>
      </c>
    </row>
    <row r="207" spans="2:15" ht="13.5" customHeight="1">
      <c r="B207" s="25">
        <f t="shared" si="31"/>
        <v>26</v>
      </c>
      <c r="C207" s="25"/>
      <c r="D207" s="25"/>
      <c r="E207" s="26"/>
      <c r="F207" s="15" t="s">
        <v>18</v>
      </c>
      <c r="G207" s="6">
        <v>20906.37</v>
      </c>
      <c r="H207" s="2">
        <v>3417.98</v>
      </c>
      <c r="I207" s="2">
        <v>6080</v>
      </c>
      <c r="J207" s="2"/>
      <c r="K207" s="7">
        <f t="shared" si="28"/>
        <v>30404.35</v>
      </c>
      <c r="L207" s="8">
        <v>9000</v>
      </c>
      <c r="M207" s="9">
        <f t="shared" si="29"/>
        <v>0.29601027484554021</v>
      </c>
      <c r="N207" s="5">
        <v>1</v>
      </c>
      <c r="O207" s="10">
        <f t="shared" si="30"/>
        <v>0.29601027484554021</v>
      </c>
    </row>
    <row r="208" spans="2:15" ht="13.5" customHeight="1">
      <c r="B208" s="25">
        <f t="shared" si="31"/>
        <v>27</v>
      </c>
      <c r="C208" s="25"/>
      <c r="D208" s="25"/>
      <c r="E208" s="26"/>
      <c r="F208" s="15" t="s">
        <v>18</v>
      </c>
      <c r="G208" s="6">
        <v>20906.37</v>
      </c>
      <c r="H208" s="2">
        <v>3417.98</v>
      </c>
      <c r="I208" s="2">
        <v>6080</v>
      </c>
      <c r="J208" s="2"/>
      <c r="K208" s="7">
        <f t="shared" si="28"/>
        <v>30404.35</v>
      </c>
      <c r="L208" s="8">
        <v>9000</v>
      </c>
      <c r="M208" s="9">
        <f t="shared" si="29"/>
        <v>0.29601027484554021</v>
      </c>
      <c r="N208" s="5">
        <v>1</v>
      </c>
      <c r="O208" s="10">
        <f t="shared" si="30"/>
        <v>0.29601027484554021</v>
      </c>
    </row>
    <row r="209" spans="2:15" ht="13.5" customHeight="1">
      <c r="B209" s="25">
        <f t="shared" si="31"/>
        <v>28</v>
      </c>
      <c r="C209" s="25"/>
      <c r="D209" s="25"/>
      <c r="F209" s="15" t="s">
        <v>18</v>
      </c>
      <c r="G209" s="6">
        <v>22816.85</v>
      </c>
      <c r="H209" s="2">
        <v>3417.98</v>
      </c>
      <c r="I209" s="2">
        <v>6080</v>
      </c>
      <c r="J209" s="2"/>
      <c r="K209" s="7">
        <f t="shared" si="28"/>
        <v>32314.829999999998</v>
      </c>
      <c r="L209" s="8">
        <v>9000</v>
      </c>
      <c r="M209" s="9">
        <f t="shared" si="29"/>
        <v>0.27850989777758389</v>
      </c>
      <c r="N209" s="5">
        <v>1</v>
      </c>
      <c r="O209" s="10">
        <f t="shared" si="30"/>
        <v>0.27850989777758389</v>
      </c>
    </row>
    <row r="210" spans="2:15" ht="13.5" customHeight="1">
      <c r="B210" s="25">
        <f t="shared" si="31"/>
        <v>29</v>
      </c>
      <c r="C210" s="25"/>
      <c r="D210" s="25"/>
      <c r="F210" s="15" t="s">
        <v>18</v>
      </c>
      <c r="G210" s="6">
        <v>22816.85</v>
      </c>
      <c r="H210" s="2">
        <v>3417.98</v>
      </c>
      <c r="I210" s="2">
        <v>6080</v>
      </c>
      <c r="J210" s="2"/>
      <c r="K210" s="7">
        <f t="shared" si="28"/>
        <v>32314.829999999998</v>
      </c>
      <c r="L210" s="8">
        <v>9000</v>
      </c>
      <c r="M210" s="9">
        <f t="shared" si="29"/>
        <v>0.27850989777758389</v>
      </c>
      <c r="N210" s="5">
        <v>1</v>
      </c>
      <c r="O210" s="10">
        <f t="shared" si="30"/>
        <v>0.27850989777758389</v>
      </c>
    </row>
    <row r="211" spans="2:15" ht="13.5" customHeight="1">
      <c r="B211" s="25">
        <f t="shared" si="31"/>
        <v>30</v>
      </c>
      <c r="C211" s="25"/>
      <c r="D211" s="25"/>
      <c r="E211" s="31"/>
      <c r="F211" s="15" t="s">
        <v>18</v>
      </c>
      <c r="G211" s="6">
        <v>20906.37</v>
      </c>
      <c r="H211" s="2">
        <v>3417.98</v>
      </c>
      <c r="I211" s="2">
        <v>6080</v>
      </c>
      <c r="J211" s="2"/>
      <c r="K211" s="7">
        <f t="shared" si="28"/>
        <v>30404.35</v>
      </c>
      <c r="L211" s="8">
        <v>9000</v>
      </c>
      <c r="M211" s="9">
        <f t="shared" si="29"/>
        <v>0.29601027484554021</v>
      </c>
      <c r="N211" s="5">
        <v>1</v>
      </c>
      <c r="O211" s="10">
        <f t="shared" si="30"/>
        <v>0.29601027484554021</v>
      </c>
    </row>
    <row r="212" spans="2:15" ht="13.5" customHeight="1">
      <c r="B212" s="25">
        <f t="shared" si="31"/>
        <v>31</v>
      </c>
      <c r="C212" s="25"/>
      <c r="D212" s="25"/>
      <c r="E212" s="31"/>
      <c r="F212" s="15" t="s">
        <v>18</v>
      </c>
      <c r="G212" s="6">
        <v>20906.37</v>
      </c>
      <c r="H212" s="2">
        <v>3417.98</v>
      </c>
      <c r="I212" s="2">
        <v>6080</v>
      </c>
      <c r="J212" s="2"/>
      <c r="K212" s="7">
        <f t="shared" si="28"/>
        <v>30404.35</v>
      </c>
      <c r="L212" s="8">
        <v>9000</v>
      </c>
      <c r="M212" s="9">
        <f t="shared" si="29"/>
        <v>0.29601027484554021</v>
      </c>
      <c r="N212" s="5">
        <v>1</v>
      </c>
      <c r="O212" s="10">
        <f t="shared" si="30"/>
        <v>0.29601027484554021</v>
      </c>
    </row>
    <row r="213" spans="2:15" ht="13.5" customHeight="1">
      <c r="B213" s="25">
        <f t="shared" si="31"/>
        <v>32</v>
      </c>
      <c r="C213" s="25"/>
      <c r="D213" s="25"/>
      <c r="E213" s="31"/>
      <c r="F213" s="15" t="s">
        <v>18</v>
      </c>
      <c r="G213" s="6">
        <v>22816.85</v>
      </c>
      <c r="H213" s="2">
        <v>3417.98</v>
      </c>
      <c r="I213" s="2">
        <v>6080</v>
      </c>
      <c r="J213" s="2"/>
      <c r="K213" s="7">
        <f t="shared" si="28"/>
        <v>32314.829999999998</v>
      </c>
      <c r="L213" s="8">
        <v>9000</v>
      </c>
      <c r="M213" s="9">
        <f t="shared" si="29"/>
        <v>0.27850989777758389</v>
      </c>
      <c r="N213" s="5">
        <v>1</v>
      </c>
      <c r="O213" s="10">
        <f t="shared" si="30"/>
        <v>0.27850989777758389</v>
      </c>
    </row>
    <row r="214" spans="2:15" ht="13.5" customHeight="1">
      <c r="B214" s="25">
        <f t="shared" si="31"/>
        <v>33</v>
      </c>
      <c r="C214" s="25"/>
      <c r="D214" s="25"/>
      <c r="E214" s="31"/>
      <c r="F214" s="15" t="s">
        <v>18</v>
      </c>
      <c r="G214" s="6">
        <v>20906.37</v>
      </c>
      <c r="H214" s="2">
        <v>3417.98</v>
      </c>
      <c r="I214" s="2">
        <v>6080</v>
      </c>
      <c r="J214" s="2"/>
      <c r="K214" s="7">
        <f t="shared" si="28"/>
        <v>30404.35</v>
      </c>
      <c r="L214" s="8">
        <v>9000</v>
      </c>
      <c r="M214" s="9">
        <f t="shared" si="29"/>
        <v>0.29601027484554021</v>
      </c>
      <c r="N214" s="5">
        <v>1</v>
      </c>
      <c r="O214" s="10">
        <f t="shared" si="30"/>
        <v>0.29601027484554021</v>
      </c>
    </row>
    <row r="215" spans="2:15" ht="13.5" customHeight="1">
      <c r="B215" s="25">
        <f t="shared" si="31"/>
        <v>34</v>
      </c>
      <c r="C215" s="25"/>
      <c r="D215" s="25"/>
      <c r="E215" s="31"/>
      <c r="F215" s="15" t="s">
        <v>18</v>
      </c>
      <c r="G215" s="6">
        <v>20906.37</v>
      </c>
      <c r="H215" s="2">
        <v>3417.98</v>
      </c>
      <c r="I215" s="2">
        <v>6080</v>
      </c>
      <c r="J215" s="2"/>
      <c r="K215" s="7">
        <f t="shared" si="28"/>
        <v>30404.35</v>
      </c>
      <c r="L215" s="8">
        <v>9000</v>
      </c>
      <c r="M215" s="9">
        <f t="shared" si="29"/>
        <v>0.29601027484554021</v>
      </c>
      <c r="N215" s="5">
        <v>1</v>
      </c>
      <c r="O215" s="10">
        <f t="shared" si="30"/>
        <v>0.29601027484554021</v>
      </c>
    </row>
    <row r="216" spans="2:15" ht="13.5" customHeight="1">
      <c r="B216" s="25">
        <f t="shared" si="31"/>
        <v>35</v>
      </c>
      <c r="C216" s="25"/>
      <c r="D216" s="25"/>
      <c r="E216" s="31"/>
      <c r="F216" s="15" t="s">
        <v>18</v>
      </c>
      <c r="G216" s="6">
        <v>20906.37</v>
      </c>
      <c r="H216" s="2">
        <v>3417.98</v>
      </c>
      <c r="I216" s="2">
        <v>6080</v>
      </c>
      <c r="J216" s="2"/>
      <c r="K216" s="7">
        <f t="shared" si="28"/>
        <v>30404.35</v>
      </c>
      <c r="L216" s="8">
        <v>9000</v>
      </c>
      <c r="M216" s="9">
        <f t="shared" si="29"/>
        <v>0.29601027484554021</v>
      </c>
      <c r="N216" s="5">
        <v>1</v>
      </c>
      <c r="O216" s="10">
        <f t="shared" si="30"/>
        <v>0.29601027484554021</v>
      </c>
    </row>
    <row r="217" spans="2:15" ht="13.5" customHeight="1">
      <c r="B217" s="25">
        <f t="shared" si="31"/>
        <v>36</v>
      </c>
      <c r="C217" s="25"/>
      <c r="D217" s="25"/>
      <c r="E217" s="31"/>
      <c r="F217" s="15" t="s">
        <v>18</v>
      </c>
      <c r="G217" s="6">
        <v>26000.98</v>
      </c>
      <c r="H217" s="2">
        <v>3417.98</v>
      </c>
      <c r="I217" s="2">
        <v>6080</v>
      </c>
      <c r="J217" s="2"/>
      <c r="K217" s="7">
        <f t="shared" si="28"/>
        <v>35498.959999999999</v>
      </c>
      <c r="L217" s="8">
        <v>9000</v>
      </c>
      <c r="M217" s="9">
        <f t="shared" si="29"/>
        <v>0.25352855407595037</v>
      </c>
      <c r="N217" s="5">
        <v>1</v>
      </c>
      <c r="O217" s="10">
        <f t="shared" si="30"/>
        <v>0.25352855407595037</v>
      </c>
    </row>
    <row r="218" spans="2:15" ht="13.5" customHeight="1">
      <c r="B218" s="25">
        <f t="shared" si="31"/>
        <v>37</v>
      </c>
      <c r="C218" s="25"/>
      <c r="D218" s="25"/>
      <c r="E218" s="31"/>
      <c r="F218" s="15" t="s">
        <v>18</v>
      </c>
      <c r="G218" s="6">
        <v>20906.37</v>
      </c>
      <c r="H218" s="2">
        <v>3417.98</v>
      </c>
      <c r="I218" s="2">
        <v>6080</v>
      </c>
      <c r="J218" s="2"/>
      <c r="K218" s="7">
        <f t="shared" si="28"/>
        <v>30404.35</v>
      </c>
      <c r="L218" s="8">
        <v>9000</v>
      </c>
      <c r="M218" s="9">
        <f t="shared" si="29"/>
        <v>0.29601027484554021</v>
      </c>
      <c r="N218" s="5">
        <v>1</v>
      </c>
      <c r="O218" s="10">
        <f t="shared" si="30"/>
        <v>0.29601027484554021</v>
      </c>
    </row>
    <row r="219" spans="2:15" ht="13.5" customHeight="1">
      <c r="B219" s="25">
        <f t="shared" si="31"/>
        <v>38</v>
      </c>
      <c r="C219" s="25"/>
      <c r="D219" s="25"/>
      <c r="E219" s="31"/>
      <c r="F219" s="15" t="s">
        <v>18</v>
      </c>
      <c r="G219" s="6">
        <v>20906.37</v>
      </c>
      <c r="H219" s="2">
        <v>3417.98</v>
      </c>
      <c r="I219" s="2">
        <v>6080</v>
      </c>
      <c r="J219" s="2"/>
      <c r="K219" s="7">
        <f t="shared" si="28"/>
        <v>30404.35</v>
      </c>
      <c r="L219" s="8">
        <v>9000</v>
      </c>
      <c r="M219" s="9">
        <f t="shared" si="29"/>
        <v>0.29601027484554021</v>
      </c>
      <c r="N219" s="5">
        <v>1</v>
      </c>
      <c r="O219" s="10">
        <f t="shared" si="30"/>
        <v>0.29601027484554021</v>
      </c>
    </row>
    <row r="220" spans="2:15" ht="13.5" customHeight="1">
      <c r="B220" s="25">
        <f t="shared" si="31"/>
        <v>39</v>
      </c>
      <c r="C220" s="25"/>
      <c r="D220" s="25"/>
      <c r="E220" s="31"/>
      <c r="F220" s="15" t="s">
        <v>18</v>
      </c>
      <c r="G220" s="6">
        <v>20906.37</v>
      </c>
      <c r="H220" s="2">
        <v>3417.98</v>
      </c>
      <c r="I220" s="2">
        <v>6080</v>
      </c>
      <c r="J220" s="2"/>
      <c r="K220" s="7">
        <f t="shared" si="28"/>
        <v>30404.35</v>
      </c>
      <c r="L220" s="8">
        <v>9000</v>
      </c>
      <c r="M220" s="9">
        <f t="shared" si="29"/>
        <v>0.29601027484554021</v>
      </c>
      <c r="N220" s="5">
        <v>1</v>
      </c>
      <c r="O220" s="10">
        <f t="shared" si="30"/>
        <v>0.29601027484554021</v>
      </c>
    </row>
    <row r="221" spans="2:15" ht="13.5" customHeight="1">
      <c r="B221" s="25">
        <f t="shared" si="31"/>
        <v>40</v>
      </c>
      <c r="C221" s="25"/>
      <c r="D221" s="25"/>
      <c r="E221" s="31"/>
      <c r="F221" s="15" t="s">
        <v>18</v>
      </c>
      <c r="G221" s="6">
        <v>20906.37</v>
      </c>
      <c r="H221" s="2">
        <v>3417.98</v>
      </c>
      <c r="I221" s="2">
        <v>6080</v>
      </c>
      <c r="J221" s="2"/>
      <c r="K221" s="7">
        <f t="shared" si="28"/>
        <v>30404.35</v>
      </c>
      <c r="L221" s="8">
        <v>9000</v>
      </c>
      <c r="M221" s="9">
        <f t="shared" si="29"/>
        <v>0.29601027484554021</v>
      </c>
      <c r="N221" s="5">
        <v>1</v>
      </c>
      <c r="O221" s="10">
        <f t="shared" si="30"/>
        <v>0.29601027484554021</v>
      </c>
    </row>
    <row r="222" spans="2:15" ht="13.5" customHeight="1">
      <c r="B222" s="25">
        <f t="shared" si="31"/>
        <v>41</v>
      </c>
      <c r="C222" s="25"/>
      <c r="D222" s="25"/>
      <c r="E222" s="31"/>
      <c r="F222" s="15" t="s">
        <v>18</v>
      </c>
      <c r="G222" s="6">
        <v>20906.37</v>
      </c>
      <c r="H222" s="2">
        <v>3417.98</v>
      </c>
      <c r="I222" s="2">
        <v>6080</v>
      </c>
      <c r="J222" s="2"/>
      <c r="K222" s="7">
        <f t="shared" si="28"/>
        <v>30404.35</v>
      </c>
      <c r="L222" s="8">
        <v>9000</v>
      </c>
      <c r="M222" s="9">
        <f t="shared" si="29"/>
        <v>0.29601027484554021</v>
      </c>
      <c r="N222" s="5">
        <v>1</v>
      </c>
      <c r="O222" s="10">
        <f t="shared" si="30"/>
        <v>0.29601027484554021</v>
      </c>
    </row>
    <row r="223" spans="2:15" ht="13.5" customHeight="1">
      <c r="B223" s="25">
        <f t="shared" si="31"/>
        <v>42</v>
      </c>
      <c r="C223" s="25"/>
      <c r="D223" s="25"/>
      <c r="E223" s="31"/>
      <c r="F223" s="15" t="s">
        <v>18</v>
      </c>
      <c r="G223" s="6">
        <v>20906.37</v>
      </c>
      <c r="H223" s="2">
        <v>3417.98</v>
      </c>
      <c r="I223" s="2">
        <v>6080</v>
      </c>
      <c r="J223" s="2"/>
      <c r="K223" s="7">
        <f t="shared" si="28"/>
        <v>30404.35</v>
      </c>
      <c r="L223" s="8">
        <v>9000</v>
      </c>
      <c r="M223" s="9">
        <f t="shared" si="29"/>
        <v>0.29601027484554021</v>
      </c>
      <c r="N223" s="5">
        <v>1</v>
      </c>
      <c r="O223" s="10">
        <f t="shared" si="30"/>
        <v>0.29601027484554021</v>
      </c>
    </row>
    <row r="224" spans="2:15" ht="13.5" customHeight="1">
      <c r="B224" s="25">
        <f t="shared" si="31"/>
        <v>43</v>
      </c>
      <c r="C224" s="25"/>
      <c r="D224" s="25"/>
      <c r="E224" s="31"/>
      <c r="F224" s="15" t="s">
        <v>18</v>
      </c>
      <c r="G224" s="6">
        <v>20906.37</v>
      </c>
      <c r="H224" s="2">
        <v>3417.98</v>
      </c>
      <c r="I224" s="2">
        <v>6080</v>
      </c>
      <c r="J224" s="2"/>
      <c r="K224" s="7">
        <f t="shared" si="28"/>
        <v>30404.35</v>
      </c>
      <c r="L224" s="8">
        <v>9000</v>
      </c>
      <c r="M224" s="9">
        <f t="shared" si="29"/>
        <v>0.29601027484554021</v>
      </c>
      <c r="N224" s="5">
        <v>1</v>
      </c>
      <c r="O224" s="10">
        <f t="shared" si="30"/>
        <v>0.29601027484554021</v>
      </c>
    </row>
    <row r="225" spans="2:15" ht="13.5" customHeight="1">
      <c r="B225" s="25">
        <f t="shared" si="31"/>
        <v>44</v>
      </c>
      <c r="C225" s="25"/>
      <c r="D225" s="25"/>
      <c r="E225" s="31"/>
      <c r="F225" s="15" t="s">
        <v>18</v>
      </c>
      <c r="G225" s="6">
        <v>22816.85</v>
      </c>
      <c r="H225" s="2">
        <v>3417.98</v>
      </c>
      <c r="I225" s="2">
        <v>6080</v>
      </c>
      <c r="J225" s="2"/>
      <c r="K225" s="7">
        <f t="shared" si="28"/>
        <v>32314.829999999998</v>
      </c>
      <c r="L225" s="8">
        <v>9000</v>
      </c>
      <c r="M225" s="9">
        <f t="shared" si="29"/>
        <v>0.27850989777758389</v>
      </c>
      <c r="N225" s="5">
        <v>1</v>
      </c>
      <c r="O225" s="10">
        <f t="shared" si="30"/>
        <v>0.27850989777758389</v>
      </c>
    </row>
    <row r="226" spans="2:15" ht="13.5" customHeight="1">
      <c r="B226" s="25">
        <f t="shared" si="31"/>
        <v>45</v>
      </c>
      <c r="C226" s="25"/>
      <c r="D226" s="25"/>
      <c r="E226" s="31"/>
      <c r="F226" s="15" t="s">
        <v>18</v>
      </c>
      <c r="G226" s="6">
        <v>20906.37</v>
      </c>
      <c r="H226" s="2">
        <v>3417.98</v>
      </c>
      <c r="I226" s="2">
        <v>6080</v>
      </c>
      <c r="J226" s="2"/>
      <c r="K226" s="7">
        <f t="shared" si="28"/>
        <v>30404.35</v>
      </c>
      <c r="L226" s="8">
        <v>9000</v>
      </c>
      <c r="M226" s="9">
        <f t="shared" si="29"/>
        <v>0.29601027484554021</v>
      </c>
      <c r="N226" s="5">
        <v>1</v>
      </c>
      <c r="O226" s="10">
        <f t="shared" si="30"/>
        <v>0.29601027484554021</v>
      </c>
    </row>
    <row r="227" spans="2:15" ht="13.5" customHeight="1">
      <c r="B227" s="25">
        <f t="shared" si="31"/>
        <v>46</v>
      </c>
      <c r="C227" s="25"/>
      <c r="D227" s="25"/>
      <c r="E227" s="31"/>
      <c r="F227" s="15" t="s">
        <v>18</v>
      </c>
      <c r="G227" s="6">
        <v>20906.37</v>
      </c>
      <c r="H227" s="2">
        <v>3417.98</v>
      </c>
      <c r="I227" s="2">
        <v>6080</v>
      </c>
      <c r="J227" s="2"/>
      <c r="K227" s="7">
        <f t="shared" si="28"/>
        <v>30404.35</v>
      </c>
      <c r="L227" s="8">
        <v>9000</v>
      </c>
      <c r="M227" s="9">
        <f t="shared" si="29"/>
        <v>0.29601027484554021</v>
      </c>
      <c r="N227" s="5">
        <v>1</v>
      </c>
      <c r="O227" s="10">
        <f t="shared" si="30"/>
        <v>0.29601027484554021</v>
      </c>
    </row>
    <row r="228" spans="2:15" ht="13.5" customHeight="1">
      <c r="B228" s="25">
        <f t="shared" si="31"/>
        <v>47</v>
      </c>
      <c r="C228" s="25"/>
      <c r="D228" s="25"/>
      <c r="E228" s="31"/>
      <c r="F228" s="15" t="s">
        <v>18</v>
      </c>
      <c r="G228" s="6">
        <v>20906.37</v>
      </c>
      <c r="H228" s="2">
        <v>3417.98</v>
      </c>
      <c r="I228" s="2">
        <v>6080</v>
      </c>
      <c r="J228" s="2"/>
      <c r="K228" s="7">
        <f t="shared" si="28"/>
        <v>30404.35</v>
      </c>
      <c r="L228" s="8">
        <v>9000</v>
      </c>
      <c r="M228" s="9">
        <f t="shared" si="29"/>
        <v>0.29601027484554021</v>
      </c>
      <c r="N228" s="5">
        <v>1</v>
      </c>
      <c r="O228" s="10">
        <f t="shared" si="30"/>
        <v>0.29601027484554021</v>
      </c>
    </row>
    <row r="229" spans="2:15" ht="13.5" customHeight="1">
      <c r="B229" s="25">
        <f t="shared" si="31"/>
        <v>48</v>
      </c>
      <c r="C229" s="25"/>
      <c r="D229" s="25"/>
      <c r="E229" s="31"/>
      <c r="F229" s="15" t="s">
        <v>18</v>
      </c>
      <c r="G229" s="6">
        <v>22816.85</v>
      </c>
      <c r="H229" s="2">
        <v>3417.98</v>
      </c>
      <c r="I229" s="2">
        <v>6080</v>
      </c>
      <c r="J229" s="2"/>
      <c r="K229" s="7">
        <f t="shared" si="28"/>
        <v>32314.829999999998</v>
      </c>
      <c r="L229" s="8">
        <v>9000</v>
      </c>
      <c r="M229" s="9">
        <f t="shared" si="29"/>
        <v>0.27850989777758389</v>
      </c>
      <c r="N229" s="5">
        <v>1</v>
      </c>
      <c r="O229" s="10">
        <f t="shared" si="30"/>
        <v>0.27850989777758389</v>
      </c>
    </row>
    <row r="230" spans="2:15" ht="13.5" customHeight="1">
      <c r="B230" s="25">
        <f t="shared" si="31"/>
        <v>49</v>
      </c>
      <c r="C230" s="25"/>
      <c r="D230" s="25"/>
      <c r="E230" s="31"/>
      <c r="F230" s="15" t="s">
        <v>18</v>
      </c>
      <c r="G230" s="6">
        <v>20906.37</v>
      </c>
      <c r="H230" s="2">
        <v>3417.98</v>
      </c>
      <c r="I230" s="2">
        <v>6080</v>
      </c>
      <c r="J230" s="2"/>
      <c r="K230" s="7">
        <f t="shared" si="28"/>
        <v>30404.35</v>
      </c>
      <c r="L230" s="8">
        <v>9000</v>
      </c>
      <c r="M230" s="9">
        <f t="shared" si="29"/>
        <v>0.29601027484554021</v>
      </c>
      <c r="N230" s="5">
        <v>1</v>
      </c>
      <c r="O230" s="10">
        <f t="shared" si="30"/>
        <v>0.29601027484554021</v>
      </c>
    </row>
    <row r="231" spans="2:15" ht="13.5" customHeight="1">
      <c r="B231" s="25">
        <f t="shared" si="31"/>
        <v>50</v>
      </c>
      <c r="C231" s="25"/>
      <c r="D231" s="25"/>
      <c r="E231" s="31"/>
      <c r="F231" s="15" t="s">
        <v>18</v>
      </c>
      <c r="G231" s="6">
        <v>20906.37</v>
      </c>
      <c r="H231" s="2">
        <v>3417.98</v>
      </c>
      <c r="I231" s="2">
        <v>6080</v>
      </c>
      <c r="J231" s="2"/>
      <c r="K231" s="7">
        <f t="shared" si="28"/>
        <v>30404.35</v>
      </c>
      <c r="L231" s="8">
        <v>9000</v>
      </c>
      <c r="M231" s="9">
        <f t="shared" si="29"/>
        <v>0.29601027484554021</v>
      </c>
      <c r="N231" s="5">
        <v>1</v>
      </c>
      <c r="O231" s="10">
        <f t="shared" si="30"/>
        <v>0.29601027484554021</v>
      </c>
    </row>
    <row r="232" spans="2:15" ht="13.5" customHeight="1">
      <c r="B232" s="25">
        <f t="shared" si="31"/>
        <v>51</v>
      </c>
      <c r="C232" s="25"/>
      <c r="D232" s="25"/>
      <c r="E232" s="31"/>
      <c r="F232" s="15" t="s">
        <v>18</v>
      </c>
      <c r="G232" s="6">
        <v>26000.98</v>
      </c>
      <c r="H232" s="2">
        <v>3417.98</v>
      </c>
      <c r="I232" s="2">
        <v>6080</v>
      </c>
      <c r="J232" s="2"/>
      <c r="K232" s="7">
        <f t="shared" si="28"/>
        <v>35498.959999999999</v>
      </c>
      <c r="L232" s="8">
        <v>9000</v>
      </c>
      <c r="M232" s="9">
        <f t="shared" si="29"/>
        <v>0.25352855407595037</v>
      </c>
      <c r="N232" s="5">
        <v>1</v>
      </c>
      <c r="O232" s="10">
        <f t="shared" si="30"/>
        <v>0.25352855407595037</v>
      </c>
    </row>
    <row r="233" spans="2:15" ht="13.5" customHeight="1">
      <c r="B233" s="25">
        <f t="shared" si="31"/>
        <v>52</v>
      </c>
      <c r="C233" s="25"/>
      <c r="D233" s="25"/>
      <c r="E233" s="31"/>
      <c r="F233" s="15" t="s">
        <v>18</v>
      </c>
      <c r="G233" s="6">
        <v>20906.37</v>
      </c>
      <c r="H233" s="2">
        <v>3417.98</v>
      </c>
      <c r="I233" s="2">
        <v>6080</v>
      </c>
      <c r="J233" s="2"/>
      <c r="K233" s="7">
        <f t="shared" si="28"/>
        <v>30404.35</v>
      </c>
      <c r="L233" s="8">
        <v>9000</v>
      </c>
      <c r="M233" s="9">
        <f t="shared" si="29"/>
        <v>0.29601027484554021</v>
      </c>
      <c r="N233" s="5">
        <v>1</v>
      </c>
      <c r="O233" s="10">
        <f t="shared" si="30"/>
        <v>0.29601027484554021</v>
      </c>
    </row>
    <row r="234" spans="2:15" ht="13.5" customHeight="1">
      <c r="B234" s="25">
        <f t="shared" si="31"/>
        <v>53</v>
      </c>
      <c r="C234" s="25"/>
      <c r="D234" s="25"/>
      <c r="E234" s="31"/>
      <c r="F234" s="15" t="s">
        <v>18</v>
      </c>
      <c r="G234" s="6">
        <v>20906.37</v>
      </c>
      <c r="H234" s="2">
        <v>3417.98</v>
      </c>
      <c r="I234" s="2">
        <v>6080</v>
      </c>
      <c r="J234" s="2"/>
      <c r="K234" s="7">
        <f t="shared" si="28"/>
        <v>30404.35</v>
      </c>
      <c r="L234" s="8">
        <v>9000</v>
      </c>
      <c r="M234" s="9">
        <f t="shared" si="29"/>
        <v>0.29601027484554021</v>
      </c>
      <c r="N234" s="5">
        <v>1</v>
      </c>
      <c r="O234" s="10">
        <f t="shared" si="30"/>
        <v>0.29601027484554021</v>
      </c>
    </row>
    <row r="235" spans="2:15" ht="13.5" customHeight="1">
      <c r="B235" s="25">
        <f t="shared" si="31"/>
        <v>54</v>
      </c>
      <c r="C235" s="25"/>
      <c r="D235" s="25"/>
      <c r="E235" s="31"/>
      <c r="F235" s="15" t="s">
        <v>18</v>
      </c>
      <c r="G235" s="6">
        <v>20906.37</v>
      </c>
      <c r="H235" s="2">
        <v>3417.98</v>
      </c>
      <c r="I235" s="2">
        <v>6080</v>
      </c>
      <c r="J235" s="2"/>
      <c r="K235" s="7">
        <f t="shared" si="28"/>
        <v>30404.35</v>
      </c>
      <c r="L235" s="8">
        <v>9000</v>
      </c>
      <c r="M235" s="9">
        <f t="shared" si="29"/>
        <v>0.29601027484554021</v>
      </c>
      <c r="N235" s="5">
        <v>1</v>
      </c>
      <c r="O235" s="10">
        <f t="shared" si="30"/>
        <v>0.29601027484554021</v>
      </c>
    </row>
    <row r="236" spans="2:15" ht="13.5" customHeight="1">
      <c r="B236" s="25">
        <f t="shared" si="31"/>
        <v>55</v>
      </c>
      <c r="C236" s="25"/>
      <c r="D236" s="25"/>
      <c r="E236" s="31"/>
      <c r="F236" s="15" t="s">
        <v>18</v>
      </c>
      <c r="G236" s="6">
        <v>26000.98</v>
      </c>
      <c r="H236" s="2">
        <v>3417.98</v>
      </c>
      <c r="I236" s="2">
        <v>6080</v>
      </c>
      <c r="J236" s="2"/>
      <c r="K236" s="7">
        <f t="shared" si="28"/>
        <v>35498.959999999999</v>
      </c>
      <c r="L236" s="8">
        <v>9000</v>
      </c>
      <c r="M236" s="9">
        <f t="shared" si="29"/>
        <v>0.25352855407595037</v>
      </c>
      <c r="N236" s="5">
        <v>1</v>
      </c>
      <c r="O236" s="10">
        <f t="shared" si="30"/>
        <v>0.25352855407595037</v>
      </c>
    </row>
    <row r="237" spans="2:15" ht="13.5" customHeight="1">
      <c r="B237" s="25">
        <f t="shared" si="31"/>
        <v>56</v>
      </c>
      <c r="C237" s="25"/>
      <c r="D237" s="25"/>
      <c r="E237" s="31"/>
      <c r="F237" s="15" t="s">
        <v>18</v>
      </c>
      <c r="G237" s="6">
        <v>20906.37</v>
      </c>
      <c r="H237" s="2">
        <v>3417.98</v>
      </c>
      <c r="I237" s="2">
        <v>6080</v>
      </c>
      <c r="J237" s="2"/>
      <c r="K237" s="7">
        <f t="shared" si="28"/>
        <v>30404.35</v>
      </c>
      <c r="L237" s="8">
        <v>9000</v>
      </c>
      <c r="M237" s="9">
        <f t="shared" si="29"/>
        <v>0.29601027484554021</v>
      </c>
      <c r="N237" s="5">
        <v>1</v>
      </c>
      <c r="O237" s="10">
        <f t="shared" si="30"/>
        <v>0.29601027484554021</v>
      </c>
    </row>
    <row r="238" spans="2:15" ht="13.5" customHeight="1">
      <c r="B238" s="25">
        <f t="shared" si="31"/>
        <v>57</v>
      </c>
      <c r="C238" s="25"/>
      <c r="D238" s="25"/>
      <c r="E238" s="31"/>
      <c r="F238" s="15" t="s">
        <v>18</v>
      </c>
      <c r="G238" s="6">
        <v>26000.98</v>
      </c>
      <c r="H238" s="2">
        <v>3417.98</v>
      </c>
      <c r="I238" s="2">
        <v>6080</v>
      </c>
      <c r="J238" s="2"/>
      <c r="K238" s="7">
        <f t="shared" si="28"/>
        <v>35498.959999999999</v>
      </c>
      <c r="L238" s="8">
        <v>9000</v>
      </c>
      <c r="M238" s="9">
        <f t="shared" si="29"/>
        <v>0.25352855407595037</v>
      </c>
      <c r="N238" s="5">
        <v>1</v>
      </c>
      <c r="O238" s="10">
        <f t="shared" si="30"/>
        <v>0.25352855407595037</v>
      </c>
    </row>
    <row r="239" spans="2:15" ht="13.5" customHeight="1">
      <c r="B239" s="25">
        <f t="shared" si="31"/>
        <v>58</v>
      </c>
      <c r="C239" s="25"/>
      <c r="D239" s="25"/>
      <c r="E239" s="31"/>
      <c r="F239" s="15" t="s">
        <v>18</v>
      </c>
      <c r="G239" s="6">
        <v>22816.85</v>
      </c>
      <c r="H239" s="2">
        <v>3417.98</v>
      </c>
      <c r="I239" s="2">
        <v>6080</v>
      </c>
      <c r="J239" s="2"/>
      <c r="K239" s="7">
        <f t="shared" si="28"/>
        <v>32314.829999999998</v>
      </c>
      <c r="L239" s="8">
        <v>9000</v>
      </c>
      <c r="M239" s="9">
        <f t="shared" si="29"/>
        <v>0.27850989777758389</v>
      </c>
      <c r="N239" s="5">
        <v>1</v>
      </c>
      <c r="O239" s="10">
        <f t="shared" si="30"/>
        <v>0.27850989777758389</v>
      </c>
    </row>
    <row r="240" spans="2:15" ht="13.5" customHeight="1">
      <c r="B240" s="25">
        <f t="shared" si="31"/>
        <v>59</v>
      </c>
      <c r="C240" s="25"/>
      <c r="D240" s="25"/>
      <c r="E240" s="31"/>
      <c r="F240" s="15" t="s">
        <v>18</v>
      </c>
      <c r="G240" s="6">
        <v>20906.37</v>
      </c>
      <c r="H240" s="2">
        <v>3417.98</v>
      </c>
      <c r="I240" s="2">
        <v>6080</v>
      </c>
      <c r="J240" s="2"/>
      <c r="K240" s="7">
        <f t="shared" si="28"/>
        <v>30404.35</v>
      </c>
      <c r="L240" s="8">
        <v>9000</v>
      </c>
      <c r="M240" s="9">
        <f t="shared" si="29"/>
        <v>0.29601027484554021</v>
      </c>
      <c r="N240" s="5">
        <v>1</v>
      </c>
      <c r="O240" s="10">
        <f t="shared" si="30"/>
        <v>0.29601027484554021</v>
      </c>
    </row>
    <row r="241" spans="2:15" ht="13.5" customHeight="1">
      <c r="B241" s="25">
        <f t="shared" si="31"/>
        <v>60</v>
      </c>
      <c r="C241" s="25"/>
      <c r="D241" s="25"/>
      <c r="E241" s="31"/>
      <c r="F241" s="15" t="s">
        <v>18</v>
      </c>
      <c r="G241" s="6">
        <v>22816.85</v>
      </c>
      <c r="H241" s="2">
        <v>3417.98</v>
      </c>
      <c r="I241" s="2">
        <v>6080</v>
      </c>
      <c r="J241" s="2"/>
      <c r="K241" s="7">
        <f t="shared" si="28"/>
        <v>32314.829999999998</v>
      </c>
      <c r="L241" s="8">
        <v>9000</v>
      </c>
      <c r="M241" s="9">
        <f t="shared" si="29"/>
        <v>0.27850989777758389</v>
      </c>
      <c r="N241" s="5">
        <v>1</v>
      </c>
      <c r="O241" s="10">
        <f t="shared" si="30"/>
        <v>0.27850989777758389</v>
      </c>
    </row>
    <row r="242" spans="2:15" ht="13.5" customHeight="1">
      <c r="B242" s="25">
        <f t="shared" si="31"/>
        <v>61</v>
      </c>
      <c r="C242" s="25"/>
      <c r="D242" s="25"/>
      <c r="E242" s="31"/>
      <c r="F242" s="15" t="s">
        <v>18</v>
      </c>
      <c r="G242" s="6">
        <v>20906.37</v>
      </c>
      <c r="H242" s="2">
        <v>3417.98</v>
      </c>
      <c r="I242" s="2">
        <v>6080</v>
      </c>
      <c r="J242" s="2"/>
      <c r="K242" s="7">
        <f t="shared" si="28"/>
        <v>30404.35</v>
      </c>
      <c r="L242" s="8">
        <v>9000</v>
      </c>
      <c r="M242" s="9">
        <f t="shared" si="29"/>
        <v>0.29601027484554021</v>
      </c>
      <c r="N242" s="5">
        <v>1</v>
      </c>
      <c r="O242" s="10">
        <f t="shared" si="30"/>
        <v>0.29601027484554021</v>
      </c>
    </row>
    <row r="243" spans="2:15" ht="13.5" customHeight="1">
      <c r="B243" s="25">
        <f t="shared" si="31"/>
        <v>62</v>
      </c>
      <c r="C243" s="25"/>
      <c r="D243" s="25"/>
      <c r="E243" s="31"/>
      <c r="F243" s="15" t="s">
        <v>18</v>
      </c>
      <c r="G243" s="6">
        <v>20906.37</v>
      </c>
      <c r="H243" s="2">
        <v>3417.98</v>
      </c>
      <c r="I243" s="2">
        <v>6080</v>
      </c>
      <c r="J243" s="2"/>
      <c r="K243" s="7">
        <f t="shared" si="28"/>
        <v>30404.35</v>
      </c>
      <c r="L243" s="8">
        <v>9000</v>
      </c>
      <c r="M243" s="9">
        <f t="shared" si="29"/>
        <v>0.29601027484554021</v>
      </c>
      <c r="N243" s="5">
        <v>1</v>
      </c>
      <c r="O243" s="10">
        <f t="shared" si="30"/>
        <v>0.29601027484554021</v>
      </c>
    </row>
    <row r="244" spans="2:15" ht="13.5" customHeight="1">
      <c r="B244" s="25">
        <f t="shared" si="31"/>
        <v>63</v>
      </c>
      <c r="C244" s="25"/>
      <c r="D244" s="25"/>
      <c r="E244" s="31"/>
      <c r="F244" s="15" t="s">
        <v>18</v>
      </c>
      <c r="G244" s="6">
        <v>22816.85</v>
      </c>
      <c r="H244" s="2">
        <v>3417.98</v>
      </c>
      <c r="I244" s="2">
        <v>6080</v>
      </c>
      <c r="J244" s="2"/>
      <c r="K244" s="7">
        <f t="shared" si="28"/>
        <v>32314.829999999998</v>
      </c>
      <c r="L244" s="8">
        <v>9000</v>
      </c>
      <c r="M244" s="9">
        <f t="shared" si="29"/>
        <v>0.27850989777758389</v>
      </c>
      <c r="N244" s="5">
        <v>1</v>
      </c>
      <c r="O244" s="10">
        <f t="shared" si="30"/>
        <v>0.27850989777758389</v>
      </c>
    </row>
    <row r="245" spans="2:15" ht="13.5" customHeight="1">
      <c r="B245" s="25">
        <f t="shared" si="31"/>
        <v>64</v>
      </c>
      <c r="C245" s="25"/>
      <c r="D245" s="25"/>
      <c r="E245" s="31"/>
      <c r="F245" s="15" t="s">
        <v>18</v>
      </c>
      <c r="G245" s="6">
        <v>20906.37</v>
      </c>
      <c r="H245" s="2">
        <v>3417.98</v>
      </c>
      <c r="I245" s="2">
        <v>6080</v>
      </c>
      <c r="J245" s="2"/>
      <c r="K245" s="7">
        <f t="shared" si="28"/>
        <v>30404.35</v>
      </c>
      <c r="L245" s="8">
        <v>9000</v>
      </c>
      <c r="M245" s="9">
        <f t="shared" si="29"/>
        <v>0.29601027484554021</v>
      </c>
      <c r="N245" s="5">
        <v>1</v>
      </c>
      <c r="O245" s="10">
        <f t="shared" si="30"/>
        <v>0.29601027484554021</v>
      </c>
    </row>
    <row r="246" spans="2:15" ht="13.5" customHeight="1">
      <c r="B246" s="25">
        <f t="shared" si="31"/>
        <v>65</v>
      </c>
      <c r="C246" s="25"/>
      <c r="D246" s="25"/>
      <c r="E246" s="31"/>
      <c r="F246" s="15" t="s">
        <v>18</v>
      </c>
      <c r="G246" s="6">
        <v>26000.98</v>
      </c>
      <c r="H246" s="2">
        <v>3417.98</v>
      </c>
      <c r="I246" s="2">
        <v>6080</v>
      </c>
      <c r="J246" s="2"/>
      <c r="K246" s="7">
        <f t="shared" si="28"/>
        <v>35498.959999999999</v>
      </c>
      <c r="L246" s="8">
        <v>9000</v>
      </c>
      <c r="M246" s="9">
        <f t="shared" si="29"/>
        <v>0.25352855407595037</v>
      </c>
      <c r="N246" s="5">
        <v>1</v>
      </c>
      <c r="O246" s="10">
        <f t="shared" si="30"/>
        <v>0.25352855407595037</v>
      </c>
    </row>
    <row r="247" spans="2:15" ht="13.5" customHeight="1">
      <c r="B247" s="25">
        <f t="shared" si="31"/>
        <v>66</v>
      </c>
      <c r="C247" s="25"/>
      <c r="D247" s="25"/>
      <c r="E247" s="31"/>
      <c r="F247" s="15" t="s">
        <v>18</v>
      </c>
      <c r="G247" s="6">
        <v>20906.37</v>
      </c>
      <c r="H247" s="2">
        <v>3417.98</v>
      </c>
      <c r="I247" s="2">
        <v>6080</v>
      </c>
      <c r="J247" s="2"/>
      <c r="K247" s="7">
        <f t="shared" ref="K247:K310" si="32">SUM(G247:I247)</f>
        <v>30404.35</v>
      </c>
      <c r="L247" s="8">
        <v>9000</v>
      </c>
      <c r="M247" s="9">
        <f t="shared" ref="M247:M310" si="33">L247/K247</f>
        <v>0.29601027484554021</v>
      </c>
      <c r="N247" s="5">
        <v>1</v>
      </c>
      <c r="O247" s="10">
        <f t="shared" ref="O247:O310" si="34">N247*M247</f>
        <v>0.29601027484554021</v>
      </c>
    </row>
    <row r="248" spans="2:15" ht="13.5" customHeight="1">
      <c r="B248" s="25">
        <f t="shared" ref="B248:B311" si="35">+B247+1</f>
        <v>67</v>
      </c>
      <c r="C248" s="25"/>
      <c r="D248" s="25"/>
      <c r="E248" s="31"/>
      <c r="F248" s="15" t="s">
        <v>18</v>
      </c>
      <c r="G248" s="6">
        <v>20906.37</v>
      </c>
      <c r="H248" s="2">
        <v>3417.98</v>
      </c>
      <c r="I248" s="2">
        <v>6080</v>
      </c>
      <c r="J248" s="2"/>
      <c r="K248" s="7">
        <f t="shared" si="32"/>
        <v>30404.35</v>
      </c>
      <c r="L248" s="8">
        <v>9000</v>
      </c>
      <c r="M248" s="9">
        <f t="shared" si="33"/>
        <v>0.29601027484554021</v>
      </c>
      <c r="N248" s="5">
        <v>1</v>
      </c>
      <c r="O248" s="10">
        <f t="shared" si="34"/>
        <v>0.29601027484554021</v>
      </c>
    </row>
    <row r="249" spans="2:15" ht="13.5" customHeight="1">
      <c r="B249" s="25">
        <f t="shared" si="35"/>
        <v>68</v>
      </c>
      <c r="C249" s="25"/>
      <c r="D249" s="25"/>
      <c r="E249" s="31"/>
      <c r="F249" s="15" t="s">
        <v>18</v>
      </c>
      <c r="G249" s="6">
        <v>22816.85</v>
      </c>
      <c r="H249" s="2">
        <v>3417.98</v>
      </c>
      <c r="I249" s="2">
        <v>6080</v>
      </c>
      <c r="J249" s="2"/>
      <c r="K249" s="7">
        <f t="shared" si="32"/>
        <v>32314.829999999998</v>
      </c>
      <c r="L249" s="8">
        <v>9000</v>
      </c>
      <c r="M249" s="9">
        <f t="shared" si="33"/>
        <v>0.27850989777758389</v>
      </c>
      <c r="N249" s="5">
        <v>1</v>
      </c>
      <c r="O249" s="10">
        <f t="shared" si="34"/>
        <v>0.27850989777758389</v>
      </c>
    </row>
    <row r="250" spans="2:15" ht="13.5" customHeight="1">
      <c r="B250" s="25">
        <f t="shared" si="35"/>
        <v>69</v>
      </c>
      <c r="C250" s="25"/>
      <c r="D250" s="25"/>
      <c r="E250" s="31"/>
      <c r="F250" s="15" t="s">
        <v>18</v>
      </c>
      <c r="G250" s="6">
        <v>20906.37</v>
      </c>
      <c r="H250" s="2">
        <v>3417.98</v>
      </c>
      <c r="I250" s="2">
        <v>6080</v>
      </c>
      <c r="J250" s="2"/>
      <c r="K250" s="7">
        <f t="shared" si="32"/>
        <v>30404.35</v>
      </c>
      <c r="L250" s="8">
        <v>9000</v>
      </c>
      <c r="M250" s="9">
        <f t="shared" si="33"/>
        <v>0.29601027484554021</v>
      </c>
      <c r="N250" s="5">
        <v>1</v>
      </c>
      <c r="O250" s="10">
        <f t="shared" si="34"/>
        <v>0.29601027484554021</v>
      </c>
    </row>
    <row r="251" spans="2:15" ht="13.5" customHeight="1">
      <c r="B251" s="25">
        <f t="shared" si="35"/>
        <v>70</v>
      </c>
      <c r="C251" s="25"/>
      <c r="D251" s="25"/>
      <c r="E251" s="31"/>
      <c r="F251" s="15" t="s">
        <v>18</v>
      </c>
      <c r="G251" s="6">
        <v>26000.98</v>
      </c>
      <c r="H251" s="2">
        <v>3417.98</v>
      </c>
      <c r="I251" s="2">
        <v>6080</v>
      </c>
      <c r="J251" s="2"/>
      <c r="K251" s="7">
        <f t="shared" si="32"/>
        <v>35498.959999999999</v>
      </c>
      <c r="L251" s="8">
        <v>9000</v>
      </c>
      <c r="M251" s="9">
        <f t="shared" si="33"/>
        <v>0.25352855407595037</v>
      </c>
      <c r="N251" s="5">
        <v>1</v>
      </c>
      <c r="O251" s="10">
        <f t="shared" si="34"/>
        <v>0.25352855407595037</v>
      </c>
    </row>
    <row r="252" spans="2:15" ht="13.5" customHeight="1">
      <c r="B252" s="25">
        <f t="shared" si="35"/>
        <v>71</v>
      </c>
      <c r="C252" s="25"/>
      <c r="D252" s="25"/>
      <c r="E252" s="31"/>
      <c r="F252" s="15" t="s">
        <v>18</v>
      </c>
      <c r="G252" s="6">
        <v>20906.37</v>
      </c>
      <c r="H252" s="2">
        <v>3417.98</v>
      </c>
      <c r="I252" s="2">
        <v>6080</v>
      </c>
      <c r="J252" s="2"/>
      <c r="K252" s="7">
        <f t="shared" si="32"/>
        <v>30404.35</v>
      </c>
      <c r="L252" s="8">
        <v>9000</v>
      </c>
      <c r="M252" s="9">
        <f t="shared" si="33"/>
        <v>0.29601027484554021</v>
      </c>
      <c r="N252" s="5">
        <v>1</v>
      </c>
      <c r="O252" s="10">
        <f t="shared" si="34"/>
        <v>0.29601027484554021</v>
      </c>
    </row>
    <row r="253" spans="2:15" ht="13.5" customHeight="1">
      <c r="B253" s="25">
        <f t="shared" si="35"/>
        <v>72</v>
      </c>
      <c r="C253" s="25"/>
      <c r="D253" s="25"/>
      <c r="E253" s="31"/>
      <c r="F253" s="15" t="s">
        <v>18</v>
      </c>
      <c r="G253" s="6">
        <v>20906.37</v>
      </c>
      <c r="H253" s="2">
        <v>3417.98</v>
      </c>
      <c r="I253" s="2">
        <v>6080</v>
      </c>
      <c r="J253" s="2"/>
      <c r="K253" s="7">
        <f t="shared" si="32"/>
        <v>30404.35</v>
      </c>
      <c r="L253" s="8">
        <v>9000</v>
      </c>
      <c r="M253" s="9">
        <f t="shared" si="33"/>
        <v>0.29601027484554021</v>
      </c>
      <c r="N253" s="5">
        <v>1</v>
      </c>
      <c r="O253" s="10">
        <f t="shared" si="34"/>
        <v>0.29601027484554021</v>
      </c>
    </row>
    <row r="254" spans="2:15" ht="13.5" customHeight="1">
      <c r="B254" s="25">
        <f t="shared" si="35"/>
        <v>73</v>
      </c>
      <c r="C254" s="25"/>
      <c r="D254" s="25"/>
      <c r="E254" s="31"/>
      <c r="F254" s="15" t="s">
        <v>18</v>
      </c>
      <c r="G254" s="6">
        <v>20906.37</v>
      </c>
      <c r="H254" s="2">
        <v>3417.98</v>
      </c>
      <c r="I254" s="2">
        <v>6080</v>
      </c>
      <c r="J254" s="2"/>
      <c r="K254" s="7">
        <f t="shared" si="32"/>
        <v>30404.35</v>
      </c>
      <c r="L254" s="8">
        <v>9000</v>
      </c>
      <c r="M254" s="9">
        <f t="shared" si="33"/>
        <v>0.29601027484554021</v>
      </c>
      <c r="N254" s="5">
        <v>1</v>
      </c>
      <c r="O254" s="10">
        <f t="shared" si="34"/>
        <v>0.29601027484554021</v>
      </c>
    </row>
    <row r="255" spans="2:15" ht="13.5" customHeight="1">
      <c r="B255" s="25">
        <f t="shared" si="35"/>
        <v>74</v>
      </c>
      <c r="C255" s="25"/>
      <c r="D255" s="25"/>
      <c r="E255" s="31"/>
      <c r="F255" s="15" t="s">
        <v>18</v>
      </c>
      <c r="G255" s="6">
        <v>20906.37</v>
      </c>
      <c r="H255" s="2">
        <v>3417.98</v>
      </c>
      <c r="I255" s="2">
        <v>6080</v>
      </c>
      <c r="J255" s="2"/>
      <c r="K255" s="7">
        <f t="shared" si="32"/>
        <v>30404.35</v>
      </c>
      <c r="L255" s="8">
        <v>9000</v>
      </c>
      <c r="M255" s="9">
        <f t="shared" si="33"/>
        <v>0.29601027484554021</v>
      </c>
      <c r="N255" s="5">
        <v>1</v>
      </c>
      <c r="O255" s="10">
        <f t="shared" si="34"/>
        <v>0.29601027484554021</v>
      </c>
    </row>
    <row r="256" spans="2:15" ht="13.5" customHeight="1">
      <c r="B256" s="25">
        <f t="shared" si="35"/>
        <v>75</v>
      </c>
      <c r="C256" s="25"/>
      <c r="D256" s="25"/>
      <c r="E256" s="31"/>
      <c r="F256" s="15" t="s">
        <v>18</v>
      </c>
      <c r="G256" s="6">
        <v>20906.37</v>
      </c>
      <c r="H256" s="2">
        <v>3417.98</v>
      </c>
      <c r="I256" s="2">
        <v>6080</v>
      </c>
      <c r="J256" s="2"/>
      <c r="K256" s="7">
        <f t="shared" si="32"/>
        <v>30404.35</v>
      </c>
      <c r="L256" s="8">
        <v>9000</v>
      </c>
      <c r="M256" s="9">
        <f t="shared" si="33"/>
        <v>0.29601027484554021</v>
      </c>
      <c r="N256" s="5">
        <v>1</v>
      </c>
      <c r="O256" s="10">
        <f t="shared" si="34"/>
        <v>0.29601027484554021</v>
      </c>
    </row>
    <row r="257" spans="2:15" ht="13.5" customHeight="1">
      <c r="B257" s="25">
        <f t="shared" si="35"/>
        <v>76</v>
      </c>
      <c r="C257" s="25"/>
      <c r="D257" s="25"/>
      <c r="E257" s="31"/>
      <c r="F257" s="15" t="s">
        <v>18</v>
      </c>
      <c r="G257" s="6">
        <v>20906.37</v>
      </c>
      <c r="H257" s="2">
        <v>3417.98</v>
      </c>
      <c r="I257" s="2">
        <v>6080</v>
      </c>
      <c r="J257" s="2"/>
      <c r="K257" s="7">
        <f t="shared" si="32"/>
        <v>30404.35</v>
      </c>
      <c r="L257" s="8">
        <v>9000</v>
      </c>
      <c r="M257" s="9">
        <f t="shared" si="33"/>
        <v>0.29601027484554021</v>
      </c>
      <c r="N257" s="5">
        <v>1</v>
      </c>
      <c r="O257" s="10">
        <f t="shared" si="34"/>
        <v>0.29601027484554021</v>
      </c>
    </row>
    <row r="258" spans="2:15" ht="13.5" customHeight="1">
      <c r="B258" s="25">
        <f t="shared" si="35"/>
        <v>77</v>
      </c>
      <c r="C258" s="25"/>
      <c r="D258" s="25"/>
      <c r="E258" s="31"/>
      <c r="F258" s="15" t="s">
        <v>18</v>
      </c>
      <c r="G258" s="6">
        <v>22816.85</v>
      </c>
      <c r="H258" s="2">
        <v>3417.98</v>
      </c>
      <c r="I258" s="2">
        <v>6080</v>
      </c>
      <c r="J258" s="2"/>
      <c r="K258" s="7">
        <f t="shared" si="32"/>
        <v>32314.829999999998</v>
      </c>
      <c r="L258" s="8">
        <v>9000</v>
      </c>
      <c r="M258" s="9">
        <f t="shared" si="33"/>
        <v>0.27850989777758389</v>
      </c>
      <c r="N258" s="5">
        <v>1</v>
      </c>
      <c r="O258" s="10">
        <f t="shared" si="34"/>
        <v>0.27850989777758389</v>
      </c>
    </row>
    <row r="259" spans="2:15" ht="13.5" customHeight="1">
      <c r="B259" s="25">
        <f t="shared" si="35"/>
        <v>78</v>
      </c>
      <c r="C259" s="25"/>
      <c r="D259" s="25"/>
      <c r="E259" s="31"/>
      <c r="F259" s="15" t="s">
        <v>18</v>
      </c>
      <c r="G259" s="6">
        <v>20906.37</v>
      </c>
      <c r="H259" s="2">
        <v>3417.98</v>
      </c>
      <c r="I259" s="2">
        <v>6080</v>
      </c>
      <c r="J259" s="2"/>
      <c r="K259" s="7">
        <f t="shared" si="32"/>
        <v>30404.35</v>
      </c>
      <c r="L259" s="8">
        <v>9000</v>
      </c>
      <c r="M259" s="9">
        <f t="shared" si="33"/>
        <v>0.29601027484554021</v>
      </c>
      <c r="N259" s="5">
        <v>1</v>
      </c>
      <c r="O259" s="10">
        <f t="shared" si="34"/>
        <v>0.29601027484554021</v>
      </c>
    </row>
    <row r="260" spans="2:15" ht="13.5" customHeight="1">
      <c r="B260" s="25">
        <f t="shared" si="35"/>
        <v>79</v>
      </c>
      <c r="C260" s="25"/>
      <c r="D260" s="25"/>
      <c r="E260" s="31"/>
      <c r="F260" s="15" t="s">
        <v>18</v>
      </c>
      <c r="G260" s="6">
        <v>20906.37</v>
      </c>
      <c r="H260" s="2">
        <v>3417.98</v>
      </c>
      <c r="I260" s="2">
        <v>6080</v>
      </c>
      <c r="J260" s="2"/>
      <c r="K260" s="7">
        <f t="shared" si="32"/>
        <v>30404.35</v>
      </c>
      <c r="L260" s="8">
        <v>9000</v>
      </c>
      <c r="M260" s="9">
        <f t="shared" si="33"/>
        <v>0.29601027484554021</v>
      </c>
      <c r="N260" s="5">
        <v>1</v>
      </c>
      <c r="O260" s="10">
        <f t="shared" si="34"/>
        <v>0.29601027484554021</v>
      </c>
    </row>
    <row r="261" spans="2:15" ht="13.5" customHeight="1">
      <c r="B261" s="25">
        <f t="shared" si="35"/>
        <v>80</v>
      </c>
      <c r="C261" s="25"/>
      <c r="D261" s="25"/>
      <c r="E261" s="31"/>
      <c r="F261" s="15" t="s">
        <v>18</v>
      </c>
      <c r="G261" s="6">
        <v>20906.37</v>
      </c>
      <c r="H261" s="2">
        <v>3417.98</v>
      </c>
      <c r="I261" s="2">
        <v>6080</v>
      </c>
      <c r="J261" s="2"/>
      <c r="K261" s="7">
        <f t="shared" si="32"/>
        <v>30404.35</v>
      </c>
      <c r="L261" s="8">
        <v>9000</v>
      </c>
      <c r="M261" s="9">
        <f t="shared" si="33"/>
        <v>0.29601027484554021</v>
      </c>
      <c r="N261" s="5">
        <v>1</v>
      </c>
      <c r="O261" s="10">
        <f t="shared" si="34"/>
        <v>0.29601027484554021</v>
      </c>
    </row>
    <row r="262" spans="2:15" ht="13.5" customHeight="1">
      <c r="B262" s="25">
        <f t="shared" si="35"/>
        <v>81</v>
      </c>
      <c r="C262" s="25"/>
      <c r="D262" s="25"/>
      <c r="E262" s="31"/>
      <c r="F262" s="15" t="s">
        <v>18</v>
      </c>
      <c r="G262" s="6">
        <v>22816.85</v>
      </c>
      <c r="H262" s="2">
        <v>3417.98</v>
      </c>
      <c r="I262" s="2">
        <v>6080</v>
      </c>
      <c r="J262" s="2"/>
      <c r="K262" s="7">
        <f t="shared" si="32"/>
        <v>32314.829999999998</v>
      </c>
      <c r="L262" s="8">
        <v>9000</v>
      </c>
      <c r="M262" s="9">
        <f t="shared" si="33"/>
        <v>0.27850989777758389</v>
      </c>
      <c r="N262" s="5">
        <v>1</v>
      </c>
      <c r="O262" s="10">
        <f t="shared" si="34"/>
        <v>0.27850989777758389</v>
      </c>
    </row>
    <row r="263" spans="2:15" ht="13.5" customHeight="1">
      <c r="B263" s="25">
        <f t="shared" si="35"/>
        <v>82</v>
      </c>
      <c r="C263" s="25"/>
      <c r="D263" s="25"/>
      <c r="E263" s="31"/>
      <c r="F263" s="15" t="s">
        <v>18</v>
      </c>
      <c r="G263" s="6">
        <v>29185.119999999999</v>
      </c>
      <c r="H263" s="2">
        <v>3417.98</v>
      </c>
      <c r="I263" s="2">
        <v>6080</v>
      </c>
      <c r="J263" s="2"/>
      <c r="K263" s="7">
        <f t="shared" si="32"/>
        <v>38683.1</v>
      </c>
      <c r="L263" s="8">
        <v>9000</v>
      </c>
      <c r="M263" s="9">
        <f t="shared" si="33"/>
        <v>0.23265974030002767</v>
      </c>
      <c r="N263" s="5">
        <v>1</v>
      </c>
      <c r="O263" s="10">
        <f t="shared" si="34"/>
        <v>0.23265974030002767</v>
      </c>
    </row>
    <row r="264" spans="2:15" ht="13.5" customHeight="1">
      <c r="B264" s="25">
        <f t="shared" si="35"/>
        <v>83</v>
      </c>
      <c r="C264" s="25"/>
      <c r="D264" s="25"/>
      <c r="E264" s="31"/>
      <c r="F264" s="15" t="s">
        <v>18</v>
      </c>
      <c r="G264" s="6">
        <v>20906.37</v>
      </c>
      <c r="H264" s="2">
        <v>3417.98</v>
      </c>
      <c r="I264" s="2">
        <v>6080</v>
      </c>
      <c r="J264" s="2"/>
      <c r="K264" s="7">
        <f t="shared" si="32"/>
        <v>30404.35</v>
      </c>
      <c r="L264" s="8">
        <v>9000</v>
      </c>
      <c r="M264" s="9">
        <f t="shared" si="33"/>
        <v>0.29601027484554021</v>
      </c>
      <c r="N264" s="5">
        <v>1</v>
      </c>
      <c r="O264" s="10">
        <f t="shared" si="34"/>
        <v>0.29601027484554021</v>
      </c>
    </row>
    <row r="265" spans="2:15" ht="13.5" customHeight="1">
      <c r="B265" s="25">
        <f t="shared" si="35"/>
        <v>84</v>
      </c>
      <c r="C265" s="25"/>
      <c r="D265" s="25"/>
      <c r="E265" s="31"/>
      <c r="F265" s="15" t="s">
        <v>18</v>
      </c>
      <c r="G265" s="6">
        <v>22816.85</v>
      </c>
      <c r="H265" s="2">
        <v>3417.98</v>
      </c>
      <c r="I265" s="2">
        <v>6080</v>
      </c>
      <c r="J265" s="2"/>
      <c r="K265" s="7">
        <f t="shared" si="32"/>
        <v>32314.829999999998</v>
      </c>
      <c r="L265" s="8">
        <v>9000</v>
      </c>
      <c r="M265" s="9">
        <f t="shared" si="33"/>
        <v>0.27850989777758389</v>
      </c>
      <c r="N265" s="5">
        <v>1</v>
      </c>
      <c r="O265" s="10">
        <f t="shared" si="34"/>
        <v>0.27850989777758389</v>
      </c>
    </row>
    <row r="266" spans="2:15" ht="13.5" customHeight="1">
      <c r="B266" s="25">
        <f t="shared" si="35"/>
        <v>85</v>
      </c>
      <c r="C266" s="25"/>
      <c r="D266" s="25"/>
      <c r="E266" s="31"/>
      <c r="F266" s="15" t="s">
        <v>18</v>
      </c>
      <c r="G266" s="6">
        <v>20906.37</v>
      </c>
      <c r="H266" s="2">
        <v>3417.98</v>
      </c>
      <c r="I266" s="2">
        <v>6080</v>
      </c>
      <c r="J266" s="2"/>
      <c r="K266" s="7">
        <f t="shared" si="32"/>
        <v>30404.35</v>
      </c>
      <c r="L266" s="8">
        <v>9000</v>
      </c>
      <c r="M266" s="9">
        <f t="shared" si="33"/>
        <v>0.29601027484554021</v>
      </c>
      <c r="N266" s="5">
        <v>1</v>
      </c>
      <c r="O266" s="10">
        <f t="shared" si="34"/>
        <v>0.29601027484554021</v>
      </c>
    </row>
    <row r="267" spans="2:15" ht="13.5" customHeight="1">
      <c r="B267" s="25">
        <f t="shared" si="35"/>
        <v>86</v>
      </c>
      <c r="C267" s="25"/>
      <c r="D267" s="25"/>
      <c r="E267" s="31"/>
      <c r="F267" s="15" t="s">
        <v>18</v>
      </c>
      <c r="G267" s="6">
        <v>22816.85</v>
      </c>
      <c r="H267" s="2">
        <v>3417.98</v>
      </c>
      <c r="I267" s="2">
        <v>6080</v>
      </c>
      <c r="J267" s="2"/>
      <c r="K267" s="7">
        <f t="shared" si="32"/>
        <v>32314.829999999998</v>
      </c>
      <c r="L267" s="8">
        <v>9000</v>
      </c>
      <c r="M267" s="9">
        <f t="shared" si="33"/>
        <v>0.27850989777758389</v>
      </c>
      <c r="N267" s="5">
        <v>1</v>
      </c>
      <c r="O267" s="10">
        <f t="shared" si="34"/>
        <v>0.27850989777758389</v>
      </c>
    </row>
    <row r="268" spans="2:15" ht="13.5" customHeight="1">
      <c r="B268" s="25">
        <f t="shared" si="35"/>
        <v>87</v>
      </c>
      <c r="C268" s="25"/>
      <c r="D268" s="25"/>
      <c r="E268" s="31"/>
      <c r="F268" s="15" t="s">
        <v>18</v>
      </c>
      <c r="G268" s="6">
        <v>20906.37</v>
      </c>
      <c r="H268" s="2">
        <v>3417.98</v>
      </c>
      <c r="I268" s="2">
        <v>6080</v>
      </c>
      <c r="J268" s="2"/>
      <c r="K268" s="7">
        <f t="shared" si="32"/>
        <v>30404.35</v>
      </c>
      <c r="L268" s="8">
        <v>9000</v>
      </c>
      <c r="M268" s="9">
        <f t="shared" si="33"/>
        <v>0.29601027484554021</v>
      </c>
      <c r="N268" s="5">
        <v>1</v>
      </c>
      <c r="O268" s="10">
        <f t="shared" si="34"/>
        <v>0.29601027484554021</v>
      </c>
    </row>
    <row r="269" spans="2:15" ht="13.5" customHeight="1">
      <c r="B269" s="25">
        <f t="shared" si="35"/>
        <v>88</v>
      </c>
      <c r="C269" s="25"/>
      <c r="D269" s="25"/>
      <c r="E269" s="31"/>
      <c r="F269" s="15" t="s">
        <v>18</v>
      </c>
      <c r="G269" s="6">
        <v>20906.37</v>
      </c>
      <c r="H269" s="2">
        <v>3417.98</v>
      </c>
      <c r="I269" s="2">
        <v>6080</v>
      </c>
      <c r="J269" s="2"/>
      <c r="K269" s="7">
        <f t="shared" si="32"/>
        <v>30404.35</v>
      </c>
      <c r="L269" s="8">
        <v>9000</v>
      </c>
      <c r="M269" s="9">
        <f t="shared" si="33"/>
        <v>0.29601027484554021</v>
      </c>
      <c r="N269" s="5">
        <v>1</v>
      </c>
      <c r="O269" s="10">
        <f t="shared" si="34"/>
        <v>0.29601027484554021</v>
      </c>
    </row>
    <row r="270" spans="2:15" ht="13.5" customHeight="1">
      <c r="B270" s="25">
        <f t="shared" si="35"/>
        <v>89</v>
      </c>
      <c r="C270" s="25"/>
      <c r="D270" s="25"/>
      <c r="E270" s="31"/>
      <c r="F270" s="15" t="s">
        <v>18</v>
      </c>
      <c r="G270" s="6">
        <v>20906.37</v>
      </c>
      <c r="H270" s="2">
        <v>3417.98</v>
      </c>
      <c r="I270" s="2">
        <v>6080</v>
      </c>
      <c r="J270" s="2"/>
      <c r="K270" s="7">
        <f t="shared" si="32"/>
        <v>30404.35</v>
      </c>
      <c r="L270" s="8">
        <v>9000</v>
      </c>
      <c r="M270" s="9">
        <f t="shared" si="33"/>
        <v>0.29601027484554021</v>
      </c>
      <c r="N270" s="5">
        <v>1</v>
      </c>
      <c r="O270" s="10">
        <f t="shared" si="34"/>
        <v>0.29601027484554021</v>
      </c>
    </row>
    <row r="271" spans="2:15" ht="13.5" customHeight="1">
      <c r="B271" s="25">
        <f t="shared" si="35"/>
        <v>90</v>
      </c>
      <c r="C271" s="25"/>
      <c r="D271" s="25"/>
      <c r="E271" s="31"/>
      <c r="F271" s="15" t="s">
        <v>18</v>
      </c>
      <c r="G271" s="6">
        <v>20906.37</v>
      </c>
      <c r="H271" s="2">
        <v>3417.98</v>
      </c>
      <c r="I271" s="2">
        <v>6080</v>
      </c>
      <c r="J271" s="2"/>
      <c r="K271" s="7">
        <f t="shared" si="32"/>
        <v>30404.35</v>
      </c>
      <c r="L271" s="8">
        <v>9000</v>
      </c>
      <c r="M271" s="9">
        <f t="shared" si="33"/>
        <v>0.29601027484554021</v>
      </c>
      <c r="N271" s="5">
        <v>1</v>
      </c>
      <c r="O271" s="10">
        <f t="shared" si="34"/>
        <v>0.29601027484554021</v>
      </c>
    </row>
    <row r="272" spans="2:15" ht="13.5" customHeight="1">
      <c r="B272" s="25">
        <f t="shared" si="35"/>
        <v>91</v>
      </c>
      <c r="C272" s="25"/>
      <c r="D272" s="25"/>
      <c r="E272" s="31"/>
      <c r="F272" s="15" t="s">
        <v>18</v>
      </c>
      <c r="G272" s="6">
        <v>22816.85</v>
      </c>
      <c r="H272" s="2">
        <v>3417.98</v>
      </c>
      <c r="I272" s="2">
        <v>6080</v>
      </c>
      <c r="J272" s="2"/>
      <c r="K272" s="7">
        <f t="shared" si="32"/>
        <v>32314.829999999998</v>
      </c>
      <c r="L272" s="8">
        <v>9000</v>
      </c>
      <c r="M272" s="9">
        <f t="shared" si="33"/>
        <v>0.27850989777758389</v>
      </c>
      <c r="N272" s="5">
        <v>1</v>
      </c>
      <c r="O272" s="10">
        <f t="shared" si="34"/>
        <v>0.27850989777758389</v>
      </c>
    </row>
    <row r="273" spans="2:15" ht="13.5" customHeight="1">
      <c r="B273" s="25">
        <f t="shared" si="35"/>
        <v>92</v>
      </c>
      <c r="C273" s="25"/>
      <c r="D273" s="25"/>
      <c r="E273" s="31"/>
      <c r="F273" s="15" t="s">
        <v>18</v>
      </c>
      <c r="G273" s="6">
        <v>20906.37</v>
      </c>
      <c r="H273" s="2">
        <v>3417.98</v>
      </c>
      <c r="I273" s="2">
        <v>6080</v>
      </c>
      <c r="J273" s="2"/>
      <c r="K273" s="7">
        <f t="shared" si="32"/>
        <v>30404.35</v>
      </c>
      <c r="L273" s="8">
        <v>9000</v>
      </c>
      <c r="M273" s="9">
        <f t="shared" si="33"/>
        <v>0.29601027484554021</v>
      </c>
      <c r="N273" s="5">
        <v>1</v>
      </c>
      <c r="O273" s="10">
        <f t="shared" si="34"/>
        <v>0.29601027484554021</v>
      </c>
    </row>
    <row r="274" spans="2:15" ht="13.5" customHeight="1">
      <c r="B274" s="25">
        <f t="shared" si="35"/>
        <v>93</v>
      </c>
      <c r="C274" s="25"/>
      <c r="D274" s="25"/>
      <c r="E274" s="31"/>
      <c r="F274" s="15" t="s">
        <v>18</v>
      </c>
      <c r="G274" s="6">
        <v>20906.37</v>
      </c>
      <c r="H274" s="2">
        <v>3417.98</v>
      </c>
      <c r="I274" s="2">
        <v>6080</v>
      </c>
      <c r="J274" s="2"/>
      <c r="K274" s="7">
        <f t="shared" si="32"/>
        <v>30404.35</v>
      </c>
      <c r="L274" s="8">
        <v>9000</v>
      </c>
      <c r="M274" s="9">
        <f t="shared" si="33"/>
        <v>0.29601027484554021</v>
      </c>
      <c r="N274" s="5">
        <v>1</v>
      </c>
      <c r="O274" s="10">
        <f t="shared" si="34"/>
        <v>0.29601027484554021</v>
      </c>
    </row>
    <row r="275" spans="2:15" ht="13.5" customHeight="1">
      <c r="B275" s="25">
        <f t="shared" si="35"/>
        <v>94</v>
      </c>
      <c r="C275" s="25"/>
      <c r="D275" s="25"/>
      <c r="E275" s="31"/>
      <c r="F275" s="15" t="s">
        <v>18</v>
      </c>
      <c r="G275" s="6">
        <v>26000.98</v>
      </c>
      <c r="H275" s="2">
        <v>3417.98</v>
      </c>
      <c r="I275" s="2">
        <v>6080</v>
      </c>
      <c r="J275" s="2"/>
      <c r="K275" s="7">
        <f t="shared" si="32"/>
        <v>35498.959999999999</v>
      </c>
      <c r="L275" s="8">
        <v>9000</v>
      </c>
      <c r="M275" s="9">
        <f t="shared" si="33"/>
        <v>0.25352855407595037</v>
      </c>
      <c r="N275" s="5">
        <v>1</v>
      </c>
      <c r="O275" s="10">
        <f t="shared" si="34"/>
        <v>0.25352855407595037</v>
      </c>
    </row>
    <row r="276" spans="2:15" ht="13.5" customHeight="1">
      <c r="B276" s="25">
        <f t="shared" si="35"/>
        <v>95</v>
      </c>
      <c r="C276" s="25"/>
      <c r="D276" s="25"/>
      <c r="E276" s="31"/>
      <c r="F276" s="15" t="s">
        <v>18</v>
      </c>
      <c r="G276" s="6">
        <v>22816.85</v>
      </c>
      <c r="H276" s="2">
        <v>3417.98</v>
      </c>
      <c r="I276" s="2">
        <v>6080</v>
      </c>
      <c r="J276" s="2"/>
      <c r="K276" s="7">
        <f t="shared" si="32"/>
        <v>32314.829999999998</v>
      </c>
      <c r="L276" s="8">
        <v>9000</v>
      </c>
      <c r="M276" s="9">
        <f t="shared" si="33"/>
        <v>0.27850989777758389</v>
      </c>
      <c r="N276" s="5">
        <v>1</v>
      </c>
      <c r="O276" s="10">
        <f t="shared" si="34"/>
        <v>0.27850989777758389</v>
      </c>
    </row>
    <row r="277" spans="2:15" ht="13.5" customHeight="1">
      <c r="B277" s="25">
        <f t="shared" si="35"/>
        <v>96</v>
      </c>
      <c r="C277" s="25"/>
      <c r="D277" s="25"/>
      <c r="E277" s="31"/>
      <c r="F277" s="15" t="s">
        <v>18</v>
      </c>
      <c r="G277" s="6">
        <v>20906.37</v>
      </c>
      <c r="H277" s="2">
        <v>3417.98</v>
      </c>
      <c r="I277" s="2">
        <v>6080</v>
      </c>
      <c r="J277" s="2"/>
      <c r="K277" s="7">
        <f t="shared" si="32"/>
        <v>30404.35</v>
      </c>
      <c r="L277" s="8">
        <v>9000</v>
      </c>
      <c r="M277" s="9">
        <f t="shared" si="33"/>
        <v>0.29601027484554021</v>
      </c>
      <c r="N277" s="5">
        <v>1</v>
      </c>
      <c r="O277" s="10">
        <f t="shared" si="34"/>
        <v>0.29601027484554021</v>
      </c>
    </row>
    <row r="278" spans="2:15" ht="13.5" customHeight="1">
      <c r="B278" s="25">
        <f t="shared" si="35"/>
        <v>97</v>
      </c>
      <c r="C278" s="25"/>
      <c r="D278" s="25"/>
      <c r="E278" s="31"/>
      <c r="F278" s="15" t="s">
        <v>18</v>
      </c>
      <c r="G278" s="6">
        <v>26000.98</v>
      </c>
      <c r="H278" s="2">
        <v>3417.98</v>
      </c>
      <c r="I278" s="2">
        <v>6080</v>
      </c>
      <c r="J278" s="2"/>
      <c r="K278" s="7">
        <f t="shared" si="32"/>
        <v>35498.959999999999</v>
      </c>
      <c r="L278" s="8">
        <v>9000</v>
      </c>
      <c r="M278" s="9">
        <f t="shared" si="33"/>
        <v>0.25352855407595037</v>
      </c>
      <c r="N278" s="5">
        <v>1</v>
      </c>
      <c r="O278" s="10">
        <f t="shared" si="34"/>
        <v>0.25352855407595037</v>
      </c>
    </row>
    <row r="279" spans="2:15" ht="13.5" customHeight="1">
      <c r="B279" s="25">
        <f t="shared" si="35"/>
        <v>98</v>
      </c>
      <c r="C279" s="25"/>
      <c r="D279" s="25"/>
      <c r="E279" s="31"/>
      <c r="F279" s="15" t="s">
        <v>18</v>
      </c>
      <c r="G279" s="6">
        <v>20906.37</v>
      </c>
      <c r="H279" s="2">
        <v>3417.98</v>
      </c>
      <c r="I279" s="2">
        <v>6080</v>
      </c>
      <c r="J279" s="2"/>
      <c r="K279" s="7">
        <f t="shared" si="32"/>
        <v>30404.35</v>
      </c>
      <c r="L279" s="8">
        <v>9000</v>
      </c>
      <c r="M279" s="9">
        <f t="shared" si="33"/>
        <v>0.29601027484554021</v>
      </c>
      <c r="N279" s="5">
        <v>1</v>
      </c>
      <c r="O279" s="10">
        <f t="shared" si="34"/>
        <v>0.29601027484554021</v>
      </c>
    </row>
    <row r="280" spans="2:15" ht="13.5" customHeight="1">
      <c r="B280" s="25">
        <f t="shared" si="35"/>
        <v>99</v>
      </c>
      <c r="C280" s="25"/>
      <c r="D280" s="25"/>
      <c r="E280" s="31"/>
      <c r="F280" s="15" t="s">
        <v>18</v>
      </c>
      <c r="G280" s="6">
        <v>20906.37</v>
      </c>
      <c r="H280" s="2">
        <v>3417.98</v>
      </c>
      <c r="I280" s="2">
        <v>6080</v>
      </c>
      <c r="J280" s="2"/>
      <c r="K280" s="7">
        <f t="shared" si="32"/>
        <v>30404.35</v>
      </c>
      <c r="L280" s="8">
        <v>9000</v>
      </c>
      <c r="M280" s="9">
        <f t="shared" si="33"/>
        <v>0.29601027484554021</v>
      </c>
      <c r="N280" s="5">
        <v>1</v>
      </c>
      <c r="O280" s="10">
        <f t="shared" si="34"/>
        <v>0.29601027484554021</v>
      </c>
    </row>
    <row r="281" spans="2:15" ht="13.5" customHeight="1">
      <c r="B281" s="25">
        <f t="shared" si="35"/>
        <v>100</v>
      </c>
      <c r="C281" s="25"/>
      <c r="D281" s="25"/>
      <c r="E281" s="31"/>
      <c r="F281" s="15" t="s">
        <v>18</v>
      </c>
      <c r="G281" s="6">
        <v>20906.37</v>
      </c>
      <c r="H281" s="2">
        <v>3417.98</v>
      </c>
      <c r="I281" s="2">
        <v>6080</v>
      </c>
      <c r="J281" s="2"/>
      <c r="K281" s="7">
        <f t="shared" si="32"/>
        <v>30404.35</v>
      </c>
      <c r="L281" s="8">
        <v>9000</v>
      </c>
      <c r="M281" s="9">
        <f t="shared" si="33"/>
        <v>0.29601027484554021</v>
      </c>
      <c r="N281" s="5">
        <v>1</v>
      </c>
      <c r="O281" s="10">
        <f t="shared" si="34"/>
        <v>0.29601027484554021</v>
      </c>
    </row>
    <row r="282" spans="2:15" ht="13.5" customHeight="1">
      <c r="B282" s="25">
        <f t="shared" si="35"/>
        <v>101</v>
      </c>
      <c r="C282" s="25"/>
      <c r="D282" s="25"/>
      <c r="E282" s="31"/>
      <c r="F282" s="15" t="s">
        <v>18</v>
      </c>
      <c r="G282" s="6">
        <v>20906.37</v>
      </c>
      <c r="H282" s="2">
        <v>3417.98</v>
      </c>
      <c r="I282" s="2">
        <v>6080</v>
      </c>
      <c r="J282" s="2"/>
      <c r="K282" s="7">
        <f t="shared" si="32"/>
        <v>30404.35</v>
      </c>
      <c r="L282" s="8">
        <v>9000</v>
      </c>
      <c r="M282" s="9">
        <f t="shared" si="33"/>
        <v>0.29601027484554021</v>
      </c>
      <c r="N282" s="5">
        <v>1</v>
      </c>
      <c r="O282" s="10">
        <f t="shared" si="34"/>
        <v>0.29601027484554021</v>
      </c>
    </row>
    <row r="283" spans="2:15" ht="13.5" customHeight="1">
      <c r="B283" s="25">
        <f t="shared" si="35"/>
        <v>102</v>
      </c>
      <c r="C283" s="25"/>
      <c r="D283" s="25"/>
      <c r="E283" s="31"/>
      <c r="F283" s="15" t="s">
        <v>18</v>
      </c>
      <c r="G283" s="6">
        <v>26000.98</v>
      </c>
      <c r="H283" s="2">
        <v>3417.98</v>
      </c>
      <c r="I283" s="2">
        <v>6080</v>
      </c>
      <c r="J283" s="2"/>
      <c r="K283" s="7">
        <f t="shared" si="32"/>
        <v>35498.959999999999</v>
      </c>
      <c r="L283" s="8">
        <v>9000</v>
      </c>
      <c r="M283" s="9">
        <f t="shared" si="33"/>
        <v>0.25352855407595037</v>
      </c>
      <c r="N283" s="5">
        <v>1</v>
      </c>
      <c r="O283" s="10">
        <f t="shared" si="34"/>
        <v>0.25352855407595037</v>
      </c>
    </row>
    <row r="284" spans="2:15" ht="13.5" customHeight="1">
      <c r="B284" s="25">
        <f t="shared" si="35"/>
        <v>103</v>
      </c>
      <c r="C284" s="25"/>
      <c r="D284" s="25"/>
      <c r="E284" s="31"/>
      <c r="F284" s="15" t="s">
        <v>18</v>
      </c>
      <c r="G284" s="6">
        <v>20906.37</v>
      </c>
      <c r="H284" s="2">
        <v>3417.98</v>
      </c>
      <c r="I284" s="2">
        <v>6080</v>
      </c>
      <c r="J284" s="2"/>
      <c r="K284" s="7">
        <f t="shared" si="32"/>
        <v>30404.35</v>
      </c>
      <c r="L284" s="8">
        <v>9000</v>
      </c>
      <c r="M284" s="9">
        <f t="shared" si="33"/>
        <v>0.29601027484554021</v>
      </c>
      <c r="N284" s="5">
        <v>1</v>
      </c>
      <c r="O284" s="10">
        <f t="shared" si="34"/>
        <v>0.29601027484554021</v>
      </c>
    </row>
    <row r="285" spans="2:15" ht="13.5" customHeight="1">
      <c r="B285" s="25">
        <f t="shared" si="35"/>
        <v>104</v>
      </c>
      <c r="C285" s="25"/>
      <c r="D285" s="25"/>
      <c r="E285" s="31"/>
      <c r="F285" s="15" t="s">
        <v>18</v>
      </c>
      <c r="G285" s="6">
        <v>22816.85</v>
      </c>
      <c r="H285" s="2">
        <v>3417.98</v>
      </c>
      <c r="I285" s="2">
        <v>6080</v>
      </c>
      <c r="J285" s="2"/>
      <c r="K285" s="7">
        <f t="shared" si="32"/>
        <v>32314.829999999998</v>
      </c>
      <c r="L285" s="8">
        <v>9000</v>
      </c>
      <c r="M285" s="9">
        <f t="shared" si="33"/>
        <v>0.27850989777758389</v>
      </c>
      <c r="N285" s="5">
        <v>1</v>
      </c>
      <c r="O285" s="10">
        <f t="shared" si="34"/>
        <v>0.27850989777758389</v>
      </c>
    </row>
    <row r="286" spans="2:15" ht="13.5" customHeight="1">
      <c r="B286" s="25">
        <f t="shared" si="35"/>
        <v>105</v>
      </c>
      <c r="C286" s="25"/>
      <c r="D286" s="25"/>
      <c r="E286" s="31"/>
      <c r="F286" s="15" t="s">
        <v>18</v>
      </c>
      <c r="G286" s="6">
        <v>20906.37</v>
      </c>
      <c r="H286" s="2">
        <v>3417.98</v>
      </c>
      <c r="I286" s="2">
        <v>6080</v>
      </c>
      <c r="J286" s="2"/>
      <c r="K286" s="7">
        <f t="shared" si="32"/>
        <v>30404.35</v>
      </c>
      <c r="L286" s="8">
        <v>9000</v>
      </c>
      <c r="M286" s="9">
        <f t="shared" si="33"/>
        <v>0.29601027484554021</v>
      </c>
      <c r="N286" s="5">
        <v>1</v>
      </c>
      <c r="O286" s="10">
        <f t="shared" si="34"/>
        <v>0.29601027484554021</v>
      </c>
    </row>
    <row r="287" spans="2:15" ht="13.5" customHeight="1">
      <c r="B287" s="25">
        <f t="shared" si="35"/>
        <v>106</v>
      </c>
      <c r="C287" s="25"/>
      <c r="D287" s="25"/>
      <c r="E287" s="31"/>
      <c r="F287" s="15" t="s">
        <v>18</v>
      </c>
      <c r="G287" s="6">
        <v>22816.85</v>
      </c>
      <c r="H287" s="2">
        <v>3417.98</v>
      </c>
      <c r="I287" s="2">
        <v>6080</v>
      </c>
      <c r="J287" s="2"/>
      <c r="K287" s="7">
        <f t="shared" si="32"/>
        <v>32314.829999999998</v>
      </c>
      <c r="L287" s="8">
        <v>9000</v>
      </c>
      <c r="M287" s="9">
        <f t="shared" si="33"/>
        <v>0.27850989777758389</v>
      </c>
      <c r="N287" s="5">
        <v>1</v>
      </c>
      <c r="O287" s="10">
        <f t="shared" si="34"/>
        <v>0.27850989777758389</v>
      </c>
    </row>
    <row r="288" spans="2:15" ht="13.5" customHeight="1">
      <c r="B288" s="25">
        <f t="shared" si="35"/>
        <v>107</v>
      </c>
      <c r="C288" s="25"/>
      <c r="D288" s="25"/>
      <c r="E288" s="31"/>
      <c r="F288" s="15" t="s">
        <v>18</v>
      </c>
      <c r="G288" s="6">
        <v>22816.85</v>
      </c>
      <c r="H288" s="2">
        <v>3417.98</v>
      </c>
      <c r="I288" s="2">
        <v>6080</v>
      </c>
      <c r="J288" s="2"/>
      <c r="K288" s="7">
        <f t="shared" si="32"/>
        <v>32314.829999999998</v>
      </c>
      <c r="L288" s="8">
        <v>9000</v>
      </c>
      <c r="M288" s="9">
        <f t="shared" si="33"/>
        <v>0.27850989777758389</v>
      </c>
      <c r="N288" s="5">
        <v>1</v>
      </c>
      <c r="O288" s="10">
        <f t="shared" si="34"/>
        <v>0.27850989777758389</v>
      </c>
    </row>
    <row r="289" spans="2:15" ht="13.5" customHeight="1">
      <c r="B289" s="25">
        <f t="shared" si="35"/>
        <v>108</v>
      </c>
      <c r="C289" s="25"/>
      <c r="D289" s="25"/>
      <c r="E289" s="31"/>
      <c r="F289" s="15" t="s">
        <v>18</v>
      </c>
      <c r="G289" s="6">
        <v>20906.37</v>
      </c>
      <c r="H289" s="2">
        <v>3417.98</v>
      </c>
      <c r="I289" s="2">
        <v>6080</v>
      </c>
      <c r="J289" s="2"/>
      <c r="K289" s="7">
        <f t="shared" si="32"/>
        <v>30404.35</v>
      </c>
      <c r="L289" s="8">
        <v>9000</v>
      </c>
      <c r="M289" s="9">
        <f t="shared" si="33"/>
        <v>0.29601027484554021</v>
      </c>
      <c r="N289" s="5">
        <v>1</v>
      </c>
      <c r="O289" s="10">
        <f t="shared" si="34"/>
        <v>0.29601027484554021</v>
      </c>
    </row>
    <row r="290" spans="2:15" ht="13.5" customHeight="1">
      <c r="B290" s="25">
        <f t="shared" si="35"/>
        <v>109</v>
      </c>
      <c r="C290" s="25"/>
      <c r="D290" s="25"/>
      <c r="E290" s="31"/>
      <c r="F290" s="15" t="s">
        <v>18</v>
      </c>
      <c r="G290" s="6">
        <v>20906.37</v>
      </c>
      <c r="H290" s="2">
        <v>3417.98</v>
      </c>
      <c r="I290" s="2">
        <v>6080</v>
      </c>
      <c r="J290" s="2"/>
      <c r="K290" s="7">
        <f t="shared" si="32"/>
        <v>30404.35</v>
      </c>
      <c r="L290" s="8">
        <v>9000</v>
      </c>
      <c r="M290" s="9">
        <f t="shared" si="33"/>
        <v>0.29601027484554021</v>
      </c>
      <c r="N290" s="5">
        <v>1</v>
      </c>
      <c r="O290" s="10">
        <f t="shared" si="34"/>
        <v>0.29601027484554021</v>
      </c>
    </row>
    <row r="291" spans="2:15" ht="13.5" customHeight="1">
      <c r="B291" s="25">
        <f t="shared" si="35"/>
        <v>110</v>
      </c>
      <c r="C291" s="25"/>
      <c r="D291" s="25"/>
      <c r="E291" s="31"/>
      <c r="F291" s="15" t="s">
        <v>18</v>
      </c>
      <c r="G291" s="6">
        <v>20906.37</v>
      </c>
      <c r="H291" s="2">
        <v>3417.98</v>
      </c>
      <c r="I291" s="2">
        <v>6080</v>
      </c>
      <c r="J291" s="2"/>
      <c r="K291" s="7">
        <f t="shared" si="32"/>
        <v>30404.35</v>
      </c>
      <c r="L291" s="8">
        <v>9000</v>
      </c>
      <c r="M291" s="9">
        <f t="shared" si="33"/>
        <v>0.29601027484554021</v>
      </c>
      <c r="N291" s="5">
        <v>1</v>
      </c>
      <c r="O291" s="10">
        <f t="shared" si="34"/>
        <v>0.29601027484554021</v>
      </c>
    </row>
    <row r="292" spans="2:15" ht="13.5" customHeight="1">
      <c r="B292" s="25">
        <f t="shared" si="35"/>
        <v>111</v>
      </c>
      <c r="C292" s="25"/>
      <c r="D292" s="25"/>
      <c r="E292" s="31"/>
      <c r="F292" s="15" t="s">
        <v>18</v>
      </c>
      <c r="G292" s="6">
        <v>22816.85</v>
      </c>
      <c r="H292" s="2">
        <v>3417.98</v>
      </c>
      <c r="I292" s="2">
        <v>6080</v>
      </c>
      <c r="J292" s="2"/>
      <c r="K292" s="7">
        <f t="shared" si="32"/>
        <v>32314.829999999998</v>
      </c>
      <c r="L292" s="8">
        <v>9000</v>
      </c>
      <c r="M292" s="9">
        <f t="shared" si="33"/>
        <v>0.27850989777758389</v>
      </c>
      <c r="N292" s="5">
        <v>1</v>
      </c>
      <c r="O292" s="10">
        <f t="shared" si="34"/>
        <v>0.27850989777758389</v>
      </c>
    </row>
    <row r="293" spans="2:15" ht="13.5" customHeight="1">
      <c r="B293" s="25">
        <f t="shared" si="35"/>
        <v>112</v>
      </c>
      <c r="C293" s="25"/>
      <c r="D293" s="25"/>
      <c r="E293" s="31"/>
      <c r="F293" s="15" t="s">
        <v>18</v>
      </c>
      <c r="G293" s="6">
        <v>26000.98</v>
      </c>
      <c r="H293" s="2">
        <v>3417.98</v>
      </c>
      <c r="I293" s="2">
        <v>6080</v>
      </c>
      <c r="J293" s="2"/>
      <c r="K293" s="7">
        <f t="shared" si="32"/>
        <v>35498.959999999999</v>
      </c>
      <c r="L293" s="8">
        <v>9000</v>
      </c>
      <c r="M293" s="9">
        <f t="shared" si="33"/>
        <v>0.25352855407595037</v>
      </c>
      <c r="N293" s="5">
        <v>1</v>
      </c>
      <c r="O293" s="10">
        <f t="shared" si="34"/>
        <v>0.25352855407595037</v>
      </c>
    </row>
    <row r="294" spans="2:15" ht="13.5" customHeight="1">
      <c r="B294" s="25">
        <f t="shared" si="35"/>
        <v>113</v>
      </c>
      <c r="C294" s="25"/>
      <c r="D294" s="25"/>
      <c r="E294" s="31"/>
      <c r="F294" s="15" t="s">
        <v>18</v>
      </c>
      <c r="G294" s="6">
        <v>26000.98</v>
      </c>
      <c r="H294" s="2">
        <v>3417.98</v>
      </c>
      <c r="I294" s="2">
        <v>6080</v>
      </c>
      <c r="J294" s="2"/>
      <c r="K294" s="7">
        <f t="shared" si="32"/>
        <v>35498.959999999999</v>
      </c>
      <c r="L294" s="8">
        <v>9000</v>
      </c>
      <c r="M294" s="9">
        <f t="shared" si="33"/>
        <v>0.25352855407595037</v>
      </c>
      <c r="N294" s="5">
        <v>1</v>
      </c>
      <c r="O294" s="10">
        <f t="shared" si="34"/>
        <v>0.25352855407595037</v>
      </c>
    </row>
    <row r="295" spans="2:15" ht="13.5" customHeight="1">
      <c r="B295" s="25">
        <f t="shared" si="35"/>
        <v>114</v>
      </c>
      <c r="C295" s="25"/>
      <c r="D295" s="25"/>
      <c r="E295" s="31"/>
      <c r="F295" s="15" t="s">
        <v>18</v>
      </c>
      <c r="G295" s="6">
        <v>22816.85</v>
      </c>
      <c r="H295" s="2">
        <v>3417.98</v>
      </c>
      <c r="I295" s="2">
        <v>6080</v>
      </c>
      <c r="J295" s="2"/>
      <c r="K295" s="7">
        <f t="shared" si="32"/>
        <v>32314.829999999998</v>
      </c>
      <c r="L295" s="8">
        <v>9000</v>
      </c>
      <c r="M295" s="9">
        <f t="shared" si="33"/>
        <v>0.27850989777758389</v>
      </c>
      <c r="N295" s="5">
        <v>1</v>
      </c>
      <c r="O295" s="10">
        <f t="shared" si="34"/>
        <v>0.27850989777758389</v>
      </c>
    </row>
    <row r="296" spans="2:15" ht="13.5" customHeight="1">
      <c r="B296" s="25">
        <f t="shared" si="35"/>
        <v>115</v>
      </c>
      <c r="C296" s="25"/>
      <c r="D296" s="25"/>
      <c r="E296" s="31"/>
      <c r="F296" s="15" t="s">
        <v>18</v>
      </c>
      <c r="G296" s="6">
        <v>22816.85</v>
      </c>
      <c r="H296" s="2">
        <v>3417.98</v>
      </c>
      <c r="I296" s="2">
        <v>6080</v>
      </c>
      <c r="J296" s="2"/>
      <c r="K296" s="7">
        <f t="shared" si="32"/>
        <v>32314.829999999998</v>
      </c>
      <c r="L296" s="8">
        <v>9000</v>
      </c>
      <c r="M296" s="9">
        <f t="shared" si="33"/>
        <v>0.27850989777758389</v>
      </c>
      <c r="N296" s="5">
        <v>1</v>
      </c>
      <c r="O296" s="10">
        <f t="shared" si="34"/>
        <v>0.27850989777758389</v>
      </c>
    </row>
    <row r="297" spans="2:15" ht="13.5" customHeight="1">
      <c r="B297" s="25">
        <f t="shared" si="35"/>
        <v>116</v>
      </c>
      <c r="C297" s="25"/>
      <c r="D297" s="25"/>
      <c r="E297" s="31"/>
      <c r="F297" s="15" t="s">
        <v>18</v>
      </c>
      <c r="G297" s="6">
        <v>20906.37</v>
      </c>
      <c r="H297" s="2">
        <v>3417.98</v>
      </c>
      <c r="I297" s="2">
        <v>6080</v>
      </c>
      <c r="J297" s="2"/>
      <c r="K297" s="7">
        <f t="shared" si="32"/>
        <v>30404.35</v>
      </c>
      <c r="L297" s="8">
        <v>9000</v>
      </c>
      <c r="M297" s="9">
        <f t="shared" si="33"/>
        <v>0.29601027484554021</v>
      </c>
      <c r="N297" s="5">
        <v>1</v>
      </c>
      <c r="O297" s="10">
        <f t="shared" si="34"/>
        <v>0.29601027484554021</v>
      </c>
    </row>
    <row r="298" spans="2:15" ht="13.5" customHeight="1">
      <c r="B298" s="25">
        <f t="shared" si="35"/>
        <v>117</v>
      </c>
      <c r="C298" s="25"/>
      <c r="D298" s="25"/>
      <c r="E298" s="31"/>
      <c r="F298" s="15" t="s">
        <v>18</v>
      </c>
      <c r="G298" s="6">
        <v>26000.98</v>
      </c>
      <c r="H298" s="2">
        <v>3417.98</v>
      </c>
      <c r="I298" s="2">
        <v>6080</v>
      </c>
      <c r="J298" s="2"/>
      <c r="K298" s="7">
        <f t="shared" si="32"/>
        <v>35498.959999999999</v>
      </c>
      <c r="L298" s="8">
        <v>9000</v>
      </c>
      <c r="M298" s="9">
        <f t="shared" si="33"/>
        <v>0.25352855407595037</v>
      </c>
      <c r="N298" s="5">
        <v>1</v>
      </c>
      <c r="O298" s="10">
        <f t="shared" si="34"/>
        <v>0.25352855407595037</v>
      </c>
    </row>
    <row r="299" spans="2:15" ht="13.5" customHeight="1">
      <c r="B299" s="25">
        <f t="shared" si="35"/>
        <v>118</v>
      </c>
      <c r="C299" s="25"/>
      <c r="D299" s="25"/>
      <c r="E299" s="31"/>
      <c r="F299" s="15" t="s">
        <v>18</v>
      </c>
      <c r="G299" s="6">
        <v>20906.37</v>
      </c>
      <c r="H299" s="2">
        <v>3417.98</v>
      </c>
      <c r="I299" s="2">
        <v>6080</v>
      </c>
      <c r="J299" s="2"/>
      <c r="K299" s="7">
        <f t="shared" si="32"/>
        <v>30404.35</v>
      </c>
      <c r="L299" s="8">
        <v>9000</v>
      </c>
      <c r="M299" s="9">
        <f t="shared" si="33"/>
        <v>0.29601027484554021</v>
      </c>
      <c r="N299" s="5">
        <v>1</v>
      </c>
      <c r="O299" s="10">
        <f t="shared" si="34"/>
        <v>0.29601027484554021</v>
      </c>
    </row>
    <row r="300" spans="2:15" ht="13.5" customHeight="1">
      <c r="B300" s="25">
        <f t="shared" si="35"/>
        <v>119</v>
      </c>
      <c r="C300" s="25"/>
      <c r="D300" s="25"/>
      <c r="E300" s="31"/>
      <c r="F300" s="15" t="s">
        <v>18</v>
      </c>
      <c r="G300" s="6">
        <v>20906.37</v>
      </c>
      <c r="H300" s="2">
        <v>3417.98</v>
      </c>
      <c r="I300" s="2">
        <v>6080</v>
      </c>
      <c r="J300" s="2"/>
      <c r="K300" s="7">
        <f t="shared" si="32"/>
        <v>30404.35</v>
      </c>
      <c r="L300" s="8">
        <v>9000</v>
      </c>
      <c r="M300" s="9">
        <f t="shared" si="33"/>
        <v>0.29601027484554021</v>
      </c>
      <c r="N300" s="5">
        <v>1</v>
      </c>
      <c r="O300" s="10">
        <f t="shared" si="34"/>
        <v>0.29601027484554021</v>
      </c>
    </row>
    <row r="301" spans="2:15" ht="13.5" customHeight="1">
      <c r="B301" s="25">
        <f t="shared" si="35"/>
        <v>120</v>
      </c>
      <c r="C301" s="25"/>
      <c r="D301" s="25"/>
      <c r="E301" s="31"/>
      <c r="F301" s="15" t="s">
        <v>18</v>
      </c>
      <c r="G301" s="6">
        <v>20906.37</v>
      </c>
      <c r="H301" s="2">
        <v>3417.98</v>
      </c>
      <c r="I301" s="2">
        <v>6080</v>
      </c>
      <c r="J301" s="2"/>
      <c r="K301" s="7">
        <f t="shared" si="32"/>
        <v>30404.35</v>
      </c>
      <c r="L301" s="8">
        <v>9000</v>
      </c>
      <c r="M301" s="9">
        <f t="shared" si="33"/>
        <v>0.29601027484554021</v>
      </c>
      <c r="N301" s="5">
        <v>1</v>
      </c>
      <c r="O301" s="10">
        <f t="shared" si="34"/>
        <v>0.29601027484554021</v>
      </c>
    </row>
    <row r="302" spans="2:15" ht="13.5" customHeight="1">
      <c r="B302" s="25">
        <f t="shared" si="35"/>
        <v>121</v>
      </c>
      <c r="C302" s="25"/>
      <c r="D302" s="25"/>
      <c r="E302" s="31"/>
      <c r="F302" s="15" t="s">
        <v>18</v>
      </c>
      <c r="G302" s="6">
        <v>20906.37</v>
      </c>
      <c r="H302" s="2">
        <v>3417.98</v>
      </c>
      <c r="I302" s="2">
        <v>6080</v>
      </c>
      <c r="J302" s="2"/>
      <c r="K302" s="7">
        <f t="shared" si="32"/>
        <v>30404.35</v>
      </c>
      <c r="L302" s="8">
        <v>9000</v>
      </c>
      <c r="M302" s="9">
        <f t="shared" si="33"/>
        <v>0.29601027484554021</v>
      </c>
      <c r="N302" s="5">
        <v>1</v>
      </c>
      <c r="O302" s="10">
        <f t="shared" si="34"/>
        <v>0.29601027484554021</v>
      </c>
    </row>
    <row r="303" spans="2:15" ht="13.5" customHeight="1">
      <c r="B303" s="25">
        <f t="shared" si="35"/>
        <v>122</v>
      </c>
      <c r="C303" s="25"/>
      <c r="D303" s="25"/>
      <c r="E303" s="31"/>
      <c r="F303" s="15" t="s">
        <v>18</v>
      </c>
      <c r="G303" s="6">
        <v>26000.98</v>
      </c>
      <c r="H303" s="2">
        <v>3417.98</v>
      </c>
      <c r="I303" s="2">
        <v>6080</v>
      </c>
      <c r="J303" s="2"/>
      <c r="K303" s="7">
        <f t="shared" si="32"/>
        <v>35498.959999999999</v>
      </c>
      <c r="L303" s="8">
        <v>9000</v>
      </c>
      <c r="M303" s="9">
        <f t="shared" si="33"/>
        <v>0.25352855407595037</v>
      </c>
      <c r="N303" s="5">
        <v>1</v>
      </c>
      <c r="O303" s="10">
        <f t="shared" si="34"/>
        <v>0.25352855407595037</v>
      </c>
    </row>
    <row r="304" spans="2:15" ht="13.5" customHeight="1">
      <c r="B304" s="25">
        <f t="shared" si="35"/>
        <v>123</v>
      </c>
      <c r="C304" s="25"/>
      <c r="D304" s="25"/>
      <c r="E304" s="31"/>
      <c r="F304" s="15" t="s">
        <v>18</v>
      </c>
      <c r="G304" s="6">
        <v>20906.37</v>
      </c>
      <c r="H304" s="2">
        <v>3417.98</v>
      </c>
      <c r="I304" s="2">
        <v>6080</v>
      </c>
      <c r="J304" s="2"/>
      <c r="K304" s="7">
        <f t="shared" si="32"/>
        <v>30404.35</v>
      </c>
      <c r="L304" s="8">
        <v>9000</v>
      </c>
      <c r="M304" s="9">
        <f t="shared" si="33"/>
        <v>0.29601027484554021</v>
      </c>
      <c r="N304" s="5">
        <v>1</v>
      </c>
      <c r="O304" s="10">
        <f t="shared" si="34"/>
        <v>0.29601027484554021</v>
      </c>
    </row>
    <row r="305" spans="2:15" ht="13.5" customHeight="1">
      <c r="B305" s="25">
        <f t="shared" si="35"/>
        <v>124</v>
      </c>
      <c r="C305" s="25"/>
      <c r="D305" s="25"/>
      <c r="E305" s="31"/>
      <c r="F305" s="15" t="s">
        <v>18</v>
      </c>
      <c r="G305" s="6">
        <v>29185.119999999999</v>
      </c>
      <c r="H305" s="2">
        <v>3417.98</v>
      </c>
      <c r="I305" s="2">
        <v>6080</v>
      </c>
      <c r="J305" s="2"/>
      <c r="K305" s="7">
        <f t="shared" si="32"/>
        <v>38683.1</v>
      </c>
      <c r="L305" s="8">
        <v>9000</v>
      </c>
      <c r="M305" s="9">
        <f t="shared" si="33"/>
        <v>0.23265974030002767</v>
      </c>
      <c r="N305" s="5">
        <v>1</v>
      </c>
      <c r="O305" s="10">
        <f t="shared" si="34"/>
        <v>0.23265974030002767</v>
      </c>
    </row>
    <row r="306" spans="2:15" ht="13.5" customHeight="1">
      <c r="B306" s="25">
        <f t="shared" si="35"/>
        <v>125</v>
      </c>
      <c r="C306" s="25"/>
      <c r="D306" s="25"/>
      <c r="E306" s="31"/>
      <c r="F306" s="15" t="s">
        <v>18</v>
      </c>
      <c r="G306" s="6">
        <v>22816.85</v>
      </c>
      <c r="H306" s="2">
        <v>3417.98</v>
      </c>
      <c r="I306" s="2">
        <v>6080</v>
      </c>
      <c r="J306" s="2"/>
      <c r="K306" s="7">
        <f t="shared" si="32"/>
        <v>32314.829999999998</v>
      </c>
      <c r="L306" s="8">
        <v>9000</v>
      </c>
      <c r="M306" s="9">
        <f t="shared" si="33"/>
        <v>0.27850989777758389</v>
      </c>
      <c r="N306" s="5">
        <v>1</v>
      </c>
      <c r="O306" s="10">
        <f t="shared" si="34"/>
        <v>0.27850989777758389</v>
      </c>
    </row>
    <row r="307" spans="2:15" ht="13.5" customHeight="1">
      <c r="B307" s="25">
        <f t="shared" si="35"/>
        <v>126</v>
      </c>
      <c r="C307" s="25"/>
      <c r="D307" s="25"/>
      <c r="E307" s="31"/>
      <c r="F307" s="15" t="s">
        <v>18</v>
      </c>
      <c r="G307" s="6">
        <v>22816.85</v>
      </c>
      <c r="H307" s="2">
        <v>3417.98</v>
      </c>
      <c r="I307" s="2">
        <v>6080</v>
      </c>
      <c r="J307" s="2"/>
      <c r="K307" s="7">
        <f t="shared" si="32"/>
        <v>32314.829999999998</v>
      </c>
      <c r="L307" s="8">
        <v>9000</v>
      </c>
      <c r="M307" s="9">
        <f t="shared" si="33"/>
        <v>0.27850989777758389</v>
      </c>
      <c r="N307" s="5">
        <v>1</v>
      </c>
      <c r="O307" s="10">
        <f t="shared" si="34"/>
        <v>0.27850989777758389</v>
      </c>
    </row>
    <row r="308" spans="2:15" ht="13.5" customHeight="1">
      <c r="B308" s="25">
        <f t="shared" si="35"/>
        <v>127</v>
      </c>
      <c r="C308" s="25"/>
      <c r="D308" s="25"/>
      <c r="E308" s="31"/>
      <c r="F308" s="15" t="s">
        <v>18</v>
      </c>
      <c r="G308" s="6">
        <v>20906.37</v>
      </c>
      <c r="H308" s="2">
        <v>3417.98</v>
      </c>
      <c r="I308" s="2">
        <v>6080</v>
      </c>
      <c r="J308" s="2"/>
      <c r="K308" s="7">
        <f t="shared" si="32"/>
        <v>30404.35</v>
      </c>
      <c r="L308" s="8">
        <v>9000</v>
      </c>
      <c r="M308" s="9">
        <f t="shared" si="33"/>
        <v>0.29601027484554021</v>
      </c>
      <c r="N308" s="5">
        <v>1</v>
      </c>
      <c r="O308" s="10">
        <f t="shared" si="34"/>
        <v>0.29601027484554021</v>
      </c>
    </row>
    <row r="309" spans="2:15" ht="13.5" customHeight="1">
      <c r="B309" s="25">
        <f t="shared" si="35"/>
        <v>128</v>
      </c>
      <c r="C309" s="25"/>
      <c r="D309" s="25"/>
      <c r="E309" s="31"/>
      <c r="F309" s="15" t="s">
        <v>18</v>
      </c>
      <c r="G309" s="6">
        <v>20906.37</v>
      </c>
      <c r="H309" s="2">
        <v>3417.98</v>
      </c>
      <c r="I309" s="2">
        <v>6080</v>
      </c>
      <c r="J309" s="2"/>
      <c r="K309" s="7">
        <f t="shared" si="32"/>
        <v>30404.35</v>
      </c>
      <c r="L309" s="8">
        <v>9000</v>
      </c>
      <c r="M309" s="9">
        <f t="shared" si="33"/>
        <v>0.29601027484554021</v>
      </c>
      <c r="N309" s="5">
        <v>1</v>
      </c>
      <c r="O309" s="10">
        <f t="shared" si="34"/>
        <v>0.29601027484554021</v>
      </c>
    </row>
    <row r="310" spans="2:15" ht="13.5" customHeight="1">
      <c r="B310" s="25">
        <f t="shared" si="35"/>
        <v>129</v>
      </c>
      <c r="C310" s="25"/>
      <c r="D310" s="25"/>
      <c r="E310" s="31"/>
      <c r="F310" s="15" t="s">
        <v>18</v>
      </c>
      <c r="G310" s="6">
        <v>20906.37</v>
      </c>
      <c r="H310" s="2">
        <v>3417.98</v>
      </c>
      <c r="I310" s="2">
        <v>6080</v>
      </c>
      <c r="J310" s="2"/>
      <c r="K310" s="7">
        <f t="shared" si="32"/>
        <v>30404.35</v>
      </c>
      <c r="L310" s="8">
        <v>9000</v>
      </c>
      <c r="M310" s="9">
        <f t="shared" si="33"/>
        <v>0.29601027484554021</v>
      </c>
      <c r="N310" s="5">
        <v>1</v>
      </c>
      <c r="O310" s="10">
        <f t="shared" si="34"/>
        <v>0.29601027484554021</v>
      </c>
    </row>
    <row r="311" spans="2:15" ht="13.5" customHeight="1">
      <c r="B311" s="25">
        <f t="shared" si="35"/>
        <v>130</v>
      </c>
      <c r="C311" s="25"/>
      <c r="D311" s="25"/>
      <c r="E311" s="31"/>
      <c r="F311" s="15" t="s">
        <v>18</v>
      </c>
      <c r="G311" s="6">
        <v>20906.37</v>
      </c>
      <c r="H311" s="2">
        <v>3417.98</v>
      </c>
      <c r="I311" s="2">
        <v>6080</v>
      </c>
      <c r="J311" s="2"/>
      <c r="K311" s="7">
        <f t="shared" ref="K311:K324" si="36">SUM(G311:I311)</f>
        <v>30404.35</v>
      </c>
      <c r="L311" s="8">
        <v>9000</v>
      </c>
      <c r="M311" s="9">
        <f t="shared" ref="M311:M324" si="37">L311/K311</f>
        <v>0.29601027484554021</v>
      </c>
      <c r="N311" s="5">
        <v>1</v>
      </c>
      <c r="O311" s="10">
        <f t="shared" ref="O311:O324" si="38">N311*M311</f>
        <v>0.29601027484554021</v>
      </c>
    </row>
    <row r="312" spans="2:15" ht="13.5" customHeight="1">
      <c r="B312" s="25">
        <f t="shared" ref="B312:B324" si="39">+B311+1</f>
        <v>131</v>
      </c>
      <c r="C312" s="25"/>
      <c r="D312" s="25"/>
      <c r="E312" s="31"/>
      <c r="F312" s="15" t="s">
        <v>18</v>
      </c>
      <c r="G312" s="6">
        <v>20906.37</v>
      </c>
      <c r="H312" s="2">
        <v>3417.98</v>
      </c>
      <c r="I312" s="2">
        <v>6080</v>
      </c>
      <c r="J312" s="2"/>
      <c r="K312" s="7">
        <f t="shared" si="36"/>
        <v>30404.35</v>
      </c>
      <c r="L312" s="8">
        <v>9000</v>
      </c>
      <c r="M312" s="9">
        <f t="shared" si="37"/>
        <v>0.29601027484554021</v>
      </c>
      <c r="N312" s="5">
        <v>1</v>
      </c>
      <c r="O312" s="10">
        <f t="shared" si="38"/>
        <v>0.29601027484554021</v>
      </c>
    </row>
    <row r="313" spans="2:15" ht="13.5" customHeight="1">
      <c r="B313" s="25">
        <f t="shared" si="39"/>
        <v>132</v>
      </c>
      <c r="C313" s="25"/>
      <c r="D313" s="25"/>
      <c r="E313" s="31"/>
      <c r="F313" s="15" t="s">
        <v>18</v>
      </c>
      <c r="G313" s="6">
        <v>20906.37</v>
      </c>
      <c r="H313" s="2">
        <v>3417.98</v>
      </c>
      <c r="I313" s="2">
        <v>6080</v>
      </c>
      <c r="J313" s="2"/>
      <c r="K313" s="7">
        <f t="shared" si="36"/>
        <v>30404.35</v>
      </c>
      <c r="L313" s="8">
        <v>9000</v>
      </c>
      <c r="M313" s="9">
        <f t="shared" si="37"/>
        <v>0.29601027484554021</v>
      </c>
      <c r="N313" s="5">
        <v>1</v>
      </c>
      <c r="O313" s="10">
        <f t="shared" si="38"/>
        <v>0.29601027484554021</v>
      </c>
    </row>
    <row r="314" spans="2:15" ht="13.5" customHeight="1">
      <c r="B314" s="25">
        <f t="shared" si="39"/>
        <v>133</v>
      </c>
      <c r="C314" s="25"/>
      <c r="D314" s="25"/>
      <c r="E314" s="31"/>
      <c r="F314" s="15" t="s">
        <v>18</v>
      </c>
      <c r="G314" s="6">
        <v>20906.37</v>
      </c>
      <c r="H314" s="2">
        <v>3417.98</v>
      </c>
      <c r="I314" s="2">
        <v>6080</v>
      </c>
      <c r="J314" s="2"/>
      <c r="K314" s="7">
        <f t="shared" si="36"/>
        <v>30404.35</v>
      </c>
      <c r="L314" s="8">
        <v>9000</v>
      </c>
      <c r="M314" s="9">
        <f t="shared" si="37"/>
        <v>0.29601027484554021</v>
      </c>
      <c r="N314" s="5">
        <v>1</v>
      </c>
      <c r="O314" s="10">
        <f t="shared" si="38"/>
        <v>0.29601027484554021</v>
      </c>
    </row>
    <row r="315" spans="2:15" ht="13.5" customHeight="1">
      <c r="B315" s="25">
        <f t="shared" si="39"/>
        <v>134</v>
      </c>
      <c r="C315" s="25"/>
      <c r="D315" s="25"/>
      <c r="E315" s="31"/>
      <c r="F315" s="15" t="s">
        <v>18</v>
      </c>
      <c r="G315" s="6">
        <v>20906.37</v>
      </c>
      <c r="H315" s="2">
        <v>3417.98</v>
      </c>
      <c r="I315" s="2">
        <v>6080</v>
      </c>
      <c r="J315" s="2"/>
      <c r="K315" s="7">
        <f t="shared" si="36"/>
        <v>30404.35</v>
      </c>
      <c r="L315" s="8">
        <v>9000</v>
      </c>
      <c r="M315" s="9">
        <f t="shared" si="37"/>
        <v>0.29601027484554021</v>
      </c>
      <c r="N315" s="5">
        <v>1</v>
      </c>
      <c r="O315" s="10">
        <f t="shared" si="38"/>
        <v>0.29601027484554021</v>
      </c>
    </row>
    <row r="316" spans="2:15" ht="13.5" customHeight="1">
      <c r="B316" s="25">
        <f t="shared" si="39"/>
        <v>135</v>
      </c>
      <c r="C316" s="25"/>
      <c r="D316" s="25"/>
      <c r="E316" s="31"/>
      <c r="F316" s="15" t="s">
        <v>18</v>
      </c>
      <c r="G316" s="6">
        <v>20906.37</v>
      </c>
      <c r="H316" s="2">
        <v>3417.98</v>
      </c>
      <c r="I316" s="2">
        <v>6080</v>
      </c>
      <c r="J316" s="2"/>
      <c r="K316" s="7">
        <f t="shared" si="36"/>
        <v>30404.35</v>
      </c>
      <c r="L316" s="8">
        <v>9000</v>
      </c>
      <c r="M316" s="9">
        <f t="shared" si="37"/>
        <v>0.29601027484554021</v>
      </c>
      <c r="N316" s="5">
        <v>1</v>
      </c>
      <c r="O316" s="10">
        <f t="shared" si="38"/>
        <v>0.29601027484554021</v>
      </c>
    </row>
    <row r="317" spans="2:15" ht="13.5" customHeight="1">
      <c r="B317" s="25">
        <f t="shared" si="39"/>
        <v>136</v>
      </c>
      <c r="C317" s="25"/>
      <c r="D317" s="25"/>
      <c r="E317" s="31"/>
      <c r="F317" s="15" t="s">
        <v>18</v>
      </c>
      <c r="G317" s="6">
        <v>22816.85</v>
      </c>
      <c r="H317" s="2">
        <v>3417.98</v>
      </c>
      <c r="I317" s="2">
        <v>6080</v>
      </c>
      <c r="J317" s="2"/>
      <c r="K317" s="7">
        <f t="shared" si="36"/>
        <v>32314.829999999998</v>
      </c>
      <c r="L317" s="8">
        <v>9000</v>
      </c>
      <c r="M317" s="9">
        <f t="shared" si="37"/>
        <v>0.27850989777758389</v>
      </c>
      <c r="N317" s="5">
        <v>1</v>
      </c>
      <c r="O317" s="10">
        <f t="shared" si="38"/>
        <v>0.27850989777758389</v>
      </c>
    </row>
    <row r="318" spans="2:15" ht="13.5" customHeight="1">
      <c r="B318" s="25">
        <f t="shared" si="39"/>
        <v>137</v>
      </c>
      <c r="C318" s="25"/>
      <c r="D318" s="25"/>
      <c r="E318" s="31"/>
      <c r="F318" s="15" t="s">
        <v>18</v>
      </c>
      <c r="G318" s="6">
        <v>22816.85</v>
      </c>
      <c r="H318" s="2">
        <v>3417.98</v>
      </c>
      <c r="I318" s="2">
        <v>6080</v>
      </c>
      <c r="J318" s="2"/>
      <c r="K318" s="7">
        <f t="shared" si="36"/>
        <v>32314.829999999998</v>
      </c>
      <c r="L318" s="8">
        <v>9000</v>
      </c>
      <c r="M318" s="9">
        <f t="shared" si="37"/>
        <v>0.27850989777758389</v>
      </c>
      <c r="N318" s="5">
        <v>1</v>
      </c>
      <c r="O318" s="10">
        <f t="shared" si="38"/>
        <v>0.27850989777758389</v>
      </c>
    </row>
    <row r="319" spans="2:15" ht="13.5" customHeight="1">
      <c r="B319" s="25">
        <f t="shared" si="39"/>
        <v>138</v>
      </c>
      <c r="C319" s="25"/>
      <c r="D319" s="25"/>
      <c r="E319" s="31"/>
      <c r="F319" s="15" t="s">
        <v>18</v>
      </c>
      <c r="G319" s="6">
        <v>20906.37</v>
      </c>
      <c r="H319" s="2">
        <v>3417.98</v>
      </c>
      <c r="I319" s="2">
        <v>6080</v>
      </c>
      <c r="J319" s="2"/>
      <c r="K319" s="7">
        <f t="shared" si="36"/>
        <v>30404.35</v>
      </c>
      <c r="L319" s="8">
        <v>9000</v>
      </c>
      <c r="M319" s="9">
        <f t="shared" si="37"/>
        <v>0.29601027484554021</v>
      </c>
      <c r="N319" s="5">
        <v>1</v>
      </c>
      <c r="O319" s="10">
        <f t="shared" si="38"/>
        <v>0.29601027484554021</v>
      </c>
    </row>
    <row r="320" spans="2:15" ht="13.5" customHeight="1">
      <c r="B320" s="25">
        <f t="shared" si="39"/>
        <v>139</v>
      </c>
      <c r="C320" s="25"/>
      <c r="D320" s="25"/>
      <c r="E320" s="31"/>
      <c r="F320" s="15" t="s">
        <v>18</v>
      </c>
      <c r="G320" s="6">
        <v>20906.37</v>
      </c>
      <c r="H320" s="2">
        <v>3417.98</v>
      </c>
      <c r="I320" s="2">
        <v>6080</v>
      </c>
      <c r="J320" s="2"/>
      <c r="K320" s="7">
        <f t="shared" si="36"/>
        <v>30404.35</v>
      </c>
      <c r="L320" s="8">
        <v>9000</v>
      </c>
      <c r="M320" s="9">
        <f t="shared" si="37"/>
        <v>0.29601027484554021</v>
      </c>
      <c r="N320" s="5">
        <v>1</v>
      </c>
      <c r="O320" s="10">
        <f t="shared" si="38"/>
        <v>0.29601027484554021</v>
      </c>
    </row>
    <row r="321" spans="2:15" ht="13.5" customHeight="1">
      <c r="B321" s="25">
        <f t="shared" si="39"/>
        <v>140</v>
      </c>
      <c r="C321" s="25"/>
      <c r="D321" s="25"/>
      <c r="E321" s="31"/>
      <c r="F321" s="15" t="s">
        <v>18</v>
      </c>
      <c r="G321" s="6">
        <v>20906.37</v>
      </c>
      <c r="H321" s="2">
        <v>3417.98</v>
      </c>
      <c r="I321" s="2">
        <v>6080</v>
      </c>
      <c r="J321" s="2"/>
      <c r="K321" s="7">
        <f t="shared" si="36"/>
        <v>30404.35</v>
      </c>
      <c r="L321" s="8">
        <v>9000</v>
      </c>
      <c r="M321" s="9">
        <f t="shared" si="37"/>
        <v>0.29601027484554021</v>
      </c>
      <c r="N321" s="5">
        <v>1</v>
      </c>
      <c r="O321" s="10">
        <f t="shared" si="38"/>
        <v>0.29601027484554021</v>
      </c>
    </row>
    <row r="322" spans="2:15" ht="13.5" customHeight="1">
      <c r="B322" s="25">
        <f t="shared" si="39"/>
        <v>141</v>
      </c>
      <c r="C322" s="25"/>
      <c r="D322" s="25"/>
      <c r="E322" s="31"/>
      <c r="F322" s="15" t="s">
        <v>18</v>
      </c>
      <c r="G322" s="6">
        <v>22816.85</v>
      </c>
      <c r="H322" s="2">
        <v>3417.98</v>
      </c>
      <c r="I322" s="2">
        <v>6080</v>
      </c>
      <c r="J322" s="2"/>
      <c r="K322" s="7">
        <f t="shared" si="36"/>
        <v>32314.829999999998</v>
      </c>
      <c r="L322" s="8">
        <v>9000</v>
      </c>
      <c r="M322" s="9">
        <f t="shared" si="37"/>
        <v>0.27850989777758389</v>
      </c>
      <c r="N322" s="5">
        <v>1</v>
      </c>
      <c r="O322" s="10">
        <f t="shared" si="38"/>
        <v>0.27850989777758389</v>
      </c>
    </row>
    <row r="323" spans="2:15" ht="13.5" customHeight="1">
      <c r="B323" s="25">
        <f t="shared" si="39"/>
        <v>142</v>
      </c>
      <c r="C323" s="25"/>
      <c r="D323" s="25"/>
      <c r="E323" s="31"/>
      <c r="F323" s="15" t="s">
        <v>18</v>
      </c>
      <c r="G323" s="6">
        <v>20906.37</v>
      </c>
      <c r="H323" s="2">
        <v>3417.98</v>
      </c>
      <c r="I323" s="2">
        <v>6080</v>
      </c>
      <c r="J323" s="2"/>
      <c r="K323" s="7">
        <f t="shared" si="36"/>
        <v>30404.35</v>
      </c>
      <c r="L323" s="8">
        <v>9000</v>
      </c>
      <c r="M323" s="9">
        <f t="shared" si="37"/>
        <v>0.29601027484554021</v>
      </c>
      <c r="N323" s="5">
        <v>1</v>
      </c>
      <c r="O323" s="10">
        <f t="shared" si="38"/>
        <v>0.29601027484554021</v>
      </c>
    </row>
    <row r="324" spans="2:15" ht="13.5" customHeight="1">
      <c r="B324" s="25">
        <f t="shared" si="39"/>
        <v>143</v>
      </c>
      <c r="C324" s="25"/>
      <c r="D324" s="25"/>
      <c r="E324" s="31"/>
      <c r="F324" s="15" t="s">
        <v>18</v>
      </c>
      <c r="G324" s="6">
        <v>22816.85</v>
      </c>
      <c r="H324" s="2">
        <v>3417.98</v>
      </c>
      <c r="I324" s="2">
        <v>6080</v>
      </c>
      <c r="J324" s="2"/>
      <c r="K324" s="7">
        <f t="shared" si="36"/>
        <v>32314.829999999998</v>
      </c>
      <c r="L324" s="8">
        <v>9000</v>
      </c>
      <c r="M324" s="9">
        <f t="shared" si="37"/>
        <v>0.27850989777758389</v>
      </c>
      <c r="N324" s="5">
        <v>1</v>
      </c>
      <c r="O324" s="10">
        <f t="shared" si="38"/>
        <v>0.27850989777758389</v>
      </c>
    </row>
    <row r="325" spans="2:15" ht="13.5" customHeight="1">
      <c r="B325" s="25">
        <v>1</v>
      </c>
      <c r="C325" s="25"/>
      <c r="D325" s="25"/>
      <c r="E325" s="31"/>
      <c r="F325" s="15" t="s">
        <v>19</v>
      </c>
      <c r="G325" s="6">
        <v>29185.119999999999</v>
      </c>
      <c r="H325" s="2">
        <v>3417.98</v>
      </c>
      <c r="I325" s="2">
        <v>6080</v>
      </c>
      <c r="J325" s="2"/>
      <c r="K325" s="2">
        <f>SUM(G325:I325)</f>
        <v>38683.1</v>
      </c>
      <c r="L325" s="8">
        <v>9000</v>
      </c>
      <c r="M325" s="9">
        <f t="shared" ref="M325" si="40">L325/K325</f>
        <v>0.23265974030002767</v>
      </c>
      <c r="N325" s="5">
        <v>1</v>
      </c>
      <c r="O325" s="10">
        <f t="shared" ref="O325" si="41">N325*M325</f>
        <v>0.23265974030002767</v>
      </c>
    </row>
    <row r="326" spans="2:15" ht="13.5" customHeight="1">
      <c r="B326" s="25">
        <v>2</v>
      </c>
      <c r="C326" s="25"/>
      <c r="D326" s="25"/>
      <c r="E326" s="31"/>
      <c r="F326" s="15" t="s">
        <v>19</v>
      </c>
      <c r="G326" s="6">
        <v>29185.119999999999</v>
      </c>
      <c r="H326" s="2">
        <v>3417.98</v>
      </c>
      <c r="I326" s="2">
        <v>6080</v>
      </c>
      <c r="J326" s="2"/>
      <c r="K326" s="2">
        <f t="shared" ref="K326:K389" si="42">SUM(G326:I326)</f>
        <v>38683.1</v>
      </c>
      <c r="L326" s="8">
        <v>9000</v>
      </c>
      <c r="M326" s="9">
        <f t="shared" ref="M326:M389" si="43">L326/K326</f>
        <v>0.23265974030002767</v>
      </c>
      <c r="N326" s="5">
        <v>1</v>
      </c>
      <c r="O326" s="10">
        <f t="shared" ref="O326:O389" si="44">N326*M326</f>
        <v>0.23265974030002767</v>
      </c>
    </row>
    <row r="327" spans="2:15" ht="13.5" customHeight="1">
      <c r="B327" s="25">
        <v>3</v>
      </c>
      <c r="C327" s="25"/>
      <c r="D327" s="25"/>
      <c r="E327" s="31"/>
      <c r="F327" s="15" t="s">
        <v>19</v>
      </c>
      <c r="G327" s="6">
        <v>22816.85</v>
      </c>
      <c r="H327" s="2">
        <v>3417.98</v>
      </c>
      <c r="I327" s="2">
        <v>6080</v>
      </c>
      <c r="J327" s="2"/>
      <c r="K327" s="2">
        <f t="shared" si="42"/>
        <v>32314.829999999998</v>
      </c>
      <c r="L327" s="8">
        <v>9000</v>
      </c>
      <c r="M327" s="9">
        <f t="shared" si="43"/>
        <v>0.27850989777758389</v>
      </c>
      <c r="N327" s="5">
        <v>1</v>
      </c>
      <c r="O327" s="10">
        <f t="shared" si="44"/>
        <v>0.27850989777758389</v>
      </c>
    </row>
    <row r="328" spans="2:15" ht="13.5" customHeight="1">
      <c r="B328" s="25">
        <v>4</v>
      </c>
      <c r="C328" s="25"/>
      <c r="D328" s="25"/>
      <c r="E328" s="31"/>
      <c r="F328" s="15" t="s">
        <v>19</v>
      </c>
      <c r="G328" s="6">
        <v>22816.85</v>
      </c>
      <c r="H328" s="2">
        <v>3417.98</v>
      </c>
      <c r="I328" s="2">
        <v>6080</v>
      </c>
      <c r="J328" s="2"/>
      <c r="K328" s="2">
        <f t="shared" si="42"/>
        <v>32314.829999999998</v>
      </c>
      <c r="L328" s="8">
        <v>9000</v>
      </c>
      <c r="M328" s="9">
        <f t="shared" si="43"/>
        <v>0.27850989777758389</v>
      </c>
      <c r="N328" s="5">
        <v>1</v>
      </c>
      <c r="O328" s="10">
        <f t="shared" si="44"/>
        <v>0.27850989777758389</v>
      </c>
    </row>
    <row r="329" spans="2:15" ht="13.5" customHeight="1">
      <c r="B329" s="25">
        <v>5</v>
      </c>
      <c r="C329" s="25"/>
      <c r="D329" s="25"/>
      <c r="E329" s="31"/>
      <c r="F329" s="15" t="s">
        <v>19</v>
      </c>
      <c r="G329" s="6">
        <v>22816.85</v>
      </c>
      <c r="H329" s="2">
        <v>3417.98</v>
      </c>
      <c r="I329" s="2">
        <v>6080</v>
      </c>
      <c r="J329" s="2"/>
      <c r="K329" s="2">
        <f t="shared" si="42"/>
        <v>32314.829999999998</v>
      </c>
      <c r="L329" s="8">
        <v>9000</v>
      </c>
      <c r="M329" s="9">
        <f t="shared" si="43"/>
        <v>0.27850989777758389</v>
      </c>
      <c r="N329" s="5">
        <v>1</v>
      </c>
      <c r="O329" s="10">
        <f t="shared" si="44"/>
        <v>0.27850989777758389</v>
      </c>
    </row>
    <row r="330" spans="2:15" ht="13.5" customHeight="1">
      <c r="B330" s="25">
        <v>6</v>
      </c>
      <c r="C330" s="25"/>
      <c r="D330" s="25"/>
      <c r="E330" s="31"/>
      <c r="F330" s="15" t="s">
        <v>19</v>
      </c>
      <c r="G330" s="6">
        <v>20906.37</v>
      </c>
      <c r="H330" s="2">
        <v>3417.98</v>
      </c>
      <c r="I330" s="2">
        <v>6080</v>
      </c>
      <c r="J330" s="2"/>
      <c r="K330" s="2">
        <f t="shared" si="42"/>
        <v>30404.35</v>
      </c>
      <c r="L330" s="8">
        <v>9000</v>
      </c>
      <c r="M330" s="9">
        <f t="shared" si="43"/>
        <v>0.29601027484554021</v>
      </c>
      <c r="N330" s="5">
        <v>1</v>
      </c>
      <c r="O330" s="10">
        <f t="shared" si="44"/>
        <v>0.29601027484554021</v>
      </c>
    </row>
    <row r="331" spans="2:15" ht="13.5" customHeight="1">
      <c r="B331" s="25">
        <v>7</v>
      </c>
      <c r="C331" s="25"/>
      <c r="D331" s="25"/>
      <c r="E331" s="31"/>
      <c r="F331" s="15" t="s">
        <v>19</v>
      </c>
      <c r="G331" s="6">
        <v>22816.85</v>
      </c>
      <c r="H331" s="2">
        <v>3417.98</v>
      </c>
      <c r="I331" s="2">
        <v>6080</v>
      </c>
      <c r="J331" s="2"/>
      <c r="K331" s="2">
        <f t="shared" si="42"/>
        <v>32314.829999999998</v>
      </c>
      <c r="L331" s="8">
        <v>9000</v>
      </c>
      <c r="M331" s="9">
        <f t="shared" si="43"/>
        <v>0.27850989777758389</v>
      </c>
      <c r="N331" s="5">
        <v>1</v>
      </c>
      <c r="O331" s="10">
        <f t="shared" si="44"/>
        <v>0.27850989777758389</v>
      </c>
    </row>
    <row r="332" spans="2:15" ht="13.5" customHeight="1">
      <c r="B332" s="25">
        <v>8</v>
      </c>
      <c r="C332" s="25"/>
      <c r="D332" s="25"/>
      <c r="E332" s="31"/>
      <c r="F332" s="15" t="s">
        <v>19</v>
      </c>
      <c r="G332" s="6">
        <v>20906.37</v>
      </c>
      <c r="H332" s="2">
        <v>3417.98</v>
      </c>
      <c r="I332" s="2">
        <v>6080</v>
      </c>
      <c r="J332" s="2"/>
      <c r="K332" s="2">
        <f t="shared" si="42"/>
        <v>30404.35</v>
      </c>
      <c r="L332" s="8">
        <v>9000</v>
      </c>
      <c r="M332" s="9">
        <f t="shared" si="43"/>
        <v>0.29601027484554021</v>
      </c>
      <c r="N332" s="5">
        <v>1</v>
      </c>
      <c r="O332" s="10">
        <f t="shared" si="44"/>
        <v>0.29601027484554021</v>
      </c>
    </row>
    <row r="333" spans="2:15" ht="13.5" customHeight="1">
      <c r="B333" s="25">
        <v>9</v>
      </c>
      <c r="C333" s="25"/>
      <c r="D333" s="25"/>
      <c r="E333" s="31"/>
      <c r="F333" s="15" t="s">
        <v>19</v>
      </c>
      <c r="G333" s="6">
        <v>22816.85</v>
      </c>
      <c r="H333" s="2">
        <v>3417.98</v>
      </c>
      <c r="I333" s="2">
        <v>6080</v>
      </c>
      <c r="J333" s="2"/>
      <c r="K333" s="2">
        <f t="shared" si="42"/>
        <v>32314.829999999998</v>
      </c>
      <c r="L333" s="8">
        <v>9000</v>
      </c>
      <c r="M333" s="9">
        <f t="shared" si="43"/>
        <v>0.27850989777758389</v>
      </c>
      <c r="N333" s="5">
        <v>1</v>
      </c>
      <c r="O333" s="10">
        <f t="shared" si="44"/>
        <v>0.27850989777758389</v>
      </c>
    </row>
    <row r="334" spans="2:15" ht="13.5" customHeight="1">
      <c r="B334" s="25">
        <v>10</v>
      </c>
      <c r="C334" s="25"/>
      <c r="D334" s="25"/>
      <c r="F334" s="15" t="s">
        <v>19</v>
      </c>
      <c r="G334" s="6">
        <v>22816.85</v>
      </c>
      <c r="H334" s="2">
        <v>3417.98</v>
      </c>
      <c r="I334" s="2">
        <v>6080</v>
      </c>
      <c r="J334" s="2"/>
      <c r="K334" s="2">
        <f t="shared" si="42"/>
        <v>32314.829999999998</v>
      </c>
      <c r="L334" s="8">
        <v>9000</v>
      </c>
      <c r="M334" s="9">
        <f t="shared" si="43"/>
        <v>0.27850989777758389</v>
      </c>
      <c r="N334" s="5">
        <v>1</v>
      </c>
      <c r="O334" s="10">
        <f t="shared" si="44"/>
        <v>0.27850989777758389</v>
      </c>
    </row>
    <row r="335" spans="2:15" ht="13.5" customHeight="1">
      <c r="B335" s="25">
        <v>11</v>
      </c>
      <c r="C335" s="25"/>
      <c r="D335" s="25"/>
      <c r="E335" s="26"/>
      <c r="F335" s="15" t="s">
        <v>19</v>
      </c>
      <c r="G335" s="6">
        <v>22816.85</v>
      </c>
      <c r="H335" s="2">
        <v>3417.98</v>
      </c>
      <c r="I335" s="2">
        <v>6080</v>
      </c>
      <c r="J335" s="2"/>
      <c r="K335" s="2">
        <f t="shared" si="42"/>
        <v>32314.829999999998</v>
      </c>
      <c r="L335" s="8">
        <v>9000</v>
      </c>
      <c r="M335" s="9">
        <f t="shared" si="43"/>
        <v>0.27850989777758389</v>
      </c>
      <c r="N335" s="5">
        <v>1</v>
      </c>
      <c r="O335" s="10">
        <f t="shared" si="44"/>
        <v>0.27850989777758389</v>
      </c>
    </row>
    <row r="336" spans="2:15" ht="13.5" customHeight="1">
      <c r="B336" s="25">
        <v>12</v>
      </c>
      <c r="C336" s="25"/>
      <c r="D336" s="25"/>
      <c r="E336" s="26"/>
      <c r="F336" s="15" t="s">
        <v>19</v>
      </c>
      <c r="G336" s="6">
        <v>22816.85</v>
      </c>
      <c r="H336" s="2">
        <v>3417.98</v>
      </c>
      <c r="I336" s="2">
        <v>6080</v>
      </c>
      <c r="J336" s="2"/>
      <c r="K336" s="2">
        <f t="shared" si="42"/>
        <v>32314.829999999998</v>
      </c>
      <c r="L336" s="8">
        <v>9000</v>
      </c>
      <c r="M336" s="9">
        <f t="shared" si="43"/>
        <v>0.27850989777758389</v>
      </c>
      <c r="N336" s="5">
        <v>1</v>
      </c>
      <c r="O336" s="10">
        <f t="shared" si="44"/>
        <v>0.27850989777758389</v>
      </c>
    </row>
    <row r="337" spans="2:15" ht="13.5" customHeight="1">
      <c r="B337" s="25">
        <v>13</v>
      </c>
      <c r="C337" s="25"/>
      <c r="D337" s="25"/>
      <c r="F337" s="15" t="s">
        <v>19</v>
      </c>
      <c r="G337" s="6">
        <v>22816.85</v>
      </c>
      <c r="H337" s="2">
        <v>3417.98</v>
      </c>
      <c r="I337" s="2">
        <v>6080</v>
      </c>
      <c r="J337" s="2"/>
      <c r="K337" s="2">
        <f t="shared" si="42"/>
        <v>32314.829999999998</v>
      </c>
      <c r="L337" s="8">
        <v>9000</v>
      </c>
      <c r="M337" s="9">
        <f t="shared" si="43"/>
        <v>0.27850989777758389</v>
      </c>
      <c r="N337" s="5">
        <v>1</v>
      </c>
      <c r="O337" s="10">
        <f t="shared" si="44"/>
        <v>0.27850989777758389</v>
      </c>
    </row>
    <row r="338" spans="2:15" ht="13.5" customHeight="1">
      <c r="B338" s="25">
        <v>14</v>
      </c>
      <c r="C338" s="25"/>
      <c r="D338" s="25"/>
      <c r="E338" s="26"/>
      <c r="F338" s="15" t="s">
        <v>19</v>
      </c>
      <c r="G338" s="6">
        <v>20906.37</v>
      </c>
      <c r="H338" s="2">
        <v>3417.98</v>
      </c>
      <c r="I338" s="2">
        <v>6080</v>
      </c>
      <c r="J338" s="2"/>
      <c r="K338" s="2">
        <f t="shared" si="42"/>
        <v>30404.35</v>
      </c>
      <c r="L338" s="8">
        <v>9000</v>
      </c>
      <c r="M338" s="9">
        <f t="shared" si="43"/>
        <v>0.29601027484554021</v>
      </c>
      <c r="N338" s="5">
        <v>1</v>
      </c>
      <c r="O338" s="10">
        <f t="shared" si="44"/>
        <v>0.29601027484554021</v>
      </c>
    </row>
    <row r="339" spans="2:15" ht="13.5" customHeight="1">
      <c r="B339" s="25">
        <v>15</v>
      </c>
      <c r="C339" s="25"/>
      <c r="D339" s="25"/>
      <c r="E339" s="26"/>
      <c r="F339" s="15" t="s">
        <v>19</v>
      </c>
      <c r="G339" s="6">
        <v>22816.85</v>
      </c>
      <c r="H339" s="2">
        <v>3417.98</v>
      </c>
      <c r="I339" s="2">
        <v>6080</v>
      </c>
      <c r="J339" s="2"/>
      <c r="K339" s="2">
        <f t="shared" si="42"/>
        <v>32314.829999999998</v>
      </c>
      <c r="L339" s="8">
        <v>9000</v>
      </c>
      <c r="M339" s="9">
        <f t="shared" si="43"/>
        <v>0.27850989777758389</v>
      </c>
      <c r="N339" s="5">
        <v>1</v>
      </c>
      <c r="O339" s="10">
        <f t="shared" si="44"/>
        <v>0.27850989777758389</v>
      </c>
    </row>
    <row r="340" spans="2:15" ht="13.5" customHeight="1">
      <c r="B340" s="25">
        <v>16</v>
      </c>
      <c r="C340" s="25"/>
      <c r="D340" s="25"/>
      <c r="E340" s="31"/>
      <c r="F340" s="15" t="s">
        <v>19</v>
      </c>
      <c r="G340" s="6">
        <v>29185.119999999999</v>
      </c>
      <c r="H340" s="2">
        <v>3417.98</v>
      </c>
      <c r="I340" s="2">
        <v>6080</v>
      </c>
      <c r="J340" s="2"/>
      <c r="K340" s="2">
        <f t="shared" si="42"/>
        <v>38683.1</v>
      </c>
      <c r="L340" s="8">
        <v>9000</v>
      </c>
      <c r="M340" s="9">
        <f t="shared" si="43"/>
        <v>0.23265974030002767</v>
      </c>
      <c r="N340" s="5">
        <v>1</v>
      </c>
      <c r="O340" s="10">
        <f t="shared" si="44"/>
        <v>0.23265974030002767</v>
      </c>
    </row>
    <row r="341" spans="2:15" ht="13.5" customHeight="1">
      <c r="B341" s="25">
        <v>17</v>
      </c>
      <c r="C341" s="25"/>
      <c r="D341" s="25"/>
      <c r="E341" s="31"/>
      <c r="F341" s="15" t="s">
        <v>19</v>
      </c>
      <c r="G341" s="6">
        <v>22186.85</v>
      </c>
      <c r="H341" s="2">
        <v>3417.98</v>
      </c>
      <c r="I341" s="2">
        <v>6080</v>
      </c>
      <c r="J341" s="2"/>
      <c r="K341" s="2">
        <f t="shared" si="42"/>
        <v>31684.829999999998</v>
      </c>
      <c r="L341" s="8">
        <v>9000</v>
      </c>
      <c r="M341" s="9">
        <f t="shared" si="43"/>
        <v>0.2840476025908929</v>
      </c>
      <c r="N341" s="5">
        <v>1</v>
      </c>
      <c r="O341" s="10">
        <f t="shared" si="44"/>
        <v>0.2840476025908929</v>
      </c>
    </row>
    <row r="342" spans="2:15" ht="13.5" customHeight="1">
      <c r="B342" s="25">
        <v>18</v>
      </c>
      <c r="C342" s="25"/>
      <c r="D342" s="25"/>
      <c r="E342" s="31"/>
      <c r="F342" s="15" t="s">
        <v>19</v>
      </c>
      <c r="G342" s="6">
        <v>26000.98</v>
      </c>
      <c r="H342" s="2">
        <v>3417.98</v>
      </c>
      <c r="I342" s="2">
        <v>6080</v>
      </c>
      <c r="J342" s="2"/>
      <c r="K342" s="2">
        <f t="shared" si="42"/>
        <v>35498.959999999999</v>
      </c>
      <c r="L342" s="8">
        <v>9000</v>
      </c>
      <c r="M342" s="9">
        <f t="shared" si="43"/>
        <v>0.25352855407595037</v>
      </c>
      <c r="N342" s="5">
        <v>1</v>
      </c>
      <c r="O342" s="10">
        <f t="shared" si="44"/>
        <v>0.25352855407595037</v>
      </c>
    </row>
    <row r="343" spans="2:15" ht="13.5" customHeight="1">
      <c r="B343" s="25">
        <v>19</v>
      </c>
      <c r="C343" s="25"/>
      <c r="D343" s="25"/>
      <c r="E343" s="31"/>
      <c r="F343" s="15" t="s">
        <v>19</v>
      </c>
      <c r="G343" s="6">
        <v>20906.37</v>
      </c>
      <c r="H343" s="2">
        <v>3417.98</v>
      </c>
      <c r="I343" s="2">
        <v>6080</v>
      </c>
      <c r="J343" s="2"/>
      <c r="K343" s="2">
        <f t="shared" si="42"/>
        <v>30404.35</v>
      </c>
      <c r="L343" s="8">
        <v>9000</v>
      </c>
      <c r="M343" s="9">
        <f t="shared" si="43"/>
        <v>0.29601027484554021</v>
      </c>
      <c r="N343" s="5">
        <v>1</v>
      </c>
      <c r="O343" s="10">
        <f t="shared" si="44"/>
        <v>0.29601027484554021</v>
      </c>
    </row>
    <row r="344" spans="2:15" ht="13.5" customHeight="1">
      <c r="B344" s="25">
        <v>20</v>
      </c>
      <c r="C344" s="25"/>
      <c r="D344" s="25"/>
      <c r="E344" s="31"/>
      <c r="F344" s="15" t="s">
        <v>19</v>
      </c>
      <c r="G344" s="6">
        <v>20906.37</v>
      </c>
      <c r="H344" s="2">
        <v>3417.98</v>
      </c>
      <c r="I344" s="2">
        <v>6080</v>
      </c>
      <c r="J344" s="2"/>
      <c r="K344" s="2">
        <f t="shared" si="42"/>
        <v>30404.35</v>
      </c>
      <c r="L344" s="8">
        <v>9000</v>
      </c>
      <c r="M344" s="9">
        <f t="shared" si="43"/>
        <v>0.29601027484554021</v>
      </c>
      <c r="N344" s="5">
        <v>1</v>
      </c>
      <c r="O344" s="10">
        <f t="shared" si="44"/>
        <v>0.29601027484554021</v>
      </c>
    </row>
    <row r="345" spans="2:15" ht="13.5" customHeight="1">
      <c r="B345" s="25">
        <v>21</v>
      </c>
      <c r="C345" s="25"/>
      <c r="D345" s="25"/>
      <c r="E345" s="31"/>
      <c r="F345" s="15" t="s">
        <v>19</v>
      </c>
      <c r="G345" s="6">
        <v>20906.37</v>
      </c>
      <c r="H345" s="2">
        <v>3417.98</v>
      </c>
      <c r="I345" s="2">
        <v>6080</v>
      </c>
      <c r="J345" s="2"/>
      <c r="K345" s="2">
        <f t="shared" si="42"/>
        <v>30404.35</v>
      </c>
      <c r="L345" s="8">
        <v>9000</v>
      </c>
      <c r="M345" s="9">
        <f t="shared" si="43"/>
        <v>0.29601027484554021</v>
      </c>
      <c r="N345" s="5">
        <v>1</v>
      </c>
      <c r="O345" s="10">
        <f t="shared" si="44"/>
        <v>0.29601027484554021</v>
      </c>
    </row>
    <row r="346" spans="2:15" ht="13.5" customHeight="1">
      <c r="B346" s="25">
        <v>22</v>
      </c>
      <c r="C346" s="25"/>
      <c r="D346" s="25"/>
      <c r="E346" s="31"/>
      <c r="F346" s="15" t="s">
        <v>19</v>
      </c>
      <c r="G346" s="6">
        <v>20906.37</v>
      </c>
      <c r="H346" s="2">
        <v>3417.98</v>
      </c>
      <c r="I346" s="2">
        <v>6080</v>
      </c>
      <c r="J346" s="2"/>
      <c r="K346" s="2">
        <f t="shared" si="42"/>
        <v>30404.35</v>
      </c>
      <c r="L346" s="8">
        <v>9000</v>
      </c>
      <c r="M346" s="9">
        <f t="shared" si="43"/>
        <v>0.29601027484554021</v>
      </c>
      <c r="N346" s="5">
        <v>1</v>
      </c>
      <c r="O346" s="10">
        <f t="shared" si="44"/>
        <v>0.29601027484554021</v>
      </c>
    </row>
    <row r="347" spans="2:15" ht="13.5" customHeight="1">
      <c r="B347" s="25">
        <v>23</v>
      </c>
      <c r="C347" s="25"/>
      <c r="D347" s="25"/>
      <c r="E347" s="31"/>
      <c r="F347" s="15" t="s">
        <v>19</v>
      </c>
      <c r="G347" s="6">
        <v>22816.85</v>
      </c>
      <c r="H347" s="2">
        <v>3417.98</v>
      </c>
      <c r="I347" s="2">
        <v>6080</v>
      </c>
      <c r="J347" s="2"/>
      <c r="K347" s="2">
        <f t="shared" si="42"/>
        <v>32314.829999999998</v>
      </c>
      <c r="L347" s="8">
        <v>9000</v>
      </c>
      <c r="M347" s="9">
        <f t="shared" si="43"/>
        <v>0.27850989777758389</v>
      </c>
      <c r="N347" s="5">
        <v>1</v>
      </c>
      <c r="O347" s="10">
        <f t="shared" si="44"/>
        <v>0.27850989777758389</v>
      </c>
    </row>
    <row r="348" spans="2:15" ht="13.5" customHeight="1">
      <c r="B348" s="25">
        <v>24</v>
      </c>
      <c r="C348" s="25"/>
      <c r="D348" s="25"/>
      <c r="E348" s="31"/>
      <c r="F348" s="15" t="s">
        <v>19</v>
      </c>
      <c r="G348" s="6">
        <v>20906.37</v>
      </c>
      <c r="H348" s="2">
        <v>3417.98</v>
      </c>
      <c r="I348" s="2">
        <v>6080</v>
      </c>
      <c r="J348" s="2"/>
      <c r="K348" s="2">
        <f t="shared" si="42"/>
        <v>30404.35</v>
      </c>
      <c r="L348" s="8">
        <v>9000</v>
      </c>
      <c r="M348" s="9">
        <f t="shared" si="43"/>
        <v>0.29601027484554021</v>
      </c>
      <c r="N348" s="5">
        <v>1</v>
      </c>
      <c r="O348" s="10">
        <f t="shared" si="44"/>
        <v>0.29601027484554021</v>
      </c>
    </row>
    <row r="349" spans="2:15" ht="13.5" customHeight="1">
      <c r="B349" s="25">
        <v>25</v>
      </c>
      <c r="C349" s="25"/>
      <c r="D349" s="25"/>
      <c r="E349" s="31"/>
      <c r="F349" s="15" t="s">
        <v>19</v>
      </c>
      <c r="G349" s="6">
        <v>20906.37</v>
      </c>
      <c r="H349" s="2">
        <v>3417.98</v>
      </c>
      <c r="I349" s="2">
        <v>6080</v>
      </c>
      <c r="J349" s="2"/>
      <c r="K349" s="2">
        <f t="shared" si="42"/>
        <v>30404.35</v>
      </c>
      <c r="L349" s="8">
        <v>9000</v>
      </c>
      <c r="M349" s="9">
        <f t="shared" si="43"/>
        <v>0.29601027484554021</v>
      </c>
      <c r="N349" s="5">
        <v>1</v>
      </c>
      <c r="O349" s="10">
        <f t="shared" si="44"/>
        <v>0.29601027484554021</v>
      </c>
    </row>
    <row r="350" spans="2:15" ht="13.5" customHeight="1">
      <c r="B350" s="25">
        <v>26</v>
      </c>
      <c r="C350" s="25"/>
      <c r="D350" s="25"/>
      <c r="E350" s="31"/>
      <c r="F350" s="15" t="s">
        <v>19</v>
      </c>
      <c r="G350" s="6">
        <v>20906.37</v>
      </c>
      <c r="H350" s="2">
        <v>3417.98</v>
      </c>
      <c r="I350" s="2">
        <v>6080</v>
      </c>
      <c r="J350" s="2"/>
      <c r="K350" s="2">
        <f t="shared" si="42"/>
        <v>30404.35</v>
      </c>
      <c r="L350" s="8">
        <v>9000</v>
      </c>
      <c r="M350" s="9">
        <f t="shared" si="43"/>
        <v>0.29601027484554021</v>
      </c>
      <c r="N350" s="5">
        <v>1</v>
      </c>
      <c r="O350" s="10">
        <f t="shared" si="44"/>
        <v>0.29601027484554021</v>
      </c>
    </row>
    <row r="351" spans="2:15" ht="13.5" customHeight="1">
      <c r="B351" s="25">
        <v>27</v>
      </c>
      <c r="C351" s="25"/>
      <c r="D351" s="25"/>
      <c r="E351" s="31"/>
      <c r="F351" s="15" t="s">
        <v>19</v>
      </c>
      <c r="G351" s="6">
        <v>20906.37</v>
      </c>
      <c r="H351" s="2">
        <v>3417.98</v>
      </c>
      <c r="I351" s="2">
        <v>6080</v>
      </c>
      <c r="J351" s="2"/>
      <c r="K351" s="2">
        <f t="shared" si="42"/>
        <v>30404.35</v>
      </c>
      <c r="L351" s="8">
        <v>9000</v>
      </c>
      <c r="M351" s="9">
        <f t="shared" si="43"/>
        <v>0.29601027484554021</v>
      </c>
      <c r="N351" s="5">
        <v>1</v>
      </c>
      <c r="O351" s="10">
        <f t="shared" si="44"/>
        <v>0.29601027484554021</v>
      </c>
    </row>
    <row r="352" spans="2:15" ht="13.5" customHeight="1">
      <c r="B352" s="25">
        <v>28</v>
      </c>
      <c r="C352" s="25"/>
      <c r="D352" s="25"/>
      <c r="E352" s="31"/>
      <c r="F352" s="15" t="s">
        <v>19</v>
      </c>
      <c r="G352" s="6">
        <v>20906.37</v>
      </c>
      <c r="H352" s="2">
        <v>3417.98</v>
      </c>
      <c r="I352" s="2">
        <v>6080</v>
      </c>
      <c r="J352" s="2"/>
      <c r="K352" s="2">
        <f t="shared" si="42"/>
        <v>30404.35</v>
      </c>
      <c r="L352" s="8">
        <v>9000</v>
      </c>
      <c r="M352" s="9">
        <f t="shared" si="43"/>
        <v>0.29601027484554021</v>
      </c>
      <c r="N352" s="5">
        <v>1</v>
      </c>
      <c r="O352" s="10">
        <f t="shared" si="44"/>
        <v>0.29601027484554021</v>
      </c>
    </row>
    <row r="353" spans="2:15" ht="13.5" customHeight="1">
      <c r="B353" s="25">
        <v>29</v>
      </c>
      <c r="C353" s="25"/>
      <c r="D353" s="25"/>
      <c r="E353" s="31"/>
      <c r="F353" s="15" t="s">
        <v>19</v>
      </c>
      <c r="G353" s="6">
        <v>20906.37</v>
      </c>
      <c r="H353" s="2">
        <v>3417.98</v>
      </c>
      <c r="I353" s="2">
        <v>6080</v>
      </c>
      <c r="J353" s="2"/>
      <c r="K353" s="2">
        <f t="shared" si="42"/>
        <v>30404.35</v>
      </c>
      <c r="L353" s="8">
        <v>9000</v>
      </c>
      <c r="M353" s="9">
        <f t="shared" si="43"/>
        <v>0.29601027484554021</v>
      </c>
      <c r="N353" s="5">
        <v>1</v>
      </c>
      <c r="O353" s="10">
        <f t="shared" si="44"/>
        <v>0.29601027484554021</v>
      </c>
    </row>
    <row r="354" spans="2:15" ht="13.5" customHeight="1">
      <c r="B354" s="25">
        <v>30</v>
      </c>
      <c r="C354" s="25"/>
      <c r="D354" s="25"/>
      <c r="E354" s="31"/>
      <c r="F354" s="15" t="s">
        <v>19</v>
      </c>
      <c r="G354" s="6">
        <v>20906.37</v>
      </c>
      <c r="H354" s="2">
        <v>3417.98</v>
      </c>
      <c r="I354" s="2">
        <v>6080</v>
      </c>
      <c r="J354" s="2"/>
      <c r="K354" s="2">
        <f t="shared" si="42"/>
        <v>30404.35</v>
      </c>
      <c r="L354" s="8">
        <v>9000</v>
      </c>
      <c r="M354" s="9">
        <f t="shared" si="43"/>
        <v>0.29601027484554021</v>
      </c>
      <c r="N354" s="5">
        <v>1</v>
      </c>
      <c r="O354" s="10">
        <f t="shared" si="44"/>
        <v>0.29601027484554021</v>
      </c>
    </row>
    <row r="355" spans="2:15" ht="13.5" customHeight="1">
      <c r="B355" s="25">
        <v>31</v>
      </c>
      <c r="C355" s="25"/>
      <c r="D355" s="25"/>
      <c r="E355" s="31"/>
      <c r="F355" s="15" t="s">
        <v>19</v>
      </c>
      <c r="G355" s="6">
        <v>29185.119999999999</v>
      </c>
      <c r="H355" s="2">
        <v>3417.98</v>
      </c>
      <c r="I355" s="2">
        <v>6080</v>
      </c>
      <c r="J355" s="2"/>
      <c r="K355" s="2">
        <f t="shared" si="42"/>
        <v>38683.1</v>
      </c>
      <c r="L355" s="8">
        <v>9000</v>
      </c>
      <c r="M355" s="9">
        <f t="shared" si="43"/>
        <v>0.23265974030002767</v>
      </c>
      <c r="N355" s="5">
        <v>1</v>
      </c>
      <c r="O355" s="10">
        <f t="shared" si="44"/>
        <v>0.23265974030002767</v>
      </c>
    </row>
    <row r="356" spans="2:15" ht="13.5" customHeight="1">
      <c r="B356" s="25">
        <v>32</v>
      </c>
      <c r="C356" s="25"/>
      <c r="D356" s="25"/>
      <c r="E356" s="31"/>
      <c r="F356" s="15" t="s">
        <v>19</v>
      </c>
      <c r="G356" s="6">
        <v>20906.37</v>
      </c>
      <c r="H356" s="2">
        <v>3417.98</v>
      </c>
      <c r="I356" s="2">
        <v>6080</v>
      </c>
      <c r="J356" s="2"/>
      <c r="K356" s="2">
        <f t="shared" si="42"/>
        <v>30404.35</v>
      </c>
      <c r="L356" s="8">
        <v>9000</v>
      </c>
      <c r="M356" s="9">
        <f t="shared" si="43"/>
        <v>0.29601027484554021</v>
      </c>
      <c r="N356" s="5">
        <v>1</v>
      </c>
      <c r="O356" s="10">
        <f t="shared" si="44"/>
        <v>0.29601027484554021</v>
      </c>
    </row>
    <row r="357" spans="2:15" ht="13.5" customHeight="1">
      <c r="B357" s="25">
        <v>33</v>
      </c>
      <c r="C357" s="25"/>
      <c r="D357" s="25"/>
      <c r="E357" s="31"/>
      <c r="F357" s="15" t="s">
        <v>19</v>
      </c>
      <c r="G357" s="6">
        <v>20906.37</v>
      </c>
      <c r="H357" s="2">
        <v>3417.98</v>
      </c>
      <c r="I357" s="2">
        <v>6080</v>
      </c>
      <c r="J357" s="2"/>
      <c r="K357" s="2">
        <f t="shared" si="42"/>
        <v>30404.35</v>
      </c>
      <c r="L357" s="8">
        <v>9000</v>
      </c>
      <c r="M357" s="9">
        <f t="shared" si="43"/>
        <v>0.29601027484554021</v>
      </c>
      <c r="N357" s="5">
        <v>1</v>
      </c>
      <c r="O357" s="10">
        <f t="shared" si="44"/>
        <v>0.29601027484554021</v>
      </c>
    </row>
    <row r="358" spans="2:15" ht="13.5" customHeight="1">
      <c r="B358" s="25">
        <v>34</v>
      </c>
      <c r="C358" s="25"/>
      <c r="D358" s="25"/>
      <c r="E358" s="31"/>
      <c r="F358" s="15" t="s">
        <v>19</v>
      </c>
      <c r="G358" s="6">
        <v>20906.37</v>
      </c>
      <c r="H358" s="2">
        <v>3417.98</v>
      </c>
      <c r="I358" s="2">
        <v>6080</v>
      </c>
      <c r="J358" s="2"/>
      <c r="K358" s="2">
        <f t="shared" si="42"/>
        <v>30404.35</v>
      </c>
      <c r="L358" s="8">
        <v>9000</v>
      </c>
      <c r="M358" s="9">
        <f t="shared" si="43"/>
        <v>0.29601027484554021</v>
      </c>
      <c r="N358" s="5">
        <v>1</v>
      </c>
      <c r="O358" s="10">
        <f t="shared" si="44"/>
        <v>0.29601027484554021</v>
      </c>
    </row>
    <row r="359" spans="2:15" ht="13.5" customHeight="1">
      <c r="B359" s="25">
        <v>35</v>
      </c>
      <c r="C359" s="25"/>
      <c r="D359" s="25"/>
      <c r="E359" s="31"/>
      <c r="F359" s="15" t="s">
        <v>19</v>
      </c>
      <c r="G359" s="6">
        <v>22816.85</v>
      </c>
      <c r="H359" s="2">
        <v>3417.98</v>
      </c>
      <c r="I359" s="2">
        <v>6080</v>
      </c>
      <c r="J359" s="2"/>
      <c r="K359" s="2">
        <f t="shared" si="42"/>
        <v>32314.829999999998</v>
      </c>
      <c r="L359" s="8">
        <v>9000</v>
      </c>
      <c r="M359" s="9">
        <f t="shared" si="43"/>
        <v>0.27850989777758389</v>
      </c>
      <c r="N359" s="5">
        <v>1</v>
      </c>
      <c r="O359" s="10">
        <f t="shared" si="44"/>
        <v>0.27850989777758389</v>
      </c>
    </row>
    <row r="360" spans="2:15" ht="13.5" customHeight="1">
      <c r="B360" s="25">
        <v>36</v>
      </c>
      <c r="C360" s="25"/>
      <c r="D360" s="25"/>
      <c r="E360" s="31"/>
      <c r="F360" s="15" t="s">
        <v>19</v>
      </c>
      <c r="G360" s="6">
        <v>20906.37</v>
      </c>
      <c r="H360" s="2">
        <v>3417.98</v>
      </c>
      <c r="I360" s="2">
        <v>6080</v>
      </c>
      <c r="J360" s="2"/>
      <c r="K360" s="2">
        <f t="shared" si="42"/>
        <v>30404.35</v>
      </c>
      <c r="L360" s="8">
        <v>9000</v>
      </c>
      <c r="M360" s="9">
        <f t="shared" si="43"/>
        <v>0.29601027484554021</v>
      </c>
      <c r="N360" s="5">
        <v>1</v>
      </c>
      <c r="O360" s="10">
        <f t="shared" si="44"/>
        <v>0.29601027484554021</v>
      </c>
    </row>
    <row r="361" spans="2:15" ht="13.5" customHeight="1">
      <c r="B361" s="25">
        <v>37</v>
      </c>
      <c r="C361" s="25"/>
      <c r="D361" s="25"/>
      <c r="E361" s="31"/>
      <c r="F361" s="15" t="s">
        <v>19</v>
      </c>
      <c r="G361" s="6">
        <v>22816.85</v>
      </c>
      <c r="H361" s="2">
        <v>3417.98</v>
      </c>
      <c r="I361" s="2">
        <v>6080</v>
      </c>
      <c r="J361" s="2"/>
      <c r="K361" s="2">
        <f t="shared" si="42"/>
        <v>32314.829999999998</v>
      </c>
      <c r="L361" s="8">
        <v>9000</v>
      </c>
      <c r="M361" s="9">
        <f t="shared" si="43"/>
        <v>0.27850989777758389</v>
      </c>
      <c r="N361" s="5">
        <v>1</v>
      </c>
      <c r="O361" s="10">
        <f t="shared" si="44"/>
        <v>0.27850989777758389</v>
      </c>
    </row>
    <row r="362" spans="2:15" ht="13.5" customHeight="1">
      <c r="B362" s="25">
        <v>38</v>
      </c>
      <c r="C362" s="25"/>
      <c r="D362" s="25"/>
      <c r="E362" s="31"/>
      <c r="F362" s="15" t="s">
        <v>19</v>
      </c>
      <c r="G362" s="6">
        <v>20906.37</v>
      </c>
      <c r="H362" s="2">
        <v>3417.98</v>
      </c>
      <c r="I362" s="2">
        <v>6080</v>
      </c>
      <c r="J362" s="2"/>
      <c r="K362" s="2">
        <f t="shared" si="42"/>
        <v>30404.35</v>
      </c>
      <c r="L362" s="8">
        <v>9000</v>
      </c>
      <c r="M362" s="9">
        <f t="shared" si="43"/>
        <v>0.29601027484554021</v>
      </c>
      <c r="N362" s="5">
        <v>1</v>
      </c>
      <c r="O362" s="10">
        <f t="shared" si="44"/>
        <v>0.29601027484554021</v>
      </c>
    </row>
    <row r="363" spans="2:15" ht="13.5" customHeight="1">
      <c r="B363" s="25">
        <v>39</v>
      </c>
      <c r="C363" s="25"/>
      <c r="D363" s="25"/>
      <c r="E363" s="31"/>
      <c r="F363" s="15" t="s">
        <v>19</v>
      </c>
      <c r="G363" s="6">
        <v>20906.37</v>
      </c>
      <c r="H363" s="2">
        <v>3417.98</v>
      </c>
      <c r="I363" s="2">
        <v>6080</v>
      </c>
      <c r="J363" s="2"/>
      <c r="K363" s="2">
        <f t="shared" si="42"/>
        <v>30404.35</v>
      </c>
      <c r="L363" s="8">
        <v>9000</v>
      </c>
      <c r="M363" s="9">
        <f t="shared" si="43"/>
        <v>0.29601027484554021</v>
      </c>
      <c r="N363" s="5">
        <v>1</v>
      </c>
      <c r="O363" s="10">
        <f t="shared" si="44"/>
        <v>0.29601027484554021</v>
      </c>
    </row>
    <row r="364" spans="2:15" ht="13.5" customHeight="1">
      <c r="B364" s="25">
        <v>40</v>
      </c>
      <c r="C364" s="25"/>
      <c r="D364" s="25"/>
      <c r="E364" s="31"/>
      <c r="F364" s="15" t="s">
        <v>19</v>
      </c>
      <c r="G364" s="6">
        <v>20906.37</v>
      </c>
      <c r="H364" s="2">
        <v>3417.98</v>
      </c>
      <c r="I364" s="2">
        <v>6080</v>
      </c>
      <c r="J364" s="2"/>
      <c r="K364" s="2">
        <f t="shared" si="42"/>
        <v>30404.35</v>
      </c>
      <c r="L364" s="8">
        <v>9000</v>
      </c>
      <c r="M364" s="9">
        <f t="shared" si="43"/>
        <v>0.29601027484554021</v>
      </c>
      <c r="N364" s="5">
        <v>1</v>
      </c>
      <c r="O364" s="10">
        <f t="shared" si="44"/>
        <v>0.29601027484554021</v>
      </c>
    </row>
    <row r="365" spans="2:15" ht="13.5" customHeight="1">
      <c r="B365" s="25">
        <v>41</v>
      </c>
      <c r="C365" s="25"/>
      <c r="D365" s="25"/>
      <c r="E365" s="31"/>
      <c r="F365" s="15" t="s">
        <v>19</v>
      </c>
      <c r="G365" s="6">
        <v>20906.37</v>
      </c>
      <c r="H365" s="2">
        <v>3417.98</v>
      </c>
      <c r="I365" s="2">
        <v>6080</v>
      </c>
      <c r="J365" s="2"/>
      <c r="K365" s="2">
        <f t="shared" si="42"/>
        <v>30404.35</v>
      </c>
      <c r="L365" s="8">
        <v>9000</v>
      </c>
      <c r="M365" s="9">
        <f t="shared" si="43"/>
        <v>0.29601027484554021</v>
      </c>
      <c r="N365" s="5">
        <v>1</v>
      </c>
      <c r="O365" s="10">
        <f t="shared" si="44"/>
        <v>0.29601027484554021</v>
      </c>
    </row>
    <row r="366" spans="2:15" ht="13.5" customHeight="1">
      <c r="B366" s="25">
        <v>42</v>
      </c>
      <c r="C366" s="25"/>
      <c r="D366" s="25"/>
      <c r="E366" s="31"/>
      <c r="F366" s="15" t="s">
        <v>19</v>
      </c>
      <c r="G366" s="6">
        <v>20906.37</v>
      </c>
      <c r="H366" s="2">
        <v>3417.98</v>
      </c>
      <c r="I366" s="2">
        <v>6080</v>
      </c>
      <c r="J366" s="2"/>
      <c r="K366" s="2">
        <f t="shared" si="42"/>
        <v>30404.35</v>
      </c>
      <c r="L366" s="8">
        <v>9000</v>
      </c>
      <c r="M366" s="9">
        <f t="shared" si="43"/>
        <v>0.29601027484554021</v>
      </c>
      <c r="N366" s="5">
        <v>1</v>
      </c>
      <c r="O366" s="10">
        <f t="shared" si="44"/>
        <v>0.29601027484554021</v>
      </c>
    </row>
    <row r="367" spans="2:15" ht="13.5" customHeight="1">
      <c r="B367" s="25">
        <v>43</v>
      </c>
      <c r="C367" s="25"/>
      <c r="D367" s="25"/>
      <c r="E367" s="31"/>
      <c r="F367" s="15" t="s">
        <v>19</v>
      </c>
      <c r="G367" s="6">
        <v>20906.37</v>
      </c>
      <c r="H367" s="2">
        <v>3417.98</v>
      </c>
      <c r="I367" s="2">
        <v>6080</v>
      </c>
      <c r="J367" s="2"/>
      <c r="K367" s="2">
        <f t="shared" si="42"/>
        <v>30404.35</v>
      </c>
      <c r="L367" s="8">
        <v>9000</v>
      </c>
      <c r="M367" s="9">
        <f t="shared" si="43"/>
        <v>0.29601027484554021</v>
      </c>
      <c r="N367" s="5">
        <v>1</v>
      </c>
      <c r="O367" s="10">
        <f t="shared" si="44"/>
        <v>0.29601027484554021</v>
      </c>
    </row>
    <row r="368" spans="2:15" ht="13.5" customHeight="1">
      <c r="B368" s="25">
        <v>44</v>
      </c>
      <c r="C368" s="25"/>
      <c r="D368" s="25"/>
      <c r="E368" s="31"/>
      <c r="F368" s="15" t="s">
        <v>19</v>
      </c>
      <c r="G368" s="6">
        <v>22816.85</v>
      </c>
      <c r="H368" s="2">
        <v>3417.98</v>
      </c>
      <c r="I368" s="2">
        <v>6080</v>
      </c>
      <c r="J368" s="2"/>
      <c r="K368" s="2">
        <f t="shared" si="42"/>
        <v>32314.829999999998</v>
      </c>
      <c r="L368" s="8">
        <v>9000</v>
      </c>
      <c r="M368" s="9">
        <f t="shared" si="43"/>
        <v>0.27850989777758389</v>
      </c>
      <c r="N368" s="5">
        <v>1</v>
      </c>
      <c r="O368" s="10">
        <f t="shared" si="44"/>
        <v>0.27850989777758389</v>
      </c>
    </row>
    <row r="369" spans="2:15" ht="13.5" customHeight="1">
      <c r="B369" s="25">
        <v>45</v>
      </c>
      <c r="C369" s="25"/>
      <c r="D369" s="25"/>
      <c r="E369" s="31"/>
      <c r="F369" s="15" t="s">
        <v>19</v>
      </c>
      <c r="G369" s="6">
        <v>20906.37</v>
      </c>
      <c r="H369" s="2">
        <v>3417.98</v>
      </c>
      <c r="I369" s="2">
        <v>6080</v>
      </c>
      <c r="J369" s="2"/>
      <c r="K369" s="2">
        <f t="shared" si="42"/>
        <v>30404.35</v>
      </c>
      <c r="L369" s="8">
        <v>9000</v>
      </c>
      <c r="M369" s="9">
        <f t="shared" si="43"/>
        <v>0.29601027484554021</v>
      </c>
      <c r="N369" s="5">
        <v>1</v>
      </c>
      <c r="O369" s="10">
        <f t="shared" si="44"/>
        <v>0.29601027484554021</v>
      </c>
    </row>
    <row r="370" spans="2:15" ht="13.5" customHeight="1">
      <c r="B370" s="25">
        <v>46</v>
      </c>
      <c r="C370" s="25"/>
      <c r="D370" s="25"/>
      <c r="E370" s="31"/>
      <c r="F370" s="15" t="s">
        <v>19</v>
      </c>
      <c r="G370" s="6">
        <v>20906.37</v>
      </c>
      <c r="H370" s="2">
        <v>3417.98</v>
      </c>
      <c r="I370" s="2">
        <v>6080</v>
      </c>
      <c r="J370" s="2"/>
      <c r="K370" s="2">
        <f t="shared" si="42"/>
        <v>30404.35</v>
      </c>
      <c r="L370" s="8">
        <v>9000</v>
      </c>
      <c r="M370" s="9">
        <f t="shared" si="43"/>
        <v>0.29601027484554021</v>
      </c>
      <c r="N370" s="5">
        <v>1</v>
      </c>
      <c r="O370" s="10">
        <f t="shared" si="44"/>
        <v>0.29601027484554021</v>
      </c>
    </row>
    <row r="371" spans="2:15" ht="13.5" customHeight="1">
      <c r="B371" s="25">
        <v>47</v>
      </c>
      <c r="C371" s="25"/>
      <c r="D371" s="25"/>
      <c r="E371" s="31"/>
      <c r="F371" s="15" t="s">
        <v>19</v>
      </c>
      <c r="G371" s="6">
        <v>20906.37</v>
      </c>
      <c r="H371" s="2">
        <v>3417.98</v>
      </c>
      <c r="I371" s="2">
        <v>6080</v>
      </c>
      <c r="J371" s="2"/>
      <c r="K371" s="2">
        <f t="shared" si="42"/>
        <v>30404.35</v>
      </c>
      <c r="L371" s="8">
        <v>9000</v>
      </c>
      <c r="M371" s="9">
        <f t="shared" si="43"/>
        <v>0.29601027484554021</v>
      </c>
      <c r="N371" s="5">
        <v>1</v>
      </c>
      <c r="O371" s="10">
        <f t="shared" si="44"/>
        <v>0.29601027484554021</v>
      </c>
    </row>
    <row r="372" spans="2:15" ht="13.5" customHeight="1">
      <c r="B372" s="25">
        <v>48</v>
      </c>
      <c r="C372" s="25"/>
      <c r="D372" s="25"/>
      <c r="E372" s="31"/>
      <c r="F372" s="15" t="s">
        <v>19</v>
      </c>
      <c r="G372" s="6">
        <v>20906.37</v>
      </c>
      <c r="H372" s="2">
        <v>3417.98</v>
      </c>
      <c r="I372" s="2">
        <v>6080</v>
      </c>
      <c r="J372" s="2"/>
      <c r="K372" s="2">
        <f t="shared" si="42"/>
        <v>30404.35</v>
      </c>
      <c r="L372" s="8">
        <v>9000</v>
      </c>
      <c r="M372" s="9">
        <f t="shared" si="43"/>
        <v>0.29601027484554021</v>
      </c>
      <c r="N372" s="5">
        <v>1</v>
      </c>
      <c r="O372" s="10">
        <f t="shared" si="44"/>
        <v>0.29601027484554021</v>
      </c>
    </row>
    <row r="373" spans="2:15" ht="13.5" customHeight="1">
      <c r="B373" s="25">
        <v>49</v>
      </c>
      <c r="C373" s="25"/>
      <c r="D373" s="25"/>
      <c r="E373" s="31"/>
      <c r="F373" s="15" t="s">
        <v>19</v>
      </c>
      <c r="G373" s="6">
        <v>22816.85</v>
      </c>
      <c r="H373" s="2">
        <v>3417.98</v>
      </c>
      <c r="I373" s="2">
        <v>6080</v>
      </c>
      <c r="J373" s="2"/>
      <c r="K373" s="2">
        <f t="shared" si="42"/>
        <v>32314.829999999998</v>
      </c>
      <c r="L373" s="8">
        <v>9000</v>
      </c>
      <c r="M373" s="9">
        <f t="shared" si="43"/>
        <v>0.27850989777758389</v>
      </c>
      <c r="N373" s="5">
        <v>1</v>
      </c>
      <c r="O373" s="10">
        <f t="shared" si="44"/>
        <v>0.27850989777758389</v>
      </c>
    </row>
    <row r="374" spans="2:15" ht="13.5" customHeight="1">
      <c r="B374" s="25">
        <v>50</v>
      </c>
      <c r="C374" s="25"/>
      <c r="D374" s="25"/>
      <c r="E374" s="31"/>
      <c r="F374" s="15" t="s">
        <v>19</v>
      </c>
      <c r="G374" s="6">
        <v>22816.85</v>
      </c>
      <c r="H374" s="2">
        <v>3417.98</v>
      </c>
      <c r="I374" s="2">
        <v>6080</v>
      </c>
      <c r="J374" s="2"/>
      <c r="K374" s="2">
        <f t="shared" si="42"/>
        <v>32314.829999999998</v>
      </c>
      <c r="L374" s="8">
        <v>9000</v>
      </c>
      <c r="M374" s="9">
        <f t="shared" si="43"/>
        <v>0.27850989777758389</v>
      </c>
      <c r="N374" s="5">
        <v>1</v>
      </c>
      <c r="O374" s="10">
        <f t="shared" si="44"/>
        <v>0.27850989777758389</v>
      </c>
    </row>
    <row r="375" spans="2:15" ht="13.5" customHeight="1">
      <c r="B375" s="25">
        <v>51</v>
      </c>
      <c r="C375" s="25"/>
      <c r="D375" s="25"/>
      <c r="E375" s="31"/>
      <c r="F375" s="15" t="s">
        <v>19</v>
      </c>
      <c r="G375" s="6">
        <v>29185.119999999999</v>
      </c>
      <c r="H375" s="2">
        <v>3417.98</v>
      </c>
      <c r="I375" s="2">
        <v>6080</v>
      </c>
      <c r="J375" s="2"/>
      <c r="K375" s="2">
        <f t="shared" si="42"/>
        <v>38683.1</v>
      </c>
      <c r="L375" s="8">
        <v>9000</v>
      </c>
      <c r="M375" s="9">
        <f t="shared" si="43"/>
        <v>0.23265974030002767</v>
      </c>
      <c r="N375" s="5">
        <v>1</v>
      </c>
      <c r="O375" s="10">
        <f t="shared" si="44"/>
        <v>0.23265974030002767</v>
      </c>
    </row>
    <row r="376" spans="2:15" ht="13.5" customHeight="1">
      <c r="B376" s="25">
        <v>52</v>
      </c>
      <c r="C376" s="25"/>
      <c r="D376" s="25"/>
      <c r="E376" s="31"/>
      <c r="F376" s="15" t="s">
        <v>19</v>
      </c>
      <c r="G376" s="6">
        <v>22816.85</v>
      </c>
      <c r="H376" s="2">
        <v>3417.98</v>
      </c>
      <c r="I376" s="2">
        <v>6080</v>
      </c>
      <c r="J376" s="2"/>
      <c r="K376" s="2">
        <f t="shared" si="42"/>
        <v>32314.829999999998</v>
      </c>
      <c r="L376" s="8">
        <v>9000</v>
      </c>
      <c r="M376" s="9">
        <f t="shared" si="43"/>
        <v>0.27850989777758389</v>
      </c>
      <c r="N376" s="5">
        <v>1</v>
      </c>
      <c r="O376" s="10">
        <f t="shared" si="44"/>
        <v>0.27850989777758389</v>
      </c>
    </row>
    <row r="377" spans="2:15" ht="13.5" customHeight="1">
      <c r="B377" s="25">
        <v>53</v>
      </c>
      <c r="C377" s="25"/>
      <c r="D377" s="25"/>
      <c r="E377" s="31"/>
      <c r="F377" s="15" t="s">
        <v>19</v>
      </c>
      <c r="G377" s="6">
        <v>20906.37</v>
      </c>
      <c r="H377" s="2">
        <v>3417.98</v>
      </c>
      <c r="I377" s="2">
        <v>6080</v>
      </c>
      <c r="J377" s="2"/>
      <c r="K377" s="2">
        <f t="shared" si="42"/>
        <v>30404.35</v>
      </c>
      <c r="L377" s="8">
        <v>9000</v>
      </c>
      <c r="M377" s="9">
        <f t="shared" si="43"/>
        <v>0.29601027484554021</v>
      </c>
      <c r="N377" s="5">
        <v>1</v>
      </c>
      <c r="O377" s="10">
        <f t="shared" si="44"/>
        <v>0.29601027484554021</v>
      </c>
    </row>
    <row r="378" spans="2:15" ht="13.5" customHeight="1">
      <c r="B378" s="25">
        <v>54</v>
      </c>
      <c r="C378" s="25"/>
      <c r="D378" s="25"/>
      <c r="E378" s="31"/>
      <c r="F378" s="15" t="s">
        <v>19</v>
      </c>
      <c r="G378" s="6">
        <v>20906.37</v>
      </c>
      <c r="H378" s="2">
        <v>3417.98</v>
      </c>
      <c r="I378" s="2">
        <v>6080</v>
      </c>
      <c r="J378" s="2"/>
      <c r="K378" s="2">
        <f t="shared" si="42"/>
        <v>30404.35</v>
      </c>
      <c r="L378" s="8">
        <v>9000</v>
      </c>
      <c r="M378" s="9">
        <f t="shared" si="43"/>
        <v>0.29601027484554021</v>
      </c>
      <c r="N378" s="5">
        <v>1</v>
      </c>
      <c r="O378" s="10">
        <f t="shared" si="44"/>
        <v>0.29601027484554021</v>
      </c>
    </row>
    <row r="379" spans="2:15" ht="13.5" customHeight="1">
      <c r="B379" s="25">
        <v>55</v>
      </c>
      <c r="C379" s="25"/>
      <c r="D379" s="25"/>
      <c r="E379" s="31"/>
      <c r="F379" s="15" t="s">
        <v>19</v>
      </c>
      <c r="G379" s="6">
        <v>20906.37</v>
      </c>
      <c r="H379" s="2">
        <v>3417.98</v>
      </c>
      <c r="I379" s="2">
        <v>6080</v>
      </c>
      <c r="J379" s="2"/>
      <c r="K379" s="2">
        <f t="shared" si="42"/>
        <v>30404.35</v>
      </c>
      <c r="L379" s="8">
        <v>9000</v>
      </c>
      <c r="M379" s="9">
        <f t="shared" si="43"/>
        <v>0.29601027484554021</v>
      </c>
      <c r="N379" s="5">
        <v>1</v>
      </c>
      <c r="O379" s="10">
        <f t="shared" si="44"/>
        <v>0.29601027484554021</v>
      </c>
    </row>
    <row r="380" spans="2:15" ht="13.5" customHeight="1">
      <c r="B380" s="25">
        <v>56</v>
      </c>
      <c r="C380" s="25"/>
      <c r="D380" s="25"/>
      <c r="E380" s="31"/>
      <c r="F380" s="15" t="s">
        <v>19</v>
      </c>
      <c r="G380" s="6">
        <v>20906.37</v>
      </c>
      <c r="H380" s="2">
        <v>3417.98</v>
      </c>
      <c r="I380" s="2">
        <v>6080</v>
      </c>
      <c r="J380" s="2"/>
      <c r="K380" s="2">
        <f t="shared" si="42"/>
        <v>30404.35</v>
      </c>
      <c r="L380" s="8">
        <v>9000</v>
      </c>
      <c r="M380" s="9">
        <f t="shared" si="43"/>
        <v>0.29601027484554021</v>
      </c>
      <c r="N380" s="5">
        <v>1</v>
      </c>
      <c r="O380" s="10">
        <f t="shared" si="44"/>
        <v>0.29601027484554021</v>
      </c>
    </row>
    <row r="381" spans="2:15" ht="13.5" customHeight="1">
      <c r="B381" s="25">
        <v>57</v>
      </c>
      <c r="C381" s="25"/>
      <c r="D381" s="25"/>
      <c r="E381" s="31"/>
      <c r="F381" s="15" t="s">
        <v>19</v>
      </c>
      <c r="G381" s="6">
        <v>20906.37</v>
      </c>
      <c r="H381" s="2">
        <v>3417.98</v>
      </c>
      <c r="I381" s="2">
        <v>6080</v>
      </c>
      <c r="J381" s="2"/>
      <c r="K381" s="2">
        <f t="shared" si="42"/>
        <v>30404.35</v>
      </c>
      <c r="L381" s="8">
        <v>9000</v>
      </c>
      <c r="M381" s="9">
        <f t="shared" si="43"/>
        <v>0.29601027484554021</v>
      </c>
      <c r="N381" s="5">
        <v>1</v>
      </c>
      <c r="O381" s="10">
        <f t="shared" si="44"/>
        <v>0.29601027484554021</v>
      </c>
    </row>
    <row r="382" spans="2:15" ht="13.5" customHeight="1">
      <c r="B382" s="25">
        <v>58</v>
      </c>
      <c r="C382" s="25"/>
      <c r="D382" s="25"/>
      <c r="E382" s="31"/>
      <c r="F382" s="15" t="s">
        <v>19</v>
      </c>
      <c r="G382" s="6">
        <v>20906.37</v>
      </c>
      <c r="H382" s="2">
        <v>3417.98</v>
      </c>
      <c r="I382" s="2">
        <v>6080</v>
      </c>
      <c r="J382" s="2"/>
      <c r="K382" s="2">
        <f t="shared" si="42"/>
        <v>30404.35</v>
      </c>
      <c r="L382" s="8">
        <v>9000</v>
      </c>
      <c r="M382" s="9">
        <f t="shared" si="43"/>
        <v>0.29601027484554021</v>
      </c>
      <c r="N382" s="5">
        <v>1</v>
      </c>
      <c r="O382" s="10">
        <f t="shared" si="44"/>
        <v>0.29601027484554021</v>
      </c>
    </row>
    <row r="383" spans="2:15" ht="13.5" customHeight="1">
      <c r="B383" s="25">
        <v>59</v>
      </c>
      <c r="C383" s="25"/>
      <c r="D383" s="25"/>
      <c r="E383" s="31"/>
      <c r="F383" s="15" t="s">
        <v>19</v>
      </c>
      <c r="G383" s="6">
        <v>22816.85</v>
      </c>
      <c r="H383" s="2">
        <v>3417.98</v>
      </c>
      <c r="I383" s="2">
        <v>6080</v>
      </c>
      <c r="J383" s="2"/>
      <c r="K383" s="2">
        <f t="shared" si="42"/>
        <v>32314.829999999998</v>
      </c>
      <c r="L383" s="8">
        <v>9000</v>
      </c>
      <c r="M383" s="9">
        <f t="shared" si="43"/>
        <v>0.27850989777758389</v>
      </c>
      <c r="N383" s="5">
        <v>1</v>
      </c>
      <c r="O383" s="10">
        <f t="shared" si="44"/>
        <v>0.27850989777758389</v>
      </c>
    </row>
    <row r="384" spans="2:15" ht="13.5" customHeight="1">
      <c r="B384" s="25">
        <v>60</v>
      </c>
      <c r="C384" s="25"/>
      <c r="D384" s="25"/>
      <c r="E384" s="31"/>
      <c r="F384" s="15" t="s">
        <v>19</v>
      </c>
      <c r="G384" s="6">
        <v>22816.85</v>
      </c>
      <c r="H384" s="2">
        <v>3417.98</v>
      </c>
      <c r="I384" s="2">
        <v>6080</v>
      </c>
      <c r="J384" s="2"/>
      <c r="K384" s="2">
        <f t="shared" si="42"/>
        <v>32314.829999999998</v>
      </c>
      <c r="L384" s="8">
        <v>9000</v>
      </c>
      <c r="M384" s="9">
        <f t="shared" si="43"/>
        <v>0.27850989777758389</v>
      </c>
      <c r="N384" s="5">
        <v>1</v>
      </c>
      <c r="O384" s="10">
        <f t="shared" si="44"/>
        <v>0.27850989777758389</v>
      </c>
    </row>
    <row r="385" spans="2:15" ht="13.5" customHeight="1">
      <c r="B385" s="25">
        <v>61</v>
      </c>
      <c r="C385" s="25"/>
      <c r="D385" s="25"/>
      <c r="E385" s="31"/>
      <c r="F385" s="15" t="s">
        <v>19</v>
      </c>
      <c r="G385" s="6">
        <v>20906.37</v>
      </c>
      <c r="H385" s="2">
        <v>3417.98</v>
      </c>
      <c r="I385" s="2">
        <v>6080</v>
      </c>
      <c r="J385" s="2"/>
      <c r="K385" s="2">
        <f t="shared" si="42"/>
        <v>30404.35</v>
      </c>
      <c r="L385" s="8">
        <v>9000</v>
      </c>
      <c r="M385" s="9">
        <f t="shared" si="43"/>
        <v>0.29601027484554021</v>
      </c>
      <c r="N385" s="5">
        <v>1</v>
      </c>
      <c r="O385" s="10">
        <f t="shared" si="44"/>
        <v>0.29601027484554021</v>
      </c>
    </row>
    <row r="386" spans="2:15" ht="13.5" customHeight="1">
      <c r="B386" s="25">
        <v>62</v>
      </c>
      <c r="C386" s="25"/>
      <c r="D386" s="25"/>
      <c r="E386" s="31"/>
      <c r="F386" s="15" t="s">
        <v>19</v>
      </c>
      <c r="G386" s="6">
        <v>20906.37</v>
      </c>
      <c r="H386" s="2">
        <v>3417.98</v>
      </c>
      <c r="I386" s="2">
        <v>6080</v>
      </c>
      <c r="J386" s="2"/>
      <c r="K386" s="2">
        <f t="shared" si="42"/>
        <v>30404.35</v>
      </c>
      <c r="L386" s="8">
        <v>9000</v>
      </c>
      <c r="M386" s="9">
        <f t="shared" si="43"/>
        <v>0.29601027484554021</v>
      </c>
      <c r="N386" s="5">
        <v>1</v>
      </c>
      <c r="O386" s="10">
        <f t="shared" si="44"/>
        <v>0.29601027484554021</v>
      </c>
    </row>
    <row r="387" spans="2:15" ht="13.5" customHeight="1">
      <c r="B387" s="25">
        <v>63</v>
      </c>
      <c r="C387" s="25"/>
      <c r="D387" s="25"/>
      <c r="E387" s="31"/>
      <c r="F387" s="15" t="s">
        <v>19</v>
      </c>
      <c r="G387" s="6">
        <v>20906.37</v>
      </c>
      <c r="H387" s="2">
        <v>3417.98</v>
      </c>
      <c r="I387" s="2">
        <v>6080</v>
      </c>
      <c r="J387" s="2"/>
      <c r="K387" s="2">
        <f t="shared" si="42"/>
        <v>30404.35</v>
      </c>
      <c r="L387" s="8">
        <v>9000</v>
      </c>
      <c r="M387" s="9">
        <f t="shared" si="43"/>
        <v>0.29601027484554021</v>
      </c>
      <c r="N387" s="5">
        <v>1</v>
      </c>
      <c r="O387" s="10">
        <f t="shared" si="44"/>
        <v>0.29601027484554021</v>
      </c>
    </row>
    <row r="388" spans="2:15" ht="13.5" customHeight="1">
      <c r="B388" s="25">
        <v>64</v>
      </c>
      <c r="C388" s="25"/>
      <c r="D388" s="25"/>
      <c r="E388" s="31"/>
      <c r="F388" s="15" t="s">
        <v>19</v>
      </c>
      <c r="G388" s="6">
        <v>20906.37</v>
      </c>
      <c r="H388" s="2">
        <v>3417.98</v>
      </c>
      <c r="I388" s="2">
        <v>6080</v>
      </c>
      <c r="J388" s="2"/>
      <c r="K388" s="2">
        <f t="shared" si="42"/>
        <v>30404.35</v>
      </c>
      <c r="L388" s="8">
        <v>9000</v>
      </c>
      <c r="M388" s="9">
        <f t="shared" si="43"/>
        <v>0.29601027484554021</v>
      </c>
      <c r="N388" s="5">
        <v>1</v>
      </c>
      <c r="O388" s="10">
        <f t="shared" si="44"/>
        <v>0.29601027484554021</v>
      </c>
    </row>
    <row r="389" spans="2:15" ht="13.5" customHeight="1">
      <c r="B389" s="25">
        <v>65</v>
      </c>
      <c r="C389" s="25"/>
      <c r="D389" s="25"/>
      <c r="E389" s="31"/>
      <c r="F389" s="15" t="s">
        <v>19</v>
      </c>
      <c r="G389" s="6">
        <v>20906.37</v>
      </c>
      <c r="H389" s="2">
        <v>3417.98</v>
      </c>
      <c r="I389" s="2">
        <v>6080</v>
      </c>
      <c r="J389" s="2"/>
      <c r="K389" s="2">
        <f t="shared" si="42"/>
        <v>30404.35</v>
      </c>
      <c r="L389" s="8">
        <v>9000</v>
      </c>
      <c r="M389" s="9">
        <f t="shared" si="43"/>
        <v>0.29601027484554021</v>
      </c>
      <c r="N389" s="5">
        <v>1</v>
      </c>
      <c r="O389" s="10">
        <f t="shared" si="44"/>
        <v>0.29601027484554021</v>
      </c>
    </row>
    <row r="390" spans="2:15" ht="13.5" customHeight="1">
      <c r="B390" s="25">
        <v>66</v>
      </c>
      <c r="C390" s="25"/>
      <c r="D390" s="25"/>
      <c r="E390" s="31"/>
      <c r="F390" s="15" t="s">
        <v>19</v>
      </c>
      <c r="G390" s="6">
        <v>20906.37</v>
      </c>
      <c r="H390" s="2">
        <v>3417.98</v>
      </c>
      <c r="I390" s="2">
        <v>6080</v>
      </c>
      <c r="J390" s="2"/>
      <c r="K390" s="2">
        <f t="shared" ref="K390:K453" si="45">SUM(G390:I390)</f>
        <v>30404.35</v>
      </c>
      <c r="L390" s="8">
        <v>9000</v>
      </c>
      <c r="M390" s="9">
        <f t="shared" ref="M390:M453" si="46">L390/K390</f>
        <v>0.29601027484554021</v>
      </c>
      <c r="N390" s="5">
        <v>1</v>
      </c>
      <c r="O390" s="10">
        <f t="shared" ref="O390:O453" si="47">N390*M390</f>
        <v>0.29601027484554021</v>
      </c>
    </row>
    <row r="391" spans="2:15" ht="13.5" customHeight="1">
      <c r="B391" s="25">
        <v>67</v>
      </c>
      <c r="C391" s="25"/>
      <c r="D391" s="25"/>
      <c r="E391" s="31"/>
      <c r="F391" s="15" t="s">
        <v>19</v>
      </c>
      <c r="G391" s="6">
        <v>20906.37</v>
      </c>
      <c r="H391" s="2">
        <v>3417.98</v>
      </c>
      <c r="I391" s="2">
        <v>6080</v>
      </c>
      <c r="J391" s="2"/>
      <c r="K391" s="2">
        <f t="shared" si="45"/>
        <v>30404.35</v>
      </c>
      <c r="L391" s="8">
        <v>9000</v>
      </c>
      <c r="M391" s="9">
        <f t="shared" si="46"/>
        <v>0.29601027484554021</v>
      </c>
      <c r="N391" s="5">
        <v>1</v>
      </c>
      <c r="O391" s="10">
        <f t="shared" si="47"/>
        <v>0.29601027484554021</v>
      </c>
    </row>
    <row r="392" spans="2:15" ht="13.5" customHeight="1">
      <c r="B392" s="25">
        <v>68</v>
      </c>
      <c r="C392" s="25"/>
      <c r="D392" s="25"/>
      <c r="E392" s="31"/>
      <c r="F392" s="15" t="s">
        <v>19</v>
      </c>
      <c r="G392" s="6">
        <v>20906.37</v>
      </c>
      <c r="H392" s="2">
        <v>3417.98</v>
      </c>
      <c r="I392" s="2">
        <v>6080</v>
      </c>
      <c r="J392" s="2"/>
      <c r="K392" s="2">
        <f t="shared" si="45"/>
        <v>30404.35</v>
      </c>
      <c r="L392" s="8">
        <v>9000</v>
      </c>
      <c r="M392" s="9">
        <f t="shared" si="46"/>
        <v>0.29601027484554021</v>
      </c>
      <c r="N392" s="5">
        <v>1</v>
      </c>
      <c r="O392" s="10">
        <f t="shared" si="47"/>
        <v>0.29601027484554021</v>
      </c>
    </row>
    <row r="393" spans="2:15" ht="13.5" customHeight="1">
      <c r="B393" s="25">
        <v>69</v>
      </c>
      <c r="C393" s="25"/>
      <c r="D393" s="25"/>
      <c r="E393" s="31"/>
      <c r="F393" s="15" t="s">
        <v>19</v>
      </c>
      <c r="G393" s="6">
        <v>22816.85</v>
      </c>
      <c r="H393" s="2">
        <v>3417.98</v>
      </c>
      <c r="I393" s="2">
        <v>6080</v>
      </c>
      <c r="J393" s="2"/>
      <c r="K393" s="2">
        <f t="shared" si="45"/>
        <v>32314.829999999998</v>
      </c>
      <c r="L393" s="8">
        <v>9000</v>
      </c>
      <c r="M393" s="9">
        <f t="shared" si="46"/>
        <v>0.27850989777758389</v>
      </c>
      <c r="N393" s="5">
        <v>1</v>
      </c>
      <c r="O393" s="10">
        <f t="shared" si="47"/>
        <v>0.27850989777758389</v>
      </c>
    </row>
    <row r="394" spans="2:15" ht="13.5" customHeight="1">
      <c r="B394" s="25">
        <v>70</v>
      </c>
      <c r="C394" s="25"/>
      <c r="D394" s="25"/>
      <c r="E394" s="31"/>
      <c r="F394" s="15" t="s">
        <v>19</v>
      </c>
      <c r="G394" s="6">
        <v>26000.98</v>
      </c>
      <c r="H394" s="2">
        <v>3417.98</v>
      </c>
      <c r="I394" s="2">
        <v>6080</v>
      </c>
      <c r="J394" s="2"/>
      <c r="K394" s="2">
        <f t="shared" si="45"/>
        <v>35498.959999999999</v>
      </c>
      <c r="L394" s="8">
        <v>9000</v>
      </c>
      <c r="M394" s="9">
        <f t="shared" si="46"/>
        <v>0.25352855407595037</v>
      </c>
      <c r="N394" s="5">
        <v>1</v>
      </c>
      <c r="O394" s="10">
        <f t="shared" si="47"/>
        <v>0.25352855407595037</v>
      </c>
    </row>
    <row r="395" spans="2:15" ht="13.5" customHeight="1">
      <c r="B395" s="25">
        <v>71</v>
      </c>
      <c r="C395" s="25"/>
      <c r="D395" s="25"/>
      <c r="E395" s="31"/>
      <c r="F395" s="15" t="s">
        <v>19</v>
      </c>
      <c r="G395" s="6">
        <v>20906.37</v>
      </c>
      <c r="H395" s="2">
        <v>3417.98</v>
      </c>
      <c r="I395" s="2">
        <v>6080</v>
      </c>
      <c r="J395" s="2"/>
      <c r="K395" s="2">
        <f t="shared" si="45"/>
        <v>30404.35</v>
      </c>
      <c r="L395" s="8">
        <v>9000</v>
      </c>
      <c r="M395" s="9">
        <f t="shared" si="46"/>
        <v>0.29601027484554021</v>
      </c>
      <c r="N395" s="5">
        <v>1</v>
      </c>
      <c r="O395" s="10">
        <f t="shared" si="47"/>
        <v>0.29601027484554021</v>
      </c>
    </row>
    <row r="396" spans="2:15" ht="13.5" customHeight="1">
      <c r="B396" s="25">
        <v>72</v>
      </c>
      <c r="C396" s="25"/>
      <c r="D396" s="25"/>
      <c r="E396" s="31"/>
      <c r="F396" s="15" t="s">
        <v>19</v>
      </c>
      <c r="G396" s="6">
        <v>22816.85</v>
      </c>
      <c r="H396" s="2">
        <v>3417.98</v>
      </c>
      <c r="I396" s="2">
        <v>6080</v>
      </c>
      <c r="J396" s="2"/>
      <c r="K396" s="2">
        <f t="shared" si="45"/>
        <v>32314.829999999998</v>
      </c>
      <c r="L396" s="8">
        <v>9000</v>
      </c>
      <c r="M396" s="9">
        <f t="shared" si="46"/>
        <v>0.27850989777758389</v>
      </c>
      <c r="N396" s="5">
        <v>1</v>
      </c>
      <c r="O396" s="10">
        <f t="shared" si="47"/>
        <v>0.27850989777758389</v>
      </c>
    </row>
    <row r="397" spans="2:15" ht="13.5" customHeight="1">
      <c r="B397" s="25">
        <v>73</v>
      </c>
      <c r="C397" s="25"/>
      <c r="D397" s="25"/>
      <c r="E397" s="31"/>
      <c r="F397" s="15" t="s">
        <v>19</v>
      </c>
      <c r="G397" s="6">
        <v>20906.37</v>
      </c>
      <c r="H397" s="2">
        <v>3417.98</v>
      </c>
      <c r="I397" s="2">
        <v>6080</v>
      </c>
      <c r="J397" s="2"/>
      <c r="K397" s="2">
        <f t="shared" si="45"/>
        <v>30404.35</v>
      </c>
      <c r="L397" s="8">
        <v>9000</v>
      </c>
      <c r="M397" s="9">
        <f t="shared" si="46"/>
        <v>0.29601027484554021</v>
      </c>
      <c r="N397" s="5">
        <v>1</v>
      </c>
      <c r="O397" s="10">
        <f t="shared" si="47"/>
        <v>0.29601027484554021</v>
      </c>
    </row>
    <row r="398" spans="2:15" ht="13.5" customHeight="1">
      <c r="B398" s="25">
        <v>74</v>
      </c>
      <c r="C398" s="25"/>
      <c r="D398" s="25"/>
      <c r="E398" s="31"/>
      <c r="F398" s="15" t="s">
        <v>19</v>
      </c>
      <c r="G398" s="6">
        <v>22185.16</v>
      </c>
      <c r="H398" s="2">
        <v>3417.98</v>
      </c>
      <c r="I398" s="2">
        <v>6080</v>
      </c>
      <c r="J398" s="2"/>
      <c r="K398" s="2">
        <f t="shared" si="45"/>
        <v>31683.14</v>
      </c>
      <c r="L398" s="8">
        <v>9000</v>
      </c>
      <c r="M398" s="9">
        <f t="shared" si="46"/>
        <v>0.28406275388108626</v>
      </c>
      <c r="N398" s="5">
        <v>1</v>
      </c>
      <c r="O398" s="10">
        <f t="shared" si="47"/>
        <v>0.28406275388108626</v>
      </c>
    </row>
    <row r="399" spans="2:15" ht="13.5" customHeight="1">
      <c r="B399" s="25">
        <v>75</v>
      </c>
      <c r="C399" s="25"/>
      <c r="D399" s="25"/>
      <c r="E399" s="31"/>
      <c r="F399" s="15" t="s">
        <v>19</v>
      </c>
      <c r="G399" s="6">
        <v>20906.37</v>
      </c>
      <c r="H399" s="2">
        <v>3417.98</v>
      </c>
      <c r="I399" s="2">
        <v>6080</v>
      </c>
      <c r="J399" s="2"/>
      <c r="K399" s="2">
        <f t="shared" si="45"/>
        <v>30404.35</v>
      </c>
      <c r="L399" s="8">
        <v>9000</v>
      </c>
      <c r="M399" s="9">
        <f t="shared" si="46"/>
        <v>0.29601027484554021</v>
      </c>
      <c r="N399" s="5">
        <v>1</v>
      </c>
      <c r="O399" s="10">
        <f t="shared" si="47"/>
        <v>0.29601027484554021</v>
      </c>
    </row>
    <row r="400" spans="2:15" ht="13.5" customHeight="1">
      <c r="B400" s="25">
        <v>76</v>
      </c>
      <c r="C400" s="25"/>
      <c r="D400" s="25"/>
      <c r="E400" s="31"/>
      <c r="F400" s="15" t="s">
        <v>19</v>
      </c>
      <c r="G400" s="6">
        <v>20906.37</v>
      </c>
      <c r="H400" s="2">
        <v>3417.98</v>
      </c>
      <c r="I400" s="2">
        <v>6080</v>
      </c>
      <c r="J400" s="2"/>
      <c r="K400" s="2">
        <f t="shared" si="45"/>
        <v>30404.35</v>
      </c>
      <c r="L400" s="8">
        <v>9000</v>
      </c>
      <c r="M400" s="9">
        <f t="shared" si="46"/>
        <v>0.29601027484554021</v>
      </c>
      <c r="N400" s="5">
        <v>1</v>
      </c>
      <c r="O400" s="10">
        <f t="shared" si="47"/>
        <v>0.29601027484554021</v>
      </c>
    </row>
    <row r="401" spans="2:15" ht="13.5" customHeight="1">
      <c r="B401" s="25">
        <v>77</v>
      </c>
      <c r="C401" s="25"/>
      <c r="D401" s="25"/>
      <c r="E401" s="31"/>
      <c r="F401" s="15" t="s">
        <v>19</v>
      </c>
      <c r="G401" s="6">
        <v>20906.37</v>
      </c>
      <c r="H401" s="2">
        <v>3417.98</v>
      </c>
      <c r="I401" s="2">
        <v>6080</v>
      </c>
      <c r="J401" s="2"/>
      <c r="K401" s="2">
        <f t="shared" si="45"/>
        <v>30404.35</v>
      </c>
      <c r="L401" s="8">
        <v>9000</v>
      </c>
      <c r="M401" s="9">
        <f t="shared" si="46"/>
        <v>0.29601027484554021</v>
      </c>
      <c r="N401" s="5">
        <v>1</v>
      </c>
      <c r="O401" s="10">
        <f t="shared" si="47"/>
        <v>0.29601027484554021</v>
      </c>
    </row>
    <row r="402" spans="2:15" ht="13.5" customHeight="1">
      <c r="B402" s="25">
        <v>78</v>
      </c>
      <c r="C402" s="25"/>
      <c r="D402" s="25"/>
      <c r="E402" s="31"/>
      <c r="F402" s="15" t="s">
        <v>19</v>
      </c>
      <c r="G402" s="6">
        <v>20906.37</v>
      </c>
      <c r="H402" s="2">
        <v>3417.98</v>
      </c>
      <c r="I402" s="2">
        <v>6080</v>
      </c>
      <c r="J402" s="2"/>
      <c r="K402" s="2">
        <f t="shared" si="45"/>
        <v>30404.35</v>
      </c>
      <c r="L402" s="8">
        <v>9000</v>
      </c>
      <c r="M402" s="9">
        <f t="shared" si="46"/>
        <v>0.29601027484554021</v>
      </c>
      <c r="N402" s="5">
        <v>1</v>
      </c>
      <c r="O402" s="10">
        <f t="shared" si="47"/>
        <v>0.29601027484554021</v>
      </c>
    </row>
    <row r="403" spans="2:15" ht="13.5" customHeight="1">
      <c r="B403" s="25">
        <v>79</v>
      </c>
      <c r="C403" s="25"/>
      <c r="D403" s="25"/>
      <c r="E403" s="31"/>
      <c r="F403" s="15" t="s">
        <v>19</v>
      </c>
      <c r="G403" s="6">
        <v>20906.37</v>
      </c>
      <c r="H403" s="2">
        <v>3417.98</v>
      </c>
      <c r="I403" s="2">
        <v>6080</v>
      </c>
      <c r="J403" s="2"/>
      <c r="K403" s="2">
        <f t="shared" si="45"/>
        <v>30404.35</v>
      </c>
      <c r="L403" s="8">
        <v>9000</v>
      </c>
      <c r="M403" s="9">
        <f t="shared" si="46"/>
        <v>0.29601027484554021</v>
      </c>
      <c r="N403" s="5">
        <v>1</v>
      </c>
      <c r="O403" s="10">
        <f t="shared" si="47"/>
        <v>0.29601027484554021</v>
      </c>
    </row>
    <row r="404" spans="2:15" ht="13.5" customHeight="1">
      <c r="B404" s="25">
        <v>80</v>
      </c>
      <c r="C404" s="25"/>
      <c r="D404" s="25"/>
      <c r="E404" s="31"/>
      <c r="F404" s="15" t="s">
        <v>19</v>
      </c>
      <c r="G404" s="6">
        <v>22816.85</v>
      </c>
      <c r="H404" s="2">
        <v>3417.98</v>
      </c>
      <c r="I404" s="2">
        <v>6080</v>
      </c>
      <c r="J404" s="2"/>
      <c r="K404" s="2">
        <f t="shared" si="45"/>
        <v>32314.829999999998</v>
      </c>
      <c r="L404" s="8">
        <v>9000</v>
      </c>
      <c r="M404" s="9">
        <f t="shared" si="46"/>
        <v>0.27850989777758389</v>
      </c>
      <c r="N404" s="5">
        <v>1</v>
      </c>
      <c r="O404" s="10">
        <f t="shared" si="47"/>
        <v>0.27850989777758389</v>
      </c>
    </row>
    <row r="405" spans="2:15" ht="13.5" customHeight="1">
      <c r="B405" s="25">
        <v>81</v>
      </c>
      <c r="C405" s="25"/>
      <c r="D405" s="25"/>
      <c r="E405" s="31"/>
      <c r="F405" s="15" t="s">
        <v>19</v>
      </c>
      <c r="G405" s="6">
        <v>22816.85</v>
      </c>
      <c r="H405" s="2">
        <v>3417.98</v>
      </c>
      <c r="I405" s="2">
        <v>6080</v>
      </c>
      <c r="J405" s="2"/>
      <c r="K405" s="2">
        <f t="shared" si="45"/>
        <v>32314.829999999998</v>
      </c>
      <c r="L405" s="8">
        <v>9000</v>
      </c>
      <c r="M405" s="9">
        <f t="shared" si="46"/>
        <v>0.27850989777758389</v>
      </c>
      <c r="N405" s="5">
        <v>1</v>
      </c>
      <c r="O405" s="10">
        <f t="shared" si="47"/>
        <v>0.27850989777758389</v>
      </c>
    </row>
    <row r="406" spans="2:15" ht="13.5" customHeight="1">
      <c r="B406" s="25">
        <v>82</v>
      </c>
      <c r="C406" s="25"/>
      <c r="D406" s="25"/>
      <c r="E406" s="31"/>
      <c r="F406" s="15" t="s">
        <v>19</v>
      </c>
      <c r="G406" s="6">
        <v>20906.37</v>
      </c>
      <c r="H406" s="2">
        <v>3417.98</v>
      </c>
      <c r="I406" s="2">
        <v>6080</v>
      </c>
      <c r="J406" s="2"/>
      <c r="K406" s="2">
        <f t="shared" si="45"/>
        <v>30404.35</v>
      </c>
      <c r="L406" s="8">
        <v>9000</v>
      </c>
      <c r="M406" s="9">
        <f t="shared" si="46"/>
        <v>0.29601027484554021</v>
      </c>
      <c r="N406" s="5">
        <v>1</v>
      </c>
      <c r="O406" s="10">
        <f t="shared" si="47"/>
        <v>0.29601027484554021</v>
      </c>
    </row>
    <row r="407" spans="2:15" ht="13.5" customHeight="1">
      <c r="B407" s="25">
        <v>83</v>
      </c>
      <c r="C407" s="25"/>
      <c r="D407" s="25"/>
      <c r="E407" s="31"/>
      <c r="F407" s="15" t="s">
        <v>19</v>
      </c>
      <c r="G407" s="6">
        <v>22816.85</v>
      </c>
      <c r="H407" s="2">
        <v>3417.98</v>
      </c>
      <c r="I407" s="2">
        <v>6080</v>
      </c>
      <c r="J407" s="2"/>
      <c r="K407" s="2">
        <f t="shared" si="45"/>
        <v>32314.829999999998</v>
      </c>
      <c r="L407" s="8">
        <v>9000</v>
      </c>
      <c r="M407" s="9">
        <f t="shared" si="46"/>
        <v>0.27850989777758389</v>
      </c>
      <c r="N407" s="5">
        <v>1</v>
      </c>
      <c r="O407" s="10">
        <f t="shared" si="47"/>
        <v>0.27850989777758389</v>
      </c>
    </row>
    <row r="408" spans="2:15" ht="13.5" customHeight="1">
      <c r="B408" s="25">
        <v>84</v>
      </c>
      <c r="C408" s="25"/>
      <c r="D408" s="25"/>
      <c r="E408" s="31"/>
      <c r="F408" s="15" t="s">
        <v>19</v>
      </c>
      <c r="G408" s="6">
        <v>22186.85</v>
      </c>
      <c r="H408" s="2">
        <v>3417.98</v>
      </c>
      <c r="I408" s="2">
        <v>6080</v>
      </c>
      <c r="J408" s="2"/>
      <c r="K408" s="2">
        <f t="shared" si="45"/>
        <v>31684.829999999998</v>
      </c>
      <c r="L408" s="8">
        <v>9000</v>
      </c>
      <c r="M408" s="9">
        <f t="shared" si="46"/>
        <v>0.2840476025908929</v>
      </c>
      <c r="N408" s="5">
        <v>1</v>
      </c>
      <c r="O408" s="10">
        <f t="shared" si="47"/>
        <v>0.2840476025908929</v>
      </c>
    </row>
    <row r="409" spans="2:15" ht="13.5" customHeight="1">
      <c r="B409" s="25">
        <v>85</v>
      </c>
      <c r="C409" s="25"/>
      <c r="D409" s="25"/>
      <c r="E409" s="31"/>
      <c r="F409" s="15" t="s">
        <v>19</v>
      </c>
      <c r="G409" s="6">
        <v>20906.37</v>
      </c>
      <c r="H409" s="2">
        <v>3417.98</v>
      </c>
      <c r="I409" s="2">
        <v>6080</v>
      </c>
      <c r="J409" s="2"/>
      <c r="K409" s="2">
        <f t="shared" si="45"/>
        <v>30404.35</v>
      </c>
      <c r="L409" s="8">
        <v>9000</v>
      </c>
      <c r="M409" s="9">
        <f t="shared" si="46"/>
        <v>0.29601027484554021</v>
      </c>
      <c r="N409" s="5">
        <v>1</v>
      </c>
      <c r="O409" s="10">
        <f t="shared" si="47"/>
        <v>0.29601027484554021</v>
      </c>
    </row>
    <row r="410" spans="2:15" ht="13.5" customHeight="1">
      <c r="B410" s="25">
        <v>86</v>
      </c>
      <c r="C410" s="25"/>
      <c r="D410" s="25"/>
      <c r="E410" s="31"/>
      <c r="F410" s="15" t="s">
        <v>19</v>
      </c>
      <c r="G410" s="6">
        <v>26000.98</v>
      </c>
      <c r="H410" s="2">
        <v>3417.98</v>
      </c>
      <c r="I410" s="2">
        <v>6080</v>
      </c>
      <c r="J410" s="2"/>
      <c r="K410" s="2">
        <f t="shared" si="45"/>
        <v>35498.959999999999</v>
      </c>
      <c r="L410" s="8">
        <v>9000</v>
      </c>
      <c r="M410" s="9">
        <f t="shared" si="46"/>
        <v>0.25352855407595037</v>
      </c>
      <c r="N410" s="5">
        <v>1</v>
      </c>
      <c r="O410" s="10">
        <f t="shared" si="47"/>
        <v>0.25352855407595037</v>
      </c>
    </row>
    <row r="411" spans="2:15" ht="13.5" customHeight="1">
      <c r="B411" s="25">
        <v>87</v>
      </c>
      <c r="C411" s="25"/>
      <c r="D411" s="25"/>
      <c r="E411" s="31"/>
      <c r="F411" s="15" t="s">
        <v>19</v>
      </c>
      <c r="G411" s="6">
        <v>20906.37</v>
      </c>
      <c r="H411" s="2">
        <v>3417.98</v>
      </c>
      <c r="I411" s="2">
        <v>6080</v>
      </c>
      <c r="J411" s="2"/>
      <c r="K411" s="2">
        <f t="shared" si="45"/>
        <v>30404.35</v>
      </c>
      <c r="L411" s="8">
        <v>9000</v>
      </c>
      <c r="M411" s="9">
        <f t="shared" si="46"/>
        <v>0.29601027484554021</v>
      </c>
      <c r="N411" s="5">
        <v>1</v>
      </c>
      <c r="O411" s="10">
        <f t="shared" si="47"/>
        <v>0.29601027484554021</v>
      </c>
    </row>
    <row r="412" spans="2:15" ht="13.5" customHeight="1">
      <c r="B412" s="25">
        <v>88</v>
      </c>
      <c r="C412" s="25"/>
      <c r="D412" s="25"/>
      <c r="E412" s="31"/>
      <c r="F412" s="15" t="s">
        <v>19</v>
      </c>
      <c r="G412" s="6">
        <v>20906.37</v>
      </c>
      <c r="H412" s="2">
        <v>3417.98</v>
      </c>
      <c r="I412" s="2">
        <v>6080</v>
      </c>
      <c r="J412" s="2"/>
      <c r="K412" s="2">
        <f t="shared" si="45"/>
        <v>30404.35</v>
      </c>
      <c r="L412" s="8">
        <v>9000</v>
      </c>
      <c r="M412" s="9">
        <f t="shared" si="46"/>
        <v>0.29601027484554021</v>
      </c>
      <c r="N412" s="5">
        <v>1</v>
      </c>
      <c r="O412" s="10">
        <f t="shared" si="47"/>
        <v>0.29601027484554021</v>
      </c>
    </row>
    <row r="413" spans="2:15" ht="13.5" customHeight="1">
      <c r="B413" s="25">
        <v>89</v>
      </c>
      <c r="C413" s="25"/>
      <c r="D413" s="25"/>
      <c r="E413" s="31"/>
      <c r="F413" s="15" t="s">
        <v>19</v>
      </c>
      <c r="G413" s="6">
        <v>29185.119999999999</v>
      </c>
      <c r="H413" s="2">
        <v>3417.98</v>
      </c>
      <c r="I413" s="2">
        <v>6080</v>
      </c>
      <c r="J413" s="2"/>
      <c r="K413" s="2">
        <f t="shared" si="45"/>
        <v>38683.1</v>
      </c>
      <c r="L413" s="8">
        <v>9000</v>
      </c>
      <c r="M413" s="9">
        <f t="shared" si="46"/>
        <v>0.23265974030002767</v>
      </c>
      <c r="N413" s="5">
        <v>1</v>
      </c>
      <c r="O413" s="10">
        <f t="shared" si="47"/>
        <v>0.23265974030002767</v>
      </c>
    </row>
    <row r="414" spans="2:15" ht="13.5" customHeight="1">
      <c r="B414" s="25">
        <v>90</v>
      </c>
      <c r="C414" s="25"/>
      <c r="D414" s="25"/>
      <c r="E414" s="31"/>
      <c r="F414" s="15" t="s">
        <v>19</v>
      </c>
      <c r="G414" s="6">
        <v>26000.98</v>
      </c>
      <c r="H414" s="2">
        <v>3417.98</v>
      </c>
      <c r="I414" s="2">
        <v>6080</v>
      </c>
      <c r="J414" s="2"/>
      <c r="K414" s="2">
        <f t="shared" si="45"/>
        <v>35498.959999999999</v>
      </c>
      <c r="L414" s="8">
        <v>9000</v>
      </c>
      <c r="M414" s="9">
        <f t="shared" si="46"/>
        <v>0.25352855407595037</v>
      </c>
      <c r="N414" s="5">
        <v>1</v>
      </c>
      <c r="O414" s="10">
        <f t="shared" si="47"/>
        <v>0.25352855407595037</v>
      </c>
    </row>
    <row r="415" spans="2:15" ht="13.5" customHeight="1">
      <c r="B415" s="25">
        <v>91</v>
      </c>
      <c r="C415" s="25"/>
      <c r="D415" s="25"/>
      <c r="E415" s="31"/>
      <c r="F415" s="15" t="s">
        <v>19</v>
      </c>
      <c r="G415" s="6">
        <v>20906.37</v>
      </c>
      <c r="H415" s="2">
        <v>3417.98</v>
      </c>
      <c r="I415" s="2">
        <v>6080</v>
      </c>
      <c r="J415" s="2"/>
      <c r="K415" s="2">
        <f t="shared" si="45"/>
        <v>30404.35</v>
      </c>
      <c r="L415" s="8">
        <v>9000</v>
      </c>
      <c r="M415" s="9">
        <f t="shared" si="46"/>
        <v>0.29601027484554021</v>
      </c>
      <c r="N415" s="5">
        <v>1</v>
      </c>
      <c r="O415" s="10">
        <f t="shared" si="47"/>
        <v>0.29601027484554021</v>
      </c>
    </row>
    <row r="416" spans="2:15" ht="13.5" customHeight="1">
      <c r="B416" s="25">
        <v>92</v>
      </c>
      <c r="C416" s="25"/>
      <c r="D416" s="25"/>
      <c r="E416" s="31"/>
      <c r="F416" s="15" t="s">
        <v>19</v>
      </c>
      <c r="G416" s="6">
        <v>22186.85</v>
      </c>
      <c r="H416" s="2">
        <v>3417.98</v>
      </c>
      <c r="I416" s="2">
        <v>6080</v>
      </c>
      <c r="J416" s="2"/>
      <c r="K416" s="2">
        <f t="shared" si="45"/>
        <v>31684.829999999998</v>
      </c>
      <c r="L416" s="8">
        <v>9000</v>
      </c>
      <c r="M416" s="9">
        <f t="shared" si="46"/>
        <v>0.2840476025908929</v>
      </c>
      <c r="N416" s="5">
        <v>1</v>
      </c>
      <c r="O416" s="10">
        <f t="shared" si="47"/>
        <v>0.2840476025908929</v>
      </c>
    </row>
    <row r="417" spans="2:15" ht="13.5" customHeight="1">
      <c r="B417" s="25">
        <v>93</v>
      </c>
      <c r="C417" s="25"/>
      <c r="D417" s="25"/>
      <c r="E417" s="31"/>
      <c r="F417" s="15" t="s">
        <v>19</v>
      </c>
      <c r="G417" s="6">
        <v>20906.37</v>
      </c>
      <c r="H417" s="2">
        <v>3417.98</v>
      </c>
      <c r="I417" s="2">
        <v>6080</v>
      </c>
      <c r="J417" s="2"/>
      <c r="K417" s="2">
        <f t="shared" si="45"/>
        <v>30404.35</v>
      </c>
      <c r="L417" s="8">
        <v>9000</v>
      </c>
      <c r="M417" s="9">
        <f t="shared" si="46"/>
        <v>0.29601027484554021</v>
      </c>
      <c r="N417" s="5">
        <v>1</v>
      </c>
      <c r="O417" s="10">
        <f t="shared" si="47"/>
        <v>0.29601027484554021</v>
      </c>
    </row>
    <row r="418" spans="2:15" ht="13.5" customHeight="1">
      <c r="B418" s="25">
        <v>94</v>
      </c>
      <c r="C418" s="25"/>
      <c r="D418" s="25"/>
      <c r="E418" s="31"/>
      <c r="F418" s="15" t="s">
        <v>19</v>
      </c>
      <c r="G418" s="6">
        <v>20906.37</v>
      </c>
      <c r="H418" s="2">
        <v>3417.98</v>
      </c>
      <c r="I418" s="2">
        <v>6080</v>
      </c>
      <c r="J418" s="2"/>
      <c r="K418" s="2">
        <f t="shared" si="45"/>
        <v>30404.35</v>
      </c>
      <c r="L418" s="8">
        <v>9000</v>
      </c>
      <c r="M418" s="9">
        <f t="shared" si="46"/>
        <v>0.29601027484554021</v>
      </c>
      <c r="N418" s="5">
        <v>1</v>
      </c>
      <c r="O418" s="10">
        <f t="shared" si="47"/>
        <v>0.29601027484554021</v>
      </c>
    </row>
    <row r="419" spans="2:15" ht="13.5" customHeight="1">
      <c r="B419" s="25">
        <v>95</v>
      </c>
      <c r="C419" s="25"/>
      <c r="D419" s="25"/>
      <c r="E419" s="31"/>
      <c r="F419" s="15" t="s">
        <v>19</v>
      </c>
      <c r="G419" s="6">
        <v>22816.85</v>
      </c>
      <c r="H419" s="2">
        <v>3417.98</v>
      </c>
      <c r="I419" s="2">
        <v>6080</v>
      </c>
      <c r="J419" s="2"/>
      <c r="K419" s="2">
        <f t="shared" si="45"/>
        <v>32314.829999999998</v>
      </c>
      <c r="L419" s="8">
        <v>9000</v>
      </c>
      <c r="M419" s="9">
        <f t="shared" si="46"/>
        <v>0.27850989777758389</v>
      </c>
      <c r="N419" s="5">
        <v>1</v>
      </c>
      <c r="O419" s="10">
        <f t="shared" si="47"/>
        <v>0.27850989777758389</v>
      </c>
    </row>
    <row r="420" spans="2:15" ht="13.5" customHeight="1">
      <c r="B420" s="25">
        <v>96</v>
      </c>
      <c r="C420" s="25"/>
      <c r="D420" s="25"/>
      <c r="E420" s="31"/>
      <c r="F420" s="15" t="s">
        <v>19</v>
      </c>
      <c r="G420" s="6">
        <v>20906.37</v>
      </c>
      <c r="H420" s="2">
        <v>3417.98</v>
      </c>
      <c r="I420" s="2">
        <v>6080</v>
      </c>
      <c r="J420" s="2"/>
      <c r="K420" s="2">
        <f t="shared" si="45"/>
        <v>30404.35</v>
      </c>
      <c r="L420" s="8">
        <v>9000</v>
      </c>
      <c r="M420" s="9">
        <f t="shared" si="46"/>
        <v>0.29601027484554021</v>
      </c>
      <c r="N420" s="5">
        <v>1</v>
      </c>
      <c r="O420" s="10">
        <f t="shared" si="47"/>
        <v>0.29601027484554021</v>
      </c>
    </row>
    <row r="421" spans="2:15" ht="13.5" customHeight="1">
      <c r="B421" s="25">
        <v>97</v>
      </c>
      <c r="C421" s="25"/>
      <c r="D421" s="25"/>
      <c r="E421" s="31"/>
      <c r="F421" s="15" t="s">
        <v>19</v>
      </c>
      <c r="G421" s="6">
        <v>22816.85</v>
      </c>
      <c r="H421" s="2">
        <v>3417.98</v>
      </c>
      <c r="I421" s="2">
        <v>6080</v>
      </c>
      <c r="J421" s="2"/>
      <c r="K421" s="2">
        <f t="shared" si="45"/>
        <v>32314.829999999998</v>
      </c>
      <c r="L421" s="8">
        <v>9000</v>
      </c>
      <c r="M421" s="9">
        <f t="shared" si="46"/>
        <v>0.27850989777758389</v>
      </c>
      <c r="N421" s="5">
        <v>1</v>
      </c>
      <c r="O421" s="10">
        <f t="shared" si="47"/>
        <v>0.27850989777758389</v>
      </c>
    </row>
    <row r="422" spans="2:15" ht="13.5" customHeight="1">
      <c r="B422" s="25">
        <v>98</v>
      </c>
      <c r="C422" s="25"/>
      <c r="D422" s="25"/>
      <c r="E422" s="31"/>
      <c r="F422" s="15" t="s">
        <v>19</v>
      </c>
      <c r="G422" s="6">
        <v>22816.85</v>
      </c>
      <c r="H422" s="2">
        <v>3417.98</v>
      </c>
      <c r="I422" s="2">
        <v>6080</v>
      </c>
      <c r="J422" s="2"/>
      <c r="K422" s="2">
        <f t="shared" si="45"/>
        <v>32314.829999999998</v>
      </c>
      <c r="L422" s="8">
        <v>9000</v>
      </c>
      <c r="M422" s="9">
        <f t="shared" si="46"/>
        <v>0.27850989777758389</v>
      </c>
      <c r="N422" s="5">
        <v>1</v>
      </c>
      <c r="O422" s="10">
        <f t="shared" si="47"/>
        <v>0.27850989777758389</v>
      </c>
    </row>
    <row r="423" spans="2:15" ht="13.5" customHeight="1">
      <c r="B423" s="25">
        <v>99</v>
      </c>
      <c r="C423" s="25"/>
      <c r="D423" s="25"/>
      <c r="E423" s="31"/>
      <c r="F423" s="15" t="s">
        <v>19</v>
      </c>
      <c r="G423" s="6">
        <v>20906.37</v>
      </c>
      <c r="H423" s="2">
        <v>3417.98</v>
      </c>
      <c r="I423" s="2">
        <v>6080</v>
      </c>
      <c r="J423" s="2"/>
      <c r="K423" s="2">
        <f t="shared" si="45"/>
        <v>30404.35</v>
      </c>
      <c r="L423" s="8">
        <v>9000</v>
      </c>
      <c r="M423" s="9">
        <f t="shared" si="46"/>
        <v>0.29601027484554021</v>
      </c>
      <c r="N423" s="5">
        <v>1</v>
      </c>
      <c r="O423" s="10">
        <f t="shared" si="47"/>
        <v>0.29601027484554021</v>
      </c>
    </row>
    <row r="424" spans="2:15" ht="13.5" customHeight="1">
      <c r="B424" s="25">
        <v>100</v>
      </c>
      <c r="C424" s="25"/>
      <c r="D424" s="25"/>
      <c r="E424" s="31"/>
      <c r="F424" s="15" t="s">
        <v>19</v>
      </c>
      <c r="G424" s="6">
        <v>20906.37</v>
      </c>
      <c r="H424" s="2">
        <v>3417.98</v>
      </c>
      <c r="I424" s="2">
        <v>6080</v>
      </c>
      <c r="J424" s="2"/>
      <c r="K424" s="2">
        <f t="shared" si="45"/>
        <v>30404.35</v>
      </c>
      <c r="L424" s="8">
        <v>9000</v>
      </c>
      <c r="M424" s="9">
        <f t="shared" si="46"/>
        <v>0.29601027484554021</v>
      </c>
      <c r="N424" s="5">
        <v>1</v>
      </c>
      <c r="O424" s="10">
        <f t="shared" si="47"/>
        <v>0.29601027484554021</v>
      </c>
    </row>
    <row r="425" spans="2:15" ht="13.5" customHeight="1">
      <c r="B425" s="25">
        <v>101</v>
      </c>
      <c r="C425" s="25"/>
      <c r="D425" s="25"/>
      <c r="E425" s="31"/>
      <c r="F425" s="15" t="s">
        <v>19</v>
      </c>
      <c r="G425" s="6">
        <v>20906.37</v>
      </c>
      <c r="H425" s="2">
        <v>3417.98</v>
      </c>
      <c r="I425" s="2">
        <v>6080</v>
      </c>
      <c r="J425" s="2"/>
      <c r="K425" s="2">
        <f t="shared" si="45"/>
        <v>30404.35</v>
      </c>
      <c r="L425" s="8">
        <v>9000</v>
      </c>
      <c r="M425" s="9">
        <f t="shared" si="46"/>
        <v>0.29601027484554021</v>
      </c>
      <c r="N425" s="5">
        <v>1</v>
      </c>
      <c r="O425" s="10">
        <f t="shared" si="47"/>
        <v>0.29601027484554021</v>
      </c>
    </row>
    <row r="426" spans="2:15" ht="13.5" customHeight="1">
      <c r="B426" s="25">
        <v>102</v>
      </c>
      <c r="C426" s="25"/>
      <c r="D426" s="25"/>
      <c r="E426" s="31"/>
      <c r="F426" s="15" t="s">
        <v>19</v>
      </c>
      <c r="G426" s="6">
        <v>26000.98</v>
      </c>
      <c r="H426" s="2">
        <v>3417.98</v>
      </c>
      <c r="I426" s="2">
        <v>6080</v>
      </c>
      <c r="J426" s="2"/>
      <c r="K426" s="2">
        <f t="shared" si="45"/>
        <v>35498.959999999999</v>
      </c>
      <c r="L426" s="8">
        <v>9000</v>
      </c>
      <c r="M426" s="9">
        <f t="shared" si="46"/>
        <v>0.25352855407595037</v>
      </c>
      <c r="N426" s="5">
        <v>1</v>
      </c>
      <c r="O426" s="10">
        <f t="shared" si="47"/>
        <v>0.25352855407595037</v>
      </c>
    </row>
    <row r="427" spans="2:15" ht="13.5" customHeight="1">
      <c r="B427" s="25">
        <v>103</v>
      </c>
      <c r="C427" s="25"/>
      <c r="D427" s="25"/>
      <c r="E427" s="31"/>
      <c r="F427" s="15" t="s">
        <v>19</v>
      </c>
      <c r="G427" s="6">
        <v>20906.37</v>
      </c>
      <c r="H427" s="2">
        <v>3417.98</v>
      </c>
      <c r="I427" s="2">
        <v>6080</v>
      </c>
      <c r="J427" s="2"/>
      <c r="K427" s="2">
        <f t="shared" si="45"/>
        <v>30404.35</v>
      </c>
      <c r="L427" s="8">
        <v>9000</v>
      </c>
      <c r="M427" s="9">
        <f t="shared" si="46"/>
        <v>0.29601027484554021</v>
      </c>
      <c r="N427" s="5">
        <v>1</v>
      </c>
      <c r="O427" s="10">
        <f t="shared" si="47"/>
        <v>0.29601027484554021</v>
      </c>
    </row>
    <row r="428" spans="2:15" ht="13.5" customHeight="1">
      <c r="B428" s="25">
        <v>104</v>
      </c>
      <c r="C428" s="25"/>
      <c r="D428" s="25"/>
      <c r="E428" s="31"/>
      <c r="F428" s="15" t="s">
        <v>19</v>
      </c>
      <c r="G428" s="6">
        <v>20906.37</v>
      </c>
      <c r="H428" s="2">
        <v>3417.98</v>
      </c>
      <c r="I428" s="2">
        <v>6080</v>
      </c>
      <c r="J428" s="2"/>
      <c r="K428" s="2">
        <f t="shared" si="45"/>
        <v>30404.35</v>
      </c>
      <c r="L428" s="8">
        <v>9000</v>
      </c>
      <c r="M428" s="9">
        <f t="shared" si="46"/>
        <v>0.29601027484554021</v>
      </c>
      <c r="N428" s="5">
        <v>1</v>
      </c>
      <c r="O428" s="10">
        <f t="shared" si="47"/>
        <v>0.29601027484554021</v>
      </c>
    </row>
    <row r="429" spans="2:15" ht="13.5" customHeight="1">
      <c r="B429" s="25">
        <v>105</v>
      </c>
      <c r="C429" s="25"/>
      <c r="D429" s="25"/>
      <c r="E429" s="31"/>
      <c r="F429" s="15" t="s">
        <v>19</v>
      </c>
      <c r="G429" s="6">
        <v>20906.37</v>
      </c>
      <c r="H429" s="2">
        <v>3417.98</v>
      </c>
      <c r="I429" s="2">
        <v>6080</v>
      </c>
      <c r="J429" s="2"/>
      <c r="K429" s="2">
        <f t="shared" si="45"/>
        <v>30404.35</v>
      </c>
      <c r="L429" s="8">
        <v>9000</v>
      </c>
      <c r="M429" s="9">
        <f t="shared" si="46"/>
        <v>0.29601027484554021</v>
      </c>
      <c r="N429" s="5">
        <v>1</v>
      </c>
      <c r="O429" s="10">
        <f t="shared" si="47"/>
        <v>0.29601027484554021</v>
      </c>
    </row>
    <row r="430" spans="2:15" ht="13.5" customHeight="1">
      <c r="B430" s="25">
        <v>106</v>
      </c>
      <c r="C430" s="25"/>
      <c r="D430" s="25"/>
      <c r="E430" s="31"/>
      <c r="F430" s="15" t="s">
        <v>19</v>
      </c>
      <c r="G430" s="6">
        <v>20906.37</v>
      </c>
      <c r="H430" s="2">
        <v>3417.98</v>
      </c>
      <c r="I430" s="2">
        <v>6080</v>
      </c>
      <c r="J430" s="2"/>
      <c r="K430" s="2">
        <f t="shared" si="45"/>
        <v>30404.35</v>
      </c>
      <c r="L430" s="8">
        <v>9000</v>
      </c>
      <c r="M430" s="9">
        <f t="shared" si="46"/>
        <v>0.29601027484554021</v>
      </c>
      <c r="N430" s="5">
        <v>1</v>
      </c>
      <c r="O430" s="10">
        <f t="shared" si="47"/>
        <v>0.29601027484554021</v>
      </c>
    </row>
    <row r="431" spans="2:15" ht="13.5" customHeight="1">
      <c r="B431" s="25">
        <v>107</v>
      </c>
      <c r="C431" s="25"/>
      <c r="D431" s="25"/>
      <c r="E431" s="31"/>
      <c r="F431" s="15" t="s">
        <v>19</v>
      </c>
      <c r="G431" s="6">
        <v>20906.37</v>
      </c>
      <c r="H431" s="2">
        <v>3417.98</v>
      </c>
      <c r="I431" s="2">
        <v>6080</v>
      </c>
      <c r="J431" s="2"/>
      <c r="K431" s="2">
        <f t="shared" si="45"/>
        <v>30404.35</v>
      </c>
      <c r="L431" s="8">
        <v>9000</v>
      </c>
      <c r="M431" s="9">
        <f t="shared" si="46"/>
        <v>0.29601027484554021</v>
      </c>
      <c r="N431" s="5">
        <v>1</v>
      </c>
      <c r="O431" s="10">
        <f t="shared" si="47"/>
        <v>0.29601027484554021</v>
      </c>
    </row>
    <row r="432" spans="2:15" ht="13.5" customHeight="1">
      <c r="B432" s="25">
        <v>108</v>
      </c>
      <c r="C432" s="25"/>
      <c r="D432" s="25"/>
      <c r="E432" s="31"/>
      <c r="F432" s="15" t="s">
        <v>19</v>
      </c>
      <c r="G432" s="6">
        <v>20906.37</v>
      </c>
      <c r="H432" s="2">
        <v>3417.98</v>
      </c>
      <c r="I432" s="2">
        <v>6080</v>
      </c>
      <c r="J432" s="2"/>
      <c r="K432" s="2">
        <f t="shared" si="45"/>
        <v>30404.35</v>
      </c>
      <c r="L432" s="8">
        <v>9000</v>
      </c>
      <c r="M432" s="9">
        <f t="shared" si="46"/>
        <v>0.29601027484554021</v>
      </c>
      <c r="N432" s="5">
        <v>1</v>
      </c>
      <c r="O432" s="10">
        <f t="shared" si="47"/>
        <v>0.29601027484554021</v>
      </c>
    </row>
    <row r="433" spans="2:15" ht="13.5" customHeight="1">
      <c r="B433" s="25">
        <v>109</v>
      </c>
      <c r="C433" s="25"/>
      <c r="D433" s="25"/>
      <c r="E433" s="31"/>
      <c r="F433" s="15" t="s">
        <v>19</v>
      </c>
      <c r="G433" s="6">
        <v>22816.85</v>
      </c>
      <c r="H433" s="2">
        <v>3417.98</v>
      </c>
      <c r="I433" s="2">
        <v>6080</v>
      </c>
      <c r="J433" s="2"/>
      <c r="K433" s="2">
        <f t="shared" si="45"/>
        <v>32314.829999999998</v>
      </c>
      <c r="L433" s="8">
        <v>9000</v>
      </c>
      <c r="M433" s="9">
        <f t="shared" si="46"/>
        <v>0.27850989777758389</v>
      </c>
      <c r="N433" s="5">
        <v>1</v>
      </c>
      <c r="O433" s="10">
        <f t="shared" si="47"/>
        <v>0.27850989777758389</v>
      </c>
    </row>
    <row r="434" spans="2:15" ht="13.5" customHeight="1">
      <c r="B434" s="25">
        <v>110</v>
      </c>
      <c r="C434" s="25"/>
      <c r="D434" s="25"/>
      <c r="E434" s="31"/>
      <c r="F434" s="15" t="s">
        <v>19</v>
      </c>
      <c r="G434" s="6">
        <v>20906.37</v>
      </c>
      <c r="H434" s="2">
        <v>3417.98</v>
      </c>
      <c r="I434" s="2">
        <v>6080</v>
      </c>
      <c r="J434" s="2"/>
      <c r="K434" s="2">
        <f t="shared" si="45"/>
        <v>30404.35</v>
      </c>
      <c r="L434" s="8">
        <v>9000</v>
      </c>
      <c r="M434" s="9">
        <f t="shared" si="46"/>
        <v>0.29601027484554021</v>
      </c>
      <c r="N434" s="5">
        <v>1</v>
      </c>
      <c r="O434" s="10">
        <f t="shared" si="47"/>
        <v>0.29601027484554021</v>
      </c>
    </row>
    <row r="435" spans="2:15" ht="13.5" customHeight="1">
      <c r="B435" s="25">
        <v>111</v>
      </c>
      <c r="C435" s="25"/>
      <c r="D435" s="25"/>
      <c r="E435" s="31"/>
      <c r="F435" s="15" t="s">
        <v>19</v>
      </c>
      <c r="G435" s="6">
        <v>22816.85</v>
      </c>
      <c r="H435" s="2">
        <v>3417.98</v>
      </c>
      <c r="I435" s="2">
        <v>6080</v>
      </c>
      <c r="J435" s="2"/>
      <c r="K435" s="2">
        <f t="shared" si="45"/>
        <v>32314.829999999998</v>
      </c>
      <c r="L435" s="8">
        <v>9000</v>
      </c>
      <c r="M435" s="9">
        <f t="shared" si="46"/>
        <v>0.27850989777758389</v>
      </c>
      <c r="N435" s="5">
        <v>1</v>
      </c>
      <c r="O435" s="10">
        <f t="shared" si="47"/>
        <v>0.27850989777758389</v>
      </c>
    </row>
    <row r="436" spans="2:15" ht="13.5" customHeight="1">
      <c r="B436" s="25">
        <v>112</v>
      </c>
      <c r="C436" s="25"/>
      <c r="D436" s="25"/>
      <c r="E436" s="31"/>
      <c r="F436" s="15" t="s">
        <v>19</v>
      </c>
      <c r="G436" s="6">
        <v>22816.85</v>
      </c>
      <c r="H436" s="2">
        <v>3417.98</v>
      </c>
      <c r="I436" s="2">
        <v>6080</v>
      </c>
      <c r="J436" s="2"/>
      <c r="K436" s="2">
        <f t="shared" si="45"/>
        <v>32314.829999999998</v>
      </c>
      <c r="L436" s="8">
        <v>9000</v>
      </c>
      <c r="M436" s="9">
        <f t="shared" si="46"/>
        <v>0.27850989777758389</v>
      </c>
      <c r="N436" s="5">
        <v>1</v>
      </c>
      <c r="O436" s="10">
        <f t="shared" si="47"/>
        <v>0.27850989777758389</v>
      </c>
    </row>
    <row r="437" spans="2:15" ht="13.5" customHeight="1">
      <c r="B437" s="25">
        <v>113</v>
      </c>
      <c r="C437" s="25"/>
      <c r="D437" s="25"/>
      <c r="E437" s="31"/>
      <c r="F437" s="15" t="s">
        <v>19</v>
      </c>
      <c r="G437" s="6">
        <v>20906.37</v>
      </c>
      <c r="H437" s="2">
        <v>3417.98</v>
      </c>
      <c r="I437" s="2">
        <v>6080</v>
      </c>
      <c r="J437" s="2"/>
      <c r="K437" s="2">
        <f t="shared" si="45"/>
        <v>30404.35</v>
      </c>
      <c r="L437" s="8">
        <v>9000</v>
      </c>
      <c r="M437" s="9">
        <f t="shared" si="46"/>
        <v>0.29601027484554021</v>
      </c>
      <c r="N437" s="5">
        <v>1</v>
      </c>
      <c r="O437" s="10">
        <f t="shared" si="47"/>
        <v>0.29601027484554021</v>
      </c>
    </row>
    <row r="438" spans="2:15" ht="13.5" customHeight="1">
      <c r="B438" s="25">
        <v>114</v>
      </c>
      <c r="C438" s="25"/>
      <c r="D438" s="25"/>
      <c r="E438" s="31"/>
      <c r="F438" s="15" t="s">
        <v>19</v>
      </c>
      <c r="G438" s="6">
        <v>22816.85</v>
      </c>
      <c r="H438" s="2">
        <v>3417.98</v>
      </c>
      <c r="I438" s="2">
        <v>6080</v>
      </c>
      <c r="J438" s="2"/>
      <c r="K438" s="2">
        <f t="shared" si="45"/>
        <v>32314.829999999998</v>
      </c>
      <c r="L438" s="8">
        <v>9000</v>
      </c>
      <c r="M438" s="9">
        <f t="shared" si="46"/>
        <v>0.27850989777758389</v>
      </c>
      <c r="N438" s="5">
        <v>1</v>
      </c>
      <c r="O438" s="10">
        <f t="shared" si="47"/>
        <v>0.27850989777758389</v>
      </c>
    </row>
    <row r="439" spans="2:15" ht="13.5" customHeight="1">
      <c r="B439" s="25">
        <v>115</v>
      </c>
      <c r="C439" s="25"/>
      <c r="D439" s="25"/>
      <c r="E439" s="31"/>
      <c r="F439" s="15" t="s">
        <v>19</v>
      </c>
      <c r="G439" s="6">
        <v>20906.37</v>
      </c>
      <c r="H439" s="2">
        <v>3417.98</v>
      </c>
      <c r="I439" s="2">
        <v>6080</v>
      </c>
      <c r="J439" s="2"/>
      <c r="K439" s="2">
        <f t="shared" si="45"/>
        <v>30404.35</v>
      </c>
      <c r="L439" s="8">
        <v>9000</v>
      </c>
      <c r="M439" s="9">
        <f t="shared" si="46"/>
        <v>0.29601027484554021</v>
      </c>
      <c r="N439" s="5">
        <v>1</v>
      </c>
      <c r="O439" s="10">
        <f t="shared" si="47"/>
        <v>0.29601027484554021</v>
      </c>
    </row>
    <row r="440" spans="2:15" ht="13.5" customHeight="1">
      <c r="B440" s="25">
        <v>116</v>
      </c>
      <c r="C440" s="25"/>
      <c r="D440" s="25"/>
      <c r="E440" s="31"/>
      <c r="F440" s="15" t="s">
        <v>19</v>
      </c>
      <c r="G440" s="6">
        <v>20906.37</v>
      </c>
      <c r="H440" s="2">
        <v>3417.98</v>
      </c>
      <c r="I440" s="2">
        <v>6080</v>
      </c>
      <c r="J440" s="2"/>
      <c r="K440" s="2">
        <f t="shared" si="45"/>
        <v>30404.35</v>
      </c>
      <c r="L440" s="8">
        <v>9000</v>
      </c>
      <c r="M440" s="9">
        <f t="shared" si="46"/>
        <v>0.29601027484554021</v>
      </c>
      <c r="N440" s="5">
        <v>1</v>
      </c>
      <c r="O440" s="10">
        <f t="shared" si="47"/>
        <v>0.29601027484554021</v>
      </c>
    </row>
    <row r="441" spans="2:15" ht="13.5" customHeight="1">
      <c r="B441" s="25">
        <v>117</v>
      </c>
      <c r="C441" s="25"/>
      <c r="D441" s="25"/>
      <c r="E441" s="31"/>
      <c r="F441" s="15" t="s">
        <v>19</v>
      </c>
      <c r="G441" s="6">
        <v>22816.85</v>
      </c>
      <c r="H441" s="2">
        <v>3417.98</v>
      </c>
      <c r="I441" s="2">
        <v>6080</v>
      </c>
      <c r="J441" s="2"/>
      <c r="K441" s="2">
        <f t="shared" si="45"/>
        <v>32314.829999999998</v>
      </c>
      <c r="L441" s="8">
        <v>9000</v>
      </c>
      <c r="M441" s="9">
        <f t="shared" si="46"/>
        <v>0.27850989777758389</v>
      </c>
      <c r="N441" s="5">
        <v>1</v>
      </c>
      <c r="O441" s="10">
        <f t="shared" si="47"/>
        <v>0.27850989777758389</v>
      </c>
    </row>
    <row r="442" spans="2:15" ht="13.5" customHeight="1">
      <c r="B442" s="25">
        <v>118</v>
      </c>
      <c r="C442" s="25"/>
      <c r="D442" s="25"/>
      <c r="E442" s="31"/>
      <c r="F442" s="15" t="s">
        <v>19</v>
      </c>
      <c r="G442" s="6">
        <v>22816.85</v>
      </c>
      <c r="H442" s="2">
        <v>3417.98</v>
      </c>
      <c r="I442" s="2">
        <v>6080</v>
      </c>
      <c r="J442" s="2"/>
      <c r="K442" s="2">
        <f t="shared" si="45"/>
        <v>32314.829999999998</v>
      </c>
      <c r="L442" s="8">
        <v>9000</v>
      </c>
      <c r="M442" s="9">
        <f t="shared" si="46"/>
        <v>0.27850989777758389</v>
      </c>
      <c r="N442" s="5">
        <v>1</v>
      </c>
      <c r="O442" s="10">
        <f t="shared" si="47"/>
        <v>0.27850989777758389</v>
      </c>
    </row>
    <row r="443" spans="2:15" ht="13.5" customHeight="1">
      <c r="B443" s="25">
        <v>119</v>
      </c>
      <c r="C443" s="25"/>
      <c r="D443" s="25"/>
      <c r="E443" s="31"/>
      <c r="F443" s="15" t="s">
        <v>19</v>
      </c>
      <c r="G443" s="6">
        <v>20906.37</v>
      </c>
      <c r="H443" s="2">
        <v>3417.98</v>
      </c>
      <c r="I443" s="2">
        <v>6080</v>
      </c>
      <c r="J443" s="2"/>
      <c r="K443" s="2">
        <f t="shared" si="45"/>
        <v>30404.35</v>
      </c>
      <c r="L443" s="8">
        <v>9000</v>
      </c>
      <c r="M443" s="9">
        <f t="shared" si="46"/>
        <v>0.29601027484554021</v>
      </c>
      <c r="N443" s="5">
        <v>1</v>
      </c>
      <c r="O443" s="10">
        <f t="shared" si="47"/>
        <v>0.29601027484554021</v>
      </c>
    </row>
    <row r="444" spans="2:15" ht="13.5" customHeight="1">
      <c r="B444" s="25">
        <v>120</v>
      </c>
      <c r="C444" s="25"/>
      <c r="D444" s="25"/>
      <c r="E444" s="31"/>
      <c r="F444" s="15" t="s">
        <v>19</v>
      </c>
      <c r="G444" s="6">
        <v>22816.85</v>
      </c>
      <c r="H444" s="2">
        <v>3417.98</v>
      </c>
      <c r="I444" s="2">
        <v>6080</v>
      </c>
      <c r="J444" s="2"/>
      <c r="K444" s="2">
        <f t="shared" si="45"/>
        <v>32314.829999999998</v>
      </c>
      <c r="L444" s="8">
        <v>9000</v>
      </c>
      <c r="M444" s="9">
        <f t="shared" si="46"/>
        <v>0.27850989777758389</v>
      </c>
      <c r="N444" s="5">
        <v>1</v>
      </c>
      <c r="O444" s="10">
        <f t="shared" si="47"/>
        <v>0.27850989777758389</v>
      </c>
    </row>
    <row r="445" spans="2:15" ht="13.5" customHeight="1">
      <c r="B445" s="25">
        <v>121</v>
      </c>
      <c r="C445" s="25"/>
      <c r="D445" s="25"/>
      <c r="E445" s="31"/>
      <c r="F445" s="15" t="s">
        <v>19</v>
      </c>
      <c r="G445" s="6">
        <v>20906.37</v>
      </c>
      <c r="H445" s="2">
        <v>3417.98</v>
      </c>
      <c r="I445" s="2">
        <v>6080</v>
      </c>
      <c r="J445" s="2"/>
      <c r="K445" s="2">
        <f t="shared" si="45"/>
        <v>30404.35</v>
      </c>
      <c r="L445" s="8">
        <v>9000</v>
      </c>
      <c r="M445" s="9">
        <f t="shared" si="46"/>
        <v>0.29601027484554021</v>
      </c>
      <c r="N445" s="5">
        <v>1</v>
      </c>
      <c r="O445" s="10">
        <f t="shared" si="47"/>
        <v>0.29601027484554021</v>
      </c>
    </row>
    <row r="446" spans="2:15" ht="13.5" customHeight="1">
      <c r="B446" s="25">
        <v>122</v>
      </c>
      <c r="C446" s="25"/>
      <c r="D446" s="25"/>
      <c r="E446" s="31"/>
      <c r="F446" s="15" t="s">
        <v>19</v>
      </c>
      <c r="G446" s="6">
        <v>20906.37</v>
      </c>
      <c r="H446" s="2">
        <v>3417.98</v>
      </c>
      <c r="I446" s="2">
        <v>6080</v>
      </c>
      <c r="J446" s="2"/>
      <c r="K446" s="2">
        <f t="shared" si="45"/>
        <v>30404.35</v>
      </c>
      <c r="L446" s="8">
        <v>9000</v>
      </c>
      <c r="M446" s="9">
        <f t="shared" si="46"/>
        <v>0.29601027484554021</v>
      </c>
      <c r="N446" s="5">
        <v>1</v>
      </c>
      <c r="O446" s="10">
        <f t="shared" si="47"/>
        <v>0.29601027484554021</v>
      </c>
    </row>
    <row r="447" spans="2:15" ht="13.5" customHeight="1">
      <c r="B447" s="25">
        <v>123</v>
      </c>
      <c r="C447" s="25"/>
      <c r="D447" s="25"/>
      <c r="E447" s="31"/>
      <c r="F447" s="15" t="s">
        <v>19</v>
      </c>
      <c r="G447" s="6">
        <v>20906.37</v>
      </c>
      <c r="H447" s="2">
        <v>3417.98</v>
      </c>
      <c r="I447" s="2">
        <v>6080</v>
      </c>
      <c r="J447" s="2"/>
      <c r="K447" s="2">
        <f t="shared" si="45"/>
        <v>30404.35</v>
      </c>
      <c r="L447" s="8">
        <v>9000</v>
      </c>
      <c r="M447" s="9">
        <f t="shared" si="46"/>
        <v>0.29601027484554021</v>
      </c>
      <c r="N447" s="5">
        <v>1</v>
      </c>
      <c r="O447" s="10">
        <f t="shared" si="47"/>
        <v>0.29601027484554021</v>
      </c>
    </row>
    <row r="448" spans="2:15" ht="13.5" customHeight="1">
      <c r="B448" s="25">
        <v>124</v>
      </c>
      <c r="C448" s="25"/>
      <c r="D448" s="25"/>
      <c r="E448" s="31"/>
      <c r="F448" s="15" t="s">
        <v>19</v>
      </c>
      <c r="G448" s="6">
        <v>20906.37</v>
      </c>
      <c r="H448" s="2">
        <v>3417.98</v>
      </c>
      <c r="I448" s="2">
        <v>6080</v>
      </c>
      <c r="J448" s="2"/>
      <c r="K448" s="2">
        <f t="shared" si="45"/>
        <v>30404.35</v>
      </c>
      <c r="L448" s="8">
        <v>9000</v>
      </c>
      <c r="M448" s="9">
        <f t="shared" si="46"/>
        <v>0.29601027484554021</v>
      </c>
      <c r="N448" s="5">
        <v>1</v>
      </c>
      <c r="O448" s="10">
        <f t="shared" si="47"/>
        <v>0.29601027484554021</v>
      </c>
    </row>
    <row r="449" spans="2:15" ht="13.5" customHeight="1">
      <c r="B449" s="25">
        <v>125</v>
      </c>
      <c r="C449" s="25"/>
      <c r="D449" s="25"/>
      <c r="E449" s="31"/>
      <c r="F449" s="15" t="s">
        <v>19</v>
      </c>
      <c r="G449" s="6">
        <v>20906.37</v>
      </c>
      <c r="H449" s="2">
        <v>3417.98</v>
      </c>
      <c r="I449" s="2">
        <v>6080</v>
      </c>
      <c r="J449" s="2"/>
      <c r="K449" s="2">
        <f t="shared" si="45"/>
        <v>30404.35</v>
      </c>
      <c r="L449" s="8">
        <v>9000</v>
      </c>
      <c r="M449" s="9">
        <f t="shared" si="46"/>
        <v>0.29601027484554021</v>
      </c>
      <c r="N449" s="5">
        <v>1</v>
      </c>
      <c r="O449" s="10">
        <f t="shared" si="47"/>
        <v>0.29601027484554021</v>
      </c>
    </row>
    <row r="450" spans="2:15" ht="13.5" customHeight="1">
      <c r="B450" s="25">
        <v>126</v>
      </c>
      <c r="C450" s="25"/>
      <c r="D450" s="25"/>
      <c r="E450" s="31"/>
      <c r="F450" s="15" t="s">
        <v>19</v>
      </c>
      <c r="G450" s="6">
        <v>20906.37</v>
      </c>
      <c r="H450" s="2">
        <v>3417.98</v>
      </c>
      <c r="I450" s="2">
        <v>6080</v>
      </c>
      <c r="J450" s="2"/>
      <c r="K450" s="2">
        <f t="shared" si="45"/>
        <v>30404.35</v>
      </c>
      <c r="L450" s="8">
        <v>9000</v>
      </c>
      <c r="M450" s="9">
        <f t="shared" si="46"/>
        <v>0.29601027484554021</v>
      </c>
      <c r="N450" s="5">
        <v>1</v>
      </c>
      <c r="O450" s="10">
        <f t="shared" si="47"/>
        <v>0.29601027484554021</v>
      </c>
    </row>
    <row r="451" spans="2:15" ht="13.5" customHeight="1">
      <c r="B451" s="25">
        <v>127</v>
      </c>
      <c r="C451" s="25"/>
      <c r="D451" s="25"/>
      <c r="E451" s="32"/>
      <c r="F451" s="15" t="s">
        <v>19</v>
      </c>
      <c r="G451" s="6">
        <v>26000.98</v>
      </c>
      <c r="H451" s="2">
        <v>3417.98</v>
      </c>
      <c r="I451" s="2">
        <v>6080</v>
      </c>
      <c r="J451" s="2"/>
      <c r="K451" s="2">
        <f t="shared" si="45"/>
        <v>35498.959999999999</v>
      </c>
      <c r="L451" s="8">
        <v>9000</v>
      </c>
      <c r="M451" s="9">
        <f t="shared" si="46"/>
        <v>0.25352855407595037</v>
      </c>
      <c r="N451" s="5">
        <v>1</v>
      </c>
      <c r="O451" s="10">
        <f t="shared" si="47"/>
        <v>0.25352855407595037</v>
      </c>
    </row>
    <row r="452" spans="2:15" ht="13.5" customHeight="1">
      <c r="B452" s="25">
        <v>128</v>
      </c>
      <c r="C452" s="25"/>
      <c r="D452" s="25"/>
      <c r="E452" s="26"/>
      <c r="F452" s="15" t="s">
        <v>19</v>
      </c>
      <c r="G452" s="6">
        <v>22816.85</v>
      </c>
      <c r="H452" s="2">
        <v>3417.98</v>
      </c>
      <c r="I452" s="2">
        <v>6080</v>
      </c>
      <c r="J452" s="2"/>
      <c r="K452" s="2">
        <f t="shared" si="45"/>
        <v>32314.829999999998</v>
      </c>
      <c r="L452" s="8">
        <v>9000</v>
      </c>
      <c r="M452" s="9">
        <f t="shared" si="46"/>
        <v>0.27850989777758389</v>
      </c>
      <c r="N452" s="5">
        <v>1</v>
      </c>
      <c r="O452" s="10">
        <f t="shared" si="47"/>
        <v>0.27850989777758389</v>
      </c>
    </row>
    <row r="453" spans="2:15" ht="13.5" customHeight="1">
      <c r="B453" s="25">
        <v>129</v>
      </c>
      <c r="C453" s="25"/>
      <c r="D453" s="25"/>
      <c r="E453" s="26"/>
      <c r="F453" s="15" t="s">
        <v>19</v>
      </c>
      <c r="G453" s="6">
        <v>20906.37</v>
      </c>
      <c r="H453" s="2">
        <v>3417.98</v>
      </c>
      <c r="I453" s="2">
        <v>6080</v>
      </c>
      <c r="J453" s="2"/>
      <c r="K453" s="2">
        <f t="shared" si="45"/>
        <v>30404.35</v>
      </c>
      <c r="L453" s="8">
        <v>9000</v>
      </c>
      <c r="M453" s="9">
        <f t="shared" si="46"/>
        <v>0.29601027484554021</v>
      </c>
      <c r="N453" s="5">
        <v>1</v>
      </c>
      <c r="O453" s="10">
        <f t="shared" si="47"/>
        <v>0.29601027484554021</v>
      </c>
    </row>
    <row r="454" spans="2:15" ht="13.5" customHeight="1">
      <c r="B454" s="25">
        <v>130</v>
      </c>
      <c r="C454" s="25"/>
      <c r="D454" s="25"/>
      <c r="F454" s="15" t="s">
        <v>19</v>
      </c>
      <c r="G454" s="6">
        <v>29185.119999999999</v>
      </c>
      <c r="H454" s="2">
        <v>3417.98</v>
      </c>
      <c r="I454" s="2">
        <v>6080</v>
      </c>
      <c r="J454" s="2"/>
      <c r="K454" s="2">
        <f t="shared" ref="K454:K469" si="48">SUM(G454:I454)</f>
        <v>38683.1</v>
      </c>
      <c r="L454" s="8">
        <v>9000</v>
      </c>
      <c r="M454" s="9">
        <f t="shared" ref="M454:M469" si="49">L454/K454</f>
        <v>0.23265974030002767</v>
      </c>
      <c r="N454" s="5">
        <v>1</v>
      </c>
      <c r="O454" s="10">
        <f t="shared" ref="O454:O469" si="50">N454*M454</f>
        <v>0.23265974030002767</v>
      </c>
    </row>
    <row r="455" spans="2:15" ht="13.5" customHeight="1">
      <c r="B455" s="25">
        <v>131</v>
      </c>
      <c r="C455" s="25"/>
      <c r="D455" s="25"/>
      <c r="F455" s="15" t="s">
        <v>19</v>
      </c>
      <c r="G455" s="6">
        <v>20906.37</v>
      </c>
      <c r="H455" s="2">
        <v>3417.98</v>
      </c>
      <c r="I455" s="2">
        <v>6080</v>
      </c>
      <c r="J455" s="2"/>
      <c r="K455" s="2">
        <f t="shared" si="48"/>
        <v>30404.35</v>
      </c>
      <c r="L455" s="8">
        <v>9000</v>
      </c>
      <c r="M455" s="9">
        <f t="shared" si="49"/>
        <v>0.29601027484554021</v>
      </c>
      <c r="N455" s="5">
        <v>1</v>
      </c>
      <c r="O455" s="10">
        <f t="shared" si="50"/>
        <v>0.29601027484554021</v>
      </c>
    </row>
    <row r="456" spans="2:15" ht="13.5" customHeight="1">
      <c r="B456" s="25">
        <v>132</v>
      </c>
      <c r="C456" s="25"/>
      <c r="D456" s="25"/>
      <c r="E456" s="31"/>
      <c r="F456" s="15" t="s">
        <v>19</v>
      </c>
      <c r="G456" s="6">
        <v>22816.85</v>
      </c>
      <c r="H456" s="2">
        <v>3417.98</v>
      </c>
      <c r="I456" s="2">
        <v>6080</v>
      </c>
      <c r="J456" s="2"/>
      <c r="K456" s="2">
        <f t="shared" si="48"/>
        <v>32314.829999999998</v>
      </c>
      <c r="L456" s="8">
        <v>9000</v>
      </c>
      <c r="M456" s="9">
        <f t="shared" si="49"/>
        <v>0.27850989777758389</v>
      </c>
      <c r="N456" s="5">
        <v>1</v>
      </c>
      <c r="O456" s="10">
        <f t="shared" si="50"/>
        <v>0.27850989777758389</v>
      </c>
    </row>
    <row r="457" spans="2:15" ht="13.5" customHeight="1">
      <c r="B457" s="25">
        <v>133</v>
      </c>
      <c r="C457" s="25"/>
      <c r="D457" s="25"/>
      <c r="E457" s="31"/>
      <c r="F457" s="15" t="s">
        <v>19</v>
      </c>
      <c r="G457" s="6">
        <v>22816.85</v>
      </c>
      <c r="H457" s="2">
        <v>3417.98</v>
      </c>
      <c r="I457" s="2">
        <v>6080</v>
      </c>
      <c r="J457" s="2"/>
      <c r="K457" s="2">
        <f t="shared" si="48"/>
        <v>32314.829999999998</v>
      </c>
      <c r="L457" s="8">
        <v>9000</v>
      </c>
      <c r="M457" s="9">
        <f t="shared" si="49"/>
        <v>0.27850989777758389</v>
      </c>
      <c r="N457" s="5">
        <v>1</v>
      </c>
      <c r="O457" s="10">
        <f t="shared" si="50"/>
        <v>0.27850989777758389</v>
      </c>
    </row>
    <row r="458" spans="2:15" ht="13.5" customHeight="1">
      <c r="B458" s="25">
        <v>134</v>
      </c>
      <c r="C458" s="25"/>
      <c r="D458" s="25"/>
      <c r="E458" s="31"/>
      <c r="F458" s="15" t="s">
        <v>19</v>
      </c>
      <c r="G458" s="6">
        <v>22816.85</v>
      </c>
      <c r="H458" s="2">
        <v>3417.98</v>
      </c>
      <c r="I458" s="2">
        <v>6080</v>
      </c>
      <c r="J458" s="2"/>
      <c r="K458" s="2">
        <f t="shared" si="48"/>
        <v>32314.829999999998</v>
      </c>
      <c r="L458" s="8">
        <v>9000</v>
      </c>
      <c r="M458" s="9">
        <f t="shared" si="49"/>
        <v>0.27850989777758389</v>
      </c>
      <c r="N458" s="5">
        <v>1</v>
      </c>
      <c r="O458" s="10">
        <f t="shared" si="50"/>
        <v>0.27850989777758389</v>
      </c>
    </row>
    <row r="459" spans="2:15" ht="13.5" customHeight="1">
      <c r="B459" s="25">
        <v>135</v>
      </c>
      <c r="C459" s="25"/>
      <c r="D459" s="25"/>
      <c r="E459" s="31"/>
      <c r="F459" s="15" t="s">
        <v>19</v>
      </c>
      <c r="G459" s="6">
        <v>20906.37</v>
      </c>
      <c r="H459" s="2">
        <v>3417.98</v>
      </c>
      <c r="I459" s="2">
        <v>6080</v>
      </c>
      <c r="J459" s="2"/>
      <c r="K459" s="2">
        <f t="shared" si="48"/>
        <v>30404.35</v>
      </c>
      <c r="L459" s="8">
        <v>9000</v>
      </c>
      <c r="M459" s="9">
        <f t="shared" si="49"/>
        <v>0.29601027484554021</v>
      </c>
      <c r="N459" s="5">
        <v>1</v>
      </c>
      <c r="O459" s="10">
        <f t="shared" si="50"/>
        <v>0.29601027484554021</v>
      </c>
    </row>
    <row r="460" spans="2:15" ht="13.5" customHeight="1">
      <c r="B460" s="25">
        <v>136</v>
      </c>
      <c r="C460" s="25"/>
      <c r="D460" s="25"/>
      <c r="E460" s="31"/>
      <c r="F460" s="15" t="s">
        <v>19</v>
      </c>
      <c r="G460" s="6">
        <v>22816.85</v>
      </c>
      <c r="H460" s="2">
        <v>3417.98</v>
      </c>
      <c r="I460" s="2">
        <v>6080</v>
      </c>
      <c r="J460" s="2"/>
      <c r="K460" s="2">
        <f t="shared" si="48"/>
        <v>32314.829999999998</v>
      </c>
      <c r="L460" s="8">
        <v>9000</v>
      </c>
      <c r="M460" s="9">
        <f t="shared" si="49"/>
        <v>0.27850989777758389</v>
      </c>
      <c r="N460" s="5">
        <v>1</v>
      </c>
      <c r="O460" s="10">
        <f t="shared" si="50"/>
        <v>0.27850989777758389</v>
      </c>
    </row>
    <row r="461" spans="2:15" ht="13.5" customHeight="1">
      <c r="B461" s="25">
        <v>137</v>
      </c>
      <c r="C461" s="25"/>
      <c r="D461" s="25"/>
      <c r="E461" s="31"/>
      <c r="F461" s="15" t="s">
        <v>19</v>
      </c>
      <c r="G461" s="6">
        <v>22816.85</v>
      </c>
      <c r="H461" s="2">
        <v>3417.98</v>
      </c>
      <c r="I461" s="2">
        <v>6080</v>
      </c>
      <c r="J461" s="2"/>
      <c r="K461" s="2">
        <f t="shared" si="48"/>
        <v>32314.829999999998</v>
      </c>
      <c r="L461" s="8">
        <v>9000</v>
      </c>
      <c r="M461" s="9">
        <f t="shared" si="49"/>
        <v>0.27850989777758389</v>
      </c>
      <c r="N461" s="5">
        <v>1</v>
      </c>
      <c r="O461" s="10">
        <f t="shared" si="50"/>
        <v>0.27850989777758389</v>
      </c>
    </row>
    <row r="462" spans="2:15" ht="13.5" customHeight="1">
      <c r="B462" s="25">
        <v>138</v>
      </c>
      <c r="C462" s="25"/>
      <c r="D462" s="25"/>
      <c r="E462" s="31"/>
      <c r="F462" s="15" t="s">
        <v>19</v>
      </c>
      <c r="G462" s="6">
        <v>20906.37</v>
      </c>
      <c r="H462" s="2">
        <v>3417.98</v>
      </c>
      <c r="I462" s="2">
        <v>6080</v>
      </c>
      <c r="J462" s="2"/>
      <c r="K462" s="2">
        <f t="shared" si="48"/>
        <v>30404.35</v>
      </c>
      <c r="L462" s="8">
        <v>9000</v>
      </c>
      <c r="M462" s="9">
        <f t="shared" si="49"/>
        <v>0.29601027484554021</v>
      </c>
      <c r="N462" s="5">
        <v>1</v>
      </c>
      <c r="O462" s="10">
        <f t="shared" si="50"/>
        <v>0.29601027484554021</v>
      </c>
    </row>
    <row r="463" spans="2:15" ht="13.5" customHeight="1">
      <c r="B463" s="25">
        <v>139</v>
      </c>
      <c r="C463" s="25"/>
      <c r="D463" s="25"/>
      <c r="E463" s="31"/>
      <c r="F463" s="15" t="s">
        <v>19</v>
      </c>
      <c r="G463" s="6">
        <v>20906.37</v>
      </c>
      <c r="H463" s="2">
        <v>3417.98</v>
      </c>
      <c r="I463" s="2">
        <v>6080</v>
      </c>
      <c r="J463" s="2"/>
      <c r="K463" s="2">
        <f t="shared" si="48"/>
        <v>30404.35</v>
      </c>
      <c r="L463" s="8">
        <v>9000</v>
      </c>
      <c r="M463" s="9">
        <f t="shared" si="49"/>
        <v>0.29601027484554021</v>
      </c>
      <c r="N463" s="5">
        <v>1</v>
      </c>
      <c r="O463" s="10">
        <f t="shared" si="50"/>
        <v>0.29601027484554021</v>
      </c>
    </row>
    <row r="464" spans="2:15" ht="13.5" customHeight="1">
      <c r="B464" s="25">
        <v>140</v>
      </c>
      <c r="C464" s="25"/>
      <c r="D464" s="25"/>
      <c r="E464" s="31"/>
      <c r="F464" s="15" t="s">
        <v>19</v>
      </c>
      <c r="G464" s="6">
        <v>20906.37</v>
      </c>
      <c r="H464" s="2">
        <v>3417.98</v>
      </c>
      <c r="I464" s="2">
        <v>6080</v>
      </c>
      <c r="J464" s="2"/>
      <c r="K464" s="2">
        <f t="shared" si="48"/>
        <v>30404.35</v>
      </c>
      <c r="L464" s="8">
        <v>9000</v>
      </c>
      <c r="M464" s="9">
        <f t="shared" si="49"/>
        <v>0.29601027484554021</v>
      </c>
      <c r="N464" s="5">
        <v>1</v>
      </c>
      <c r="O464" s="10">
        <f t="shared" si="50"/>
        <v>0.29601027484554021</v>
      </c>
    </row>
    <row r="465" spans="2:15" ht="13.5" customHeight="1">
      <c r="B465" s="25">
        <v>141</v>
      </c>
      <c r="C465" s="25"/>
      <c r="D465" s="25"/>
      <c r="E465" s="31"/>
      <c r="F465" s="15" t="s">
        <v>19</v>
      </c>
      <c r="G465" s="6">
        <v>22816.85</v>
      </c>
      <c r="H465" s="2">
        <v>3417.98</v>
      </c>
      <c r="I465" s="2">
        <v>6080</v>
      </c>
      <c r="J465" s="2"/>
      <c r="K465" s="2">
        <f t="shared" si="48"/>
        <v>32314.829999999998</v>
      </c>
      <c r="L465" s="8">
        <v>9000</v>
      </c>
      <c r="M465" s="9">
        <f t="shared" si="49"/>
        <v>0.27850989777758389</v>
      </c>
      <c r="N465" s="5">
        <v>1</v>
      </c>
      <c r="O465" s="10">
        <f t="shared" si="50"/>
        <v>0.27850989777758389</v>
      </c>
    </row>
    <row r="466" spans="2:15" ht="13.5" customHeight="1">
      <c r="B466" s="25">
        <v>142</v>
      </c>
      <c r="C466" s="25"/>
      <c r="D466" s="25"/>
      <c r="E466" s="31"/>
      <c r="F466" s="15" t="s">
        <v>19</v>
      </c>
      <c r="G466" s="6">
        <v>22816.85</v>
      </c>
      <c r="H466" s="2">
        <v>3417.98</v>
      </c>
      <c r="I466" s="2">
        <v>6080</v>
      </c>
      <c r="J466" s="2"/>
      <c r="K466" s="2">
        <f t="shared" si="48"/>
        <v>32314.829999999998</v>
      </c>
      <c r="L466" s="8">
        <v>9000</v>
      </c>
      <c r="M466" s="9">
        <f t="shared" si="49"/>
        <v>0.27850989777758389</v>
      </c>
      <c r="N466" s="5">
        <v>1</v>
      </c>
      <c r="O466" s="10">
        <f t="shared" si="50"/>
        <v>0.27850989777758389</v>
      </c>
    </row>
    <row r="467" spans="2:15" ht="13.5" customHeight="1">
      <c r="B467" s="25">
        <v>143</v>
      </c>
      <c r="C467" s="25"/>
      <c r="D467" s="25"/>
      <c r="E467" s="31"/>
      <c r="F467" s="15" t="s">
        <v>19</v>
      </c>
      <c r="G467" s="6">
        <v>20906.37</v>
      </c>
      <c r="H467" s="2">
        <v>3417.98</v>
      </c>
      <c r="I467" s="2">
        <v>6080</v>
      </c>
      <c r="J467" s="2"/>
      <c r="K467" s="2">
        <f t="shared" si="48"/>
        <v>30404.35</v>
      </c>
      <c r="L467" s="8">
        <v>9000</v>
      </c>
      <c r="M467" s="9">
        <f t="shared" si="49"/>
        <v>0.29601027484554021</v>
      </c>
      <c r="N467" s="5">
        <v>1</v>
      </c>
      <c r="O467" s="10">
        <f t="shared" si="50"/>
        <v>0.29601027484554021</v>
      </c>
    </row>
    <row r="468" spans="2:15" ht="13.5" customHeight="1">
      <c r="B468" s="25">
        <v>144</v>
      </c>
      <c r="C468" s="25"/>
      <c r="D468" s="25"/>
      <c r="E468" s="31"/>
      <c r="F468" s="15" t="s">
        <v>19</v>
      </c>
      <c r="G468" s="6">
        <v>26000.98</v>
      </c>
      <c r="H468" s="2">
        <v>3417.98</v>
      </c>
      <c r="I468" s="2">
        <v>6080</v>
      </c>
      <c r="J468" s="2"/>
      <c r="K468" s="2">
        <f t="shared" si="48"/>
        <v>35498.959999999999</v>
      </c>
      <c r="L468" s="8">
        <v>9000</v>
      </c>
      <c r="M468" s="9">
        <f t="shared" si="49"/>
        <v>0.25352855407595037</v>
      </c>
      <c r="N468" s="5">
        <v>1</v>
      </c>
      <c r="O468" s="10">
        <f t="shared" si="50"/>
        <v>0.25352855407595037</v>
      </c>
    </row>
    <row r="469" spans="2:15" ht="13.5" customHeight="1">
      <c r="B469" s="25">
        <v>145</v>
      </c>
      <c r="C469" s="25"/>
      <c r="D469" s="25"/>
      <c r="E469" s="31"/>
      <c r="F469" s="15" t="s">
        <v>19</v>
      </c>
      <c r="G469" s="6">
        <v>26000.98</v>
      </c>
      <c r="H469" s="2">
        <v>3417.98</v>
      </c>
      <c r="I469" s="2">
        <v>6080</v>
      </c>
      <c r="J469" s="2"/>
      <c r="K469" s="2">
        <f t="shared" si="48"/>
        <v>35498.959999999999</v>
      </c>
      <c r="L469" s="8">
        <v>9000</v>
      </c>
      <c r="M469" s="9">
        <f t="shared" si="49"/>
        <v>0.25352855407595037</v>
      </c>
      <c r="N469" s="5">
        <v>1</v>
      </c>
      <c r="O469" s="10">
        <f t="shared" si="50"/>
        <v>0.25352855407595037</v>
      </c>
    </row>
    <row r="470" spans="2:15" ht="13.5" customHeight="1">
      <c r="B470" s="25">
        <v>1</v>
      </c>
      <c r="C470" s="25"/>
      <c r="D470" s="25"/>
      <c r="E470" s="31"/>
      <c r="F470" s="15" t="s">
        <v>20</v>
      </c>
      <c r="G470" s="6">
        <v>20906.37</v>
      </c>
      <c r="H470" s="2">
        <v>3417.98</v>
      </c>
      <c r="I470" s="6">
        <v>10530</v>
      </c>
      <c r="J470" s="6"/>
      <c r="K470" s="2">
        <f t="shared" ref="K470" si="51">SUM(G470:I470)</f>
        <v>34854.35</v>
      </c>
      <c r="L470" s="8">
        <v>9000</v>
      </c>
      <c r="M470" s="9">
        <f t="shared" ref="M470" si="52">L470/K470</f>
        <v>0.25821741045235386</v>
      </c>
      <c r="N470" s="5">
        <v>1</v>
      </c>
      <c r="O470" s="10">
        <f t="shared" ref="O470" si="53">N470*M470</f>
        <v>0.25821741045235386</v>
      </c>
    </row>
    <row r="471" spans="2:15" ht="13.5" customHeight="1">
      <c r="B471" s="25">
        <v>2</v>
      </c>
      <c r="C471" s="25"/>
      <c r="D471" s="25"/>
      <c r="E471" s="31"/>
      <c r="F471" s="15" t="s">
        <v>20</v>
      </c>
      <c r="G471" s="6">
        <v>22816.85</v>
      </c>
      <c r="H471" s="2">
        <v>3417.98</v>
      </c>
      <c r="I471" s="6">
        <v>10530</v>
      </c>
      <c r="J471" s="6"/>
      <c r="K471" s="2">
        <f t="shared" ref="K471:K534" si="54">SUM(G471:I471)</f>
        <v>36764.83</v>
      </c>
      <c r="L471" s="8">
        <v>9000</v>
      </c>
      <c r="M471" s="9">
        <f t="shared" ref="M471:M534" si="55">L471/K471</f>
        <v>0.24479917355799005</v>
      </c>
      <c r="N471" s="5">
        <v>1</v>
      </c>
      <c r="O471" s="10">
        <f t="shared" ref="O471:O534" si="56">N471*M471</f>
        <v>0.24479917355799005</v>
      </c>
    </row>
    <row r="472" spans="2:15" ht="13.5" customHeight="1">
      <c r="B472" s="25">
        <v>3</v>
      </c>
      <c r="C472" s="25"/>
      <c r="D472" s="25"/>
      <c r="E472" s="31"/>
      <c r="F472" s="15" t="s">
        <v>20</v>
      </c>
      <c r="G472" s="6">
        <v>20906.37</v>
      </c>
      <c r="H472" s="2">
        <v>3417.98</v>
      </c>
      <c r="I472" s="6">
        <v>10530</v>
      </c>
      <c r="J472" s="6"/>
      <c r="K472" s="2">
        <f t="shared" si="54"/>
        <v>34854.35</v>
      </c>
      <c r="L472" s="8">
        <v>9000</v>
      </c>
      <c r="M472" s="9">
        <f t="shared" si="55"/>
        <v>0.25821741045235386</v>
      </c>
      <c r="N472" s="5">
        <v>1</v>
      </c>
      <c r="O472" s="10">
        <f t="shared" si="56"/>
        <v>0.25821741045235386</v>
      </c>
    </row>
    <row r="473" spans="2:15" ht="13.5" customHeight="1">
      <c r="B473" s="25">
        <v>4</v>
      </c>
      <c r="C473" s="25"/>
      <c r="D473" s="25"/>
      <c r="E473" s="31"/>
      <c r="F473" s="15" t="s">
        <v>20</v>
      </c>
      <c r="G473" s="6">
        <v>20906.37</v>
      </c>
      <c r="H473" s="2">
        <v>3417.98</v>
      </c>
      <c r="I473" s="6">
        <v>10530</v>
      </c>
      <c r="J473" s="6"/>
      <c r="K473" s="2">
        <f t="shared" si="54"/>
        <v>34854.35</v>
      </c>
      <c r="L473" s="8">
        <v>9000</v>
      </c>
      <c r="M473" s="9">
        <f t="shared" si="55"/>
        <v>0.25821741045235386</v>
      </c>
      <c r="N473" s="5">
        <v>1</v>
      </c>
      <c r="O473" s="10">
        <f t="shared" si="56"/>
        <v>0.25821741045235386</v>
      </c>
    </row>
    <row r="474" spans="2:15" ht="13.5" customHeight="1">
      <c r="B474" s="25">
        <v>5</v>
      </c>
      <c r="C474" s="25"/>
      <c r="D474" s="25"/>
      <c r="E474" s="31"/>
      <c r="F474" s="15" t="s">
        <v>20</v>
      </c>
      <c r="G474" s="6">
        <v>20906.37</v>
      </c>
      <c r="H474" s="2">
        <v>3417.98</v>
      </c>
      <c r="I474" s="6">
        <v>10530</v>
      </c>
      <c r="J474" s="6"/>
      <c r="K474" s="2">
        <f t="shared" si="54"/>
        <v>34854.35</v>
      </c>
      <c r="L474" s="8">
        <v>9000</v>
      </c>
      <c r="M474" s="9">
        <f t="shared" si="55"/>
        <v>0.25821741045235386</v>
      </c>
      <c r="N474" s="5">
        <v>1</v>
      </c>
      <c r="O474" s="10">
        <f t="shared" si="56"/>
        <v>0.25821741045235386</v>
      </c>
    </row>
    <row r="475" spans="2:15" ht="13.5" customHeight="1">
      <c r="B475" s="25">
        <v>6</v>
      </c>
      <c r="C475" s="25"/>
      <c r="D475" s="25"/>
      <c r="E475" s="31"/>
      <c r="F475" s="15" t="s">
        <v>20</v>
      </c>
      <c r="G475" s="6">
        <v>20906.37</v>
      </c>
      <c r="H475" s="2">
        <v>3417.98</v>
      </c>
      <c r="I475" s="6">
        <v>10530</v>
      </c>
      <c r="J475" s="6"/>
      <c r="K475" s="2">
        <f t="shared" si="54"/>
        <v>34854.35</v>
      </c>
      <c r="L475" s="8">
        <v>9000</v>
      </c>
      <c r="M475" s="9">
        <f t="shared" si="55"/>
        <v>0.25821741045235386</v>
      </c>
      <c r="N475" s="5">
        <v>1</v>
      </c>
      <c r="O475" s="10">
        <f t="shared" si="56"/>
        <v>0.25821741045235386</v>
      </c>
    </row>
    <row r="476" spans="2:15" ht="13.5" customHeight="1">
      <c r="B476" s="25">
        <v>7</v>
      </c>
      <c r="C476" s="25"/>
      <c r="D476" s="25"/>
      <c r="E476" s="31"/>
      <c r="F476" s="15" t="s">
        <v>20</v>
      </c>
      <c r="G476" s="6">
        <v>20906.37</v>
      </c>
      <c r="H476" s="2">
        <v>3417.98</v>
      </c>
      <c r="I476" s="6">
        <v>10530</v>
      </c>
      <c r="J476" s="6"/>
      <c r="K476" s="2">
        <f t="shared" si="54"/>
        <v>34854.35</v>
      </c>
      <c r="L476" s="8">
        <v>9000</v>
      </c>
      <c r="M476" s="9">
        <f t="shared" si="55"/>
        <v>0.25821741045235386</v>
      </c>
      <c r="N476" s="5">
        <v>1</v>
      </c>
      <c r="O476" s="10">
        <f t="shared" si="56"/>
        <v>0.25821741045235386</v>
      </c>
    </row>
    <row r="477" spans="2:15" ht="13.5" customHeight="1">
      <c r="B477" s="25">
        <v>8</v>
      </c>
      <c r="C477" s="25"/>
      <c r="D477" s="25"/>
      <c r="E477" s="31"/>
      <c r="F477" s="15" t="s">
        <v>20</v>
      </c>
      <c r="G477" s="6">
        <v>20906.37</v>
      </c>
      <c r="H477" s="2">
        <v>3417.98</v>
      </c>
      <c r="I477" s="6">
        <v>10530</v>
      </c>
      <c r="J477" s="6"/>
      <c r="K477" s="2">
        <f t="shared" si="54"/>
        <v>34854.35</v>
      </c>
      <c r="L477" s="8">
        <v>9000</v>
      </c>
      <c r="M477" s="9">
        <f t="shared" si="55"/>
        <v>0.25821741045235386</v>
      </c>
      <c r="N477" s="5">
        <v>1</v>
      </c>
      <c r="O477" s="10">
        <f t="shared" si="56"/>
        <v>0.25821741045235386</v>
      </c>
    </row>
    <row r="478" spans="2:15" ht="13.5" customHeight="1">
      <c r="B478" s="25">
        <v>9</v>
      </c>
      <c r="C478" s="25"/>
      <c r="D478" s="25"/>
      <c r="E478" s="31"/>
      <c r="F478" s="15" t="s">
        <v>20</v>
      </c>
      <c r="G478" s="6">
        <v>22816.85</v>
      </c>
      <c r="H478" s="2">
        <v>3417.98</v>
      </c>
      <c r="I478" s="6">
        <v>10530</v>
      </c>
      <c r="J478" s="6"/>
      <c r="K478" s="2">
        <f t="shared" si="54"/>
        <v>36764.83</v>
      </c>
      <c r="L478" s="8">
        <v>9000</v>
      </c>
      <c r="M478" s="9">
        <f t="shared" si="55"/>
        <v>0.24479917355799005</v>
      </c>
      <c r="N478" s="5">
        <v>1</v>
      </c>
      <c r="O478" s="10">
        <f t="shared" si="56"/>
        <v>0.24479917355799005</v>
      </c>
    </row>
    <row r="479" spans="2:15" ht="13.5" customHeight="1">
      <c r="B479" s="25">
        <v>10</v>
      </c>
      <c r="C479" s="25"/>
      <c r="D479" s="25"/>
      <c r="E479" s="31"/>
      <c r="F479" s="15" t="s">
        <v>20</v>
      </c>
      <c r="G479" s="6">
        <v>20906.37</v>
      </c>
      <c r="H479" s="2">
        <v>3417.98</v>
      </c>
      <c r="I479" s="6">
        <v>10530</v>
      </c>
      <c r="J479" s="6"/>
      <c r="K479" s="2">
        <f t="shared" si="54"/>
        <v>34854.35</v>
      </c>
      <c r="L479" s="8">
        <v>9000</v>
      </c>
      <c r="M479" s="9">
        <f t="shared" si="55"/>
        <v>0.25821741045235386</v>
      </c>
      <c r="N479" s="5">
        <v>1</v>
      </c>
      <c r="O479" s="10">
        <f t="shared" si="56"/>
        <v>0.25821741045235386</v>
      </c>
    </row>
    <row r="480" spans="2:15" ht="13.5" customHeight="1">
      <c r="B480" s="25">
        <v>11</v>
      </c>
      <c r="C480" s="25"/>
      <c r="D480" s="25"/>
      <c r="E480" s="31"/>
      <c r="F480" s="15" t="s">
        <v>20</v>
      </c>
      <c r="G480" s="6">
        <v>20906.37</v>
      </c>
      <c r="H480" s="2">
        <v>3417.98</v>
      </c>
      <c r="I480" s="6">
        <v>10530</v>
      </c>
      <c r="J480" s="6"/>
      <c r="K480" s="2">
        <f t="shared" si="54"/>
        <v>34854.35</v>
      </c>
      <c r="L480" s="8">
        <v>9000</v>
      </c>
      <c r="M480" s="9">
        <f t="shared" si="55"/>
        <v>0.25821741045235386</v>
      </c>
      <c r="N480" s="5">
        <v>1</v>
      </c>
      <c r="O480" s="10">
        <f t="shared" si="56"/>
        <v>0.25821741045235386</v>
      </c>
    </row>
    <row r="481" spans="2:15" ht="13.5" customHeight="1">
      <c r="B481" s="25">
        <v>12</v>
      </c>
      <c r="C481" s="25"/>
      <c r="D481" s="25"/>
      <c r="E481" s="31"/>
      <c r="F481" s="15" t="s">
        <v>20</v>
      </c>
      <c r="G481" s="6">
        <v>20906.37</v>
      </c>
      <c r="H481" s="2">
        <v>3417.98</v>
      </c>
      <c r="I481" s="6">
        <v>10530</v>
      </c>
      <c r="J481" s="6"/>
      <c r="K481" s="2">
        <f t="shared" si="54"/>
        <v>34854.35</v>
      </c>
      <c r="L481" s="8">
        <v>9000</v>
      </c>
      <c r="M481" s="9">
        <f t="shared" si="55"/>
        <v>0.25821741045235386</v>
      </c>
      <c r="N481" s="5">
        <v>1</v>
      </c>
      <c r="O481" s="10">
        <f t="shared" si="56"/>
        <v>0.25821741045235386</v>
      </c>
    </row>
    <row r="482" spans="2:15" ht="13.5" customHeight="1">
      <c r="B482" s="25">
        <v>13</v>
      </c>
      <c r="C482" s="25"/>
      <c r="D482" s="25"/>
      <c r="E482" s="31"/>
      <c r="F482" s="15" t="s">
        <v>20</v>
      </c>
      <c r="G482" s="6">
        <v>22816.85</v>
      </c>
      <c r="H482" s="2">
        <v>3417.98</v>
      </c>
      <c r="I482" s="6">
        <v>10530</v>
      </c>
      <c r="J482" s="6"/>
      <c r="K482" s="2">
        <f t="shared" si="54"/>
        <v>36764.83</v>
      </c>
      <c r="L482" s="8">
        <v>9000</v>
      </c>
      <c r="M482" s="9">
        <f t="shared" si="55"/>
        <v>0.24479917355799005</v>
      </c>
      <c r="N482" s="5">
        <v>1</v>
      </c>
      <c r="O482" s="10">
        <f t="shared" si="56"/>
        <v>0.24479917355799005</v>
      </c>
    </row>
    <row r="483" spans="2:15" ht="13.5" customHeight="1">
      <c r="B483" s="25">
        <v>14</v>
      </c>
      <c r="C483" s="25"/>
      <c r="D483" s="25"/>
      <c r="E483" s="31"/>
      <c r="F483" s="15" t="s">
        <v>20</v>
      </c>
      <c r="G483" s="6">
        <v>22816.85</v>
      </c>
      <c r="H483" s="2">
        <v>3417.98</v>
      </c>
      <c r="I483" s="6">
        <v>10530</v>
      </c>
      <c r="J483" s="6"/>
      <c r="K483" s="2">
        <f t="shared" si="54"/>
        <v>36764.83</v>
      </c>
      <c r="L483" s="8">
        <v>9000</v>
      </c>
      <c r="M483" s="9">
        <f t="shared" si="55"/>
        <v>0.24479917355799005</v>
      </c>
      <c r="N483" s="5">
        <v>1</v>
      </c>
      <c r="O483" s="10">
        <f t="shared" si="56"/>
        <v>0.24479917355799005</v>
      </c>
    </row>
    <row r="484" spans="2:15" ht="13.5" customHeight="1">
      <c r="B484" s="25">
        <v>15</v>
      </c>
      <c r="C484" s="25"/>
      <c r="D484" s="25"/>
      <c r="E484" s="31"/>
      <c r="F484" s="15" t="s">
        <v>20</v>
      </c>
      <c r="G484" s="6">
        <v>20906.37</v>
      </c>
      <c r="H484" s="2">
        <v>3417.98</v>
      </c>
      <c r="I484" s="6">
        <v>10530</v>
      </c>
      <c r="J484" s="6"/>
      <c r="K484" s="2">
        <f t="shared" si="54"/>
        <v>34854.35</v>
      </c>
      <c r="L484" s="8">
        <v>9000</v>
      </c>
      <c r="M484" s="9">
        <f t="shared" si="55"/>
        <v>0.25821741045235386</v>
      </c>
      <c r="N484" s="5">
        <v>1</v>
      </c>
      <c r="O484" s="10">
        <f t="shared" si="56"/>
        <v>0.25821741045235386</v>
      </c>
    </row>
    <row r="485" spans="2:15" ht="13.5" customHeight="1">
      <c r="B485" s="25">
        <v>16</v>
      </c>
      <c r="C485" s="25"/>
      <c r="D485" s="25"/>
      <c r="E485" s="31"/>
      <c r="F485" s="15" t="s">
        <v>20</v>
      </c>
      <c r="G485" s="6">
        <v>22816.85</v>
      </c>
      <c r="H485" s="2">
        <v>3417.98</v>
      </c>
      <c r="I485" s="6">
        <v>10530</v>
      </c>
      <c r="J485" s="6"/>
      <c r="K485" s="2">
        <f t="shared" si="54"/>
        <v>36764.83</v>
      </c>
      <c r="L485" s="8">
        <v>9000</v>
      </c>
      <c r="M485" s="9">
        <f t="shared" si="55"/>
        <v>0.24479917355799005</v>
      </c>
      <c r="N485" s="5">
        <v>1</v>
      </c>
      <c r="O485" s="10">
        <f t="shared" si="56"/>
        <v>0.24479917355799005</v>
      </c>
    </row>
    <row r="486" spans="2:15" ht="13.5" customHeight="1">
      <c r="B486" s="25">
        <v>17</v>
      </c>
      <c r="C486" s="25"/>
      <c r="D486" s="25"/>
      <c r="E486" s="31"/>
      <c r="F486" s="15" t="s">
        <v>20</v>
      </c>
      <c r="G486" s="6">
        <v>26000.98</v>
      </c>
      <c r="H486" s="2">
        <v>3417.98</v>
      </c>
      <c r="I486" s="6">
        <v>10530</v>
      </c>
      <c r="J486" s="6"/>
      <c r="K486" s="2">
        <f t="shared" si="54"/>
        <v>39948.959999999999</v>
      </c>
      <c r="L486" s="8">
        <v>9000</v>
      </c>
      <c r="M486" s="9">
        <f t="shared" si="55"/>
        <v>0.22528746680764655</v>
      </c>
      <c r="N486" s="5">
        <v>1</v>
      </c>
      <c r="O486" s="10">
        <f t="shared" si="56"/>
        <v>0.22528746680764655</v>
      </c>
    </row>
    <row r="487" spans="2:15" ht="13.5" customHeight="1">
      <c r="B487" s="25">
        <v>18</v>
      </c>
      <c r="C487" s="25"/>
      <c r="D487" s="25"/>
      <c r="E487" s="31"/>
      <c r="F487" s="15" t="s">
        <v>20</v>
      </c>
      <c r="G487" s="6">
        <v>22816.85</v>
      </c>
      <c r="H487" s="2">
        <v>3417.98</v>
      </c>
      <c r="I487" s="6">
        <v>10530</v>
      </c>
      <c r="J487" s="6"/>
      <c r="K487" s="2">
        <f t="shared" si="54"/>
        <v>36764.83</v>
      </c>
      <c r="L487" s="8">
        <v>9000</v>
      </c>
      <c r="M487" s="9">
        <f t="shared" si="55"/>
        <v>0.24479917355799005</v>
      </c>
      <c r="N487" s="5">
        <v>1</v>
      </c>
      <c r="O487" s="10">
        <f t="shared" si="56"/>
        <v>0.24479917355799005</v>
      </c>
    </row>
    <row r="488" spans="2:15" ht="13.5" customHeight="1">
      <c r="B488" s="25">
        <v>19</v>
      </c>
      <c r="C488" s="25"/>
      <c r="D488" s="25"/>
      <c r="E488" s="31"/>
      <c r="F488" s="15" t="s">
        <v>20</v>
      </c>
      <c r="G488" s="6">
        <v>22816.85</v>
      </c>
      <c r="H488" s="2">
        <v>3417.98</v>
      </c>
      <c r="I488" s="6">
        <v>10530</v>
      </c>
      <c r="J488" s="6"/>
      <c r="K488" s="2">
        <f t="shared" si="54"/>
        <v>36764.83</v>
      </c>
      <c r="L488" s="8">
        <v>9000</v>
      </c>
      <c r="M488" s="9">
        <f t="shared" si="55"/>
        <v>0.24479917355799005</v>
      </c>
      <c r="N488" s="5">
        <v>1</v>
      </c>
      <c r="O488" s="10">
        <f t="shared" si="56"/>
        <v>0.24479917355799005</v>
      </c>
    </row>
    <row r="489" spans="2:15" ht="13.5" customHeight="1">
      <c r="B489" s="25">
        <v>20</v>
      </c>
      <c r="C489" s="25"/>
      <c r="D489" s="25"/>
      <c r="E489" s="31"/>
      <c r="F489" s="15" t="s">
        <v>20</v>
      </c>
      <c r="G489" s="6">
        <v>20906.37</v>
      </c>
      <c r="H489" s="2">
        <v>3417.98</v>
      </c>
      <c r="I489" s="6">
        <v>10530</v>
      </c>
      <c r="J489" s="6"/>
      <c r="K489" s="2">
        <f t="shared" si="54"/>
        <v>34854.35</v>
      </c>
      <c r="L489" s="8">
        <v>9000</v>
      </c>
      <c r="M489" s="9">
        <f t="shared" si="55"/>
        <v>0.25821741045235386</v>
      </c>
      <c r="N489" s="5">
        <v>1</v>
      </c>
      <c r="O489" s="10">
        <f t="shared" si="56"/>
        <v>0.25821741045235386</v>
      </c>
    </row>
    <row r="490" spans="2:15" ht="13.5" customHeight="1">
      <c r="B490" s="25">
        <v>21</v>
      </c>
      <c r="C490" s="25"/>
      <c r="D490" s="25"/>
      <c r="E490" s="31"/>
      <c r="F490" s="15" t="s">
        <v>20</v>
      </c>
      <c r="G490" s="6">
        <v>20906.37</v>
      </c>
      <c r="H490" s="2">
        <v>3417.98</v>
      </c>
      <c r="I490" s="6">
        <v>10530</v>
      </c>
      <c r="J490" s="6"/>
      <c r="K490" s="2">
        <f t="shared" si="54"/>
        <v>34854.35</v>
      </c>
      <c r="L490" s="8">
        <v>9000</v>
      </c>
      <c r="M490" s="9">
        <f t="shared" si="55"/>
        <v>0.25821741045235386</v>
      </c>
      <c r="N490" s="5">
        <v>1</v>
      </c>
      <c r="O490" s="10">
        <f t="shared" si="56"/>
        <v>0.25821741045235386</v>
      </c>
    </row>
    <row r="491" spans="2:15" ht="13.5" customHeight="1">
      <c r="B491" s="25">
        <v>22</v>
      </c>
      <c r="C491" s="25"/>
      <c r="D491" s="25"/>
      <c r="E491" s="31"/>
      <c r="F491" s="15" t="s">
        <v>20</v>
      </c>
      <c r="G491" s="6">
        <v>22816.85</v>
      </c>
      <c r="H491" s="2">
        <v>3417.98</v>
      </c>
      <c r="I491" s="6">
        <v>10530</v>
      </c>
      <c r="J491" s="6"/>
      <c r="K491" s="2">
        <f t="shared" si="54"/>
        <v>36764.83</v>
      </c>
      <c r="L491" s="8">
        <v>9000</v>
      </c>
      <c r="M491" s="9">
        <f t="shared" si="55"/>
        <v>0.24479917355799005</v>
      </c>
      <c r="N491" s="5">
        <v>1</v>
      </c>
      <c r="O491" s="10">
        <f t="shared" si="56"/>
        <v>0.24479917355799005</v>
      </c>
    </row>
    <row r="492" spans="2:15" ht="13.5" customHeight="1">
      <c r="B492" s="25">
        <v>23</v>
      </c>
      <c r="C492" s="25"/>
      <c r="D492" s="25"/>
      <c r="E492" s="31"/>
      <c r="F492" s="15" t="s">
        <v>20</v>
      </c>
      <c r="G492" s="6">
        <v>22816.85</v>
      </c>
      <c r="H492" s="2">
        <v>3417.98</v>
      </c>
      <c r="I492" s="6">
        <v>10530</v>
      </c>
      <c r="J492" s="6"/>
      <c r="K492" s="2">
        <f t="shared" si="54"/>
        <v>36764.83</v>
      </c>
      <c r="L492" s="8">
        <v>9000</v>
      </c>
      <c r="M492" s="9">
        <f t="shared" si="55"/>
        <v>0.24479917355799005</v>
      </c>
      <c r="N492" s="5">
        <v>1</v>
      </c>
      <c r="O492" s="10">
        <f t="shared" si="56"/>
        <v>0.24479917355799005</v>
      </c>
    </row>
    <row r="493" spans="2:15" ht="13.5" customHeight="1">
      <c r="B493" s="25">
        <v>24</v>
      </c>
      <c r="C493" s="25"/>
      <c r="D493" s="25"/>
      <c r="E493" s="31"/>
      <c r="F493" s="15" t="s">
        <v>20</v>
      </c>
      <c r="G493" s="6">
        <v>20906.37</v>
      </c>
      <c r="H493" s="2">
        <v>3417.98</v>
      </c>
      <c r="I493" s="6">
        <v>10530</v>
      </c>
      <c r="J493" s="6"/>
      <c r="K493" s="2">
        <f t="shared" si="54"/>
        <v>34854.35</v>
      </c>
      <c r="L493" s="8">
        <v>9000</v>
      </c>
      <c r="M493" s="9">
        <f t="shared" si="55"/>
        <v>0.25821741045235386</v>
      </c>
      <c r="N493" s="5">
        <v>1</v>
      </c>
      <c r="O493" s="10">
        <f t="shared" si="56"/>
        <v>0.25821741045235386</v>
      </c>
    </row>
    <row r="494" spans="2:15" ht="13.5" customHeight="1">
      <c r="B494" s="25">
        <v>25</v>
      </c>
      <c r="C494" s="25"/>
      <c r="D494" s="25"/>
      <c r="E494" s="31"/>
      <c r="F494" s="15" t="s">
        <v>20</v>
      </c>
      <c r="G494" s="6">
        <v>20906.37</v>
      </c>
      <c r="H494" s="2">
        <v>3417.98</v>
      </c>
      <c r="I494" s="6">
        <v>10530</v>
      </c>
      <c r="J494" s="6"/>
      <c r="K494" s="2">
        <f t="shared" si="54"/>
        <v>34854.35</v>
      </c>
      <c r="L494" s="8">
        <v>9000</v>
      </c>
      <c r="M494" s="9">
        <f t="shared" si="55"/>
        <v>0.25821741045235386</v>
      </c>
      <c r="N494" s="5">
        <v>1</v>
      </c>
      <c r="O494" s="10">
        <f t="shared" si="56"/>
        <v>0.25821741045235386</v>
      </c>
    </row>
    <row r="495" spans="2:15" ht="13.5" customHeight="1">
      <c r="B495" s="25">
        <v>26</v>
      </c>
      <c r="C495" s="25"/>
      <c r="D495" s="25"/>
      <c r="E495" s="31"/>
      <c r="F495" s="15" t="s">
        <v>20</v>
      </c>
      <c r="G495" s="6">
        <v>20906.37</v>
      </c>
      <c r="H495" s="2">
        <v>3417.98</v>
      </c>
      <c r="I495" s="6">
        <v>10530</v>
      </c>
      <c r="J495" s="6"/>
      <c r="K495" s="2">
        <f t="shared" si="54"/>
        <v>34854.35</v>
      </c>
      <c r="L495" s="8">
        <v>9000</v>
      </c>
      <c r="M495" s="9">
        <f t="shared" si="55"/>
        <v>0.25821741045235386</v>
      </c>
      <c r="N495" s="5">
        <v>1</v>
      </c>
      <c r="O495" s="10">
        <f t="shared" si="56"/>
        <v>0.25821741045235386</v>
      </c>
    </row>
    <row r="496" spans="2:15" ht="13.5" customHeight="1">
      <c r="B496" s="25">
        <v>27</v>
      </c>
      <c r="C496" s="25"/>
      <c r="D496" s="25"/>
      <c r="E496" s="31"/>
      <c r="F496" s="15" t="s">
        <v>20</v>
      </c>
      <c r="G496" s="6">
        <v>20906.37</v>
      </c>
      <c r="H496" s="2">
        <v>3417.98</v>
      </c>
      <c r="I496" s="6">
        <v>10530</v>
      </c>
      <c r="J496" s="6"/>
      <c r="K496" s="2">
        <f t="shared" si="54"/>
        <v>34854.35</v>
      </c>
      <c r="L496" s="8">
        <v>9000</v>
      </c>
      <c r="M496" s="9">
        <f t="shared" si="55"/>
        <v>0.25821741045235386</v>
      </c>
      <c r="N496" s="5">
        <v>1</v>
      </c>
      <c r="O496" s="10">
        <f t="shared" si="56"/>
        <v>0.25821741045235386</v>
      </c>
    </row>
    <row r="497" spans="2:15" ht="13.5" customHeight="1">
      <c r="B497" s="25">
        <v>28</v>
      </c>
      <c r="C497" s="25"/>
      <c r="D497" s="25"/>
      <c r="E497" s="31"/>
      <c r="F497" s="15" t="s">
        <v>20</v>
      </c>
      <c r="G497" s="6">
        <v>20906.37</v>
      </c>
      <c r="H497" s="2">
        <v>3417.98</v>
      </c>
      <c r="I497" s="6">
        <v>10530</v>
      </c>
      <c r="J497" s="6"/>
      <c r="K497" s="2">
        <f t="shared" si="54"/>
        <v>34854.35</v>
      </c>
      <c r="L497" s="8">
        <v>9000</v>
      </c>
      <c r="M497" s="9">
        <f t="shared" si="55"/>
        <v>0.25821741045235386</v>
      </c>
      <c r="N497" s="5">
        <v>1</v>
      </c>
      <c r="O497" s="10">
        <f t="shared" si="56"/>
        <v>0.25821741045235386</v>
      </c>
    </row>
    <row r="498" spans="2:15" ht="13.5" customHeight="1">
      <c r="B498" s="25">
        <v>29</v>
      </c>
      <c r="C498" s="25"/>
      <c r="D498" s="25"/>
      <c r="E498" s="31"/>
      <c r="F498" s="15" t="s">
        <v>20</v>
      </c>
      <c r="G498" s="6">
        <v>20906.37</v>
      </c>
      <c r="H498" s="2">
        <v>3417.98</v>
      </c>
      <c r="I498" s="6">
        <v>10530</v>
      </c>
      <c r="J498" s="6"/>
      <c r="K498" s="2">
        <f t="shared" si="54"/>
        <v>34854.35</v>
      </c>
      <c r="L498" s="8">
        <v>9000</v>
      </c>
      <c r="M498" s="9">
        <f t="shared" si="55"/>
        <v>0.25821741045235386</v>
      </c>
      <c r="N498" s="5">
        <v>1</v>
      </c>
      <c r="O498" s="10">
        <f t="shared" si="56"/>
        <v>0.25821741045235386</v>
      </c>
    </row>
    <row r="499" spans="2:15" ht="13.5" customHeight="1">
      <c r="B499" s="25">
        <v>30</v>
      </c>
      <c r="C499" s="25"/>
      <c r="D499" s="25"/>
      <c r="E499" s="31"/>
      <c r="F499" s="15" t="s">
        <v>20</v>
      </c>
      <c r="G499" s="6">
        <v>20906.37</v>
      </c>
      <c r="H499" s="2">
        <v>3417.98</v>
      </c>
      <c r="I499" s="6">
        <v>10530</v>
      </c>
      <c r="J499" s="6"/>
      <c r="K499" s="2">
        <f t="shared" si="54"/>
        <v>34854.35</v>
      </c>
      <c r="L499" s="8">
        <v>9000</v>
      </c>
      <c r="M499" s="9">
        <f t="shared" si="55"/>
        <v>0.25821741045235386</v>
      </c>
      <c r="N499" s="5">
        <v>1</v>
      </c>
      <c r="O499" s="10">
        <f t="shared" si="56"/>
        <v>0.25821741045235386</v>
      </c>
    </row>
    <row r="500" spans="2:15" ht="13.5" customHeight="1">
      <c r="B500" s="25">
        <v>31</v>
      </c>
      <c r="C500" s="25"/>
      <c r="D500" s="25"/>
      <c r="E500" s="31"/>
      <c r="F500" s="15" t="s">
        <v>20</v>
      </c>
      <c r="G500" s="6">
        <v>20906.37</v>
      </c>
      <c r="H500" s="2">
        <v>3417.98</v>
      </c>
      <c r="I500" s="6">
        <v>10530</v>
      </c>
      <c r="J500" s="6"/>
      <c r="K500" s="2">
        <f t="shared" si="54"/>
        <v>34854.35</v>
      </c>
      <c r="L500" s="8">
        <v>9000</v>
      </c>
      <c r="M500" s="9">
        <f t="shared" si="55"/>
        <v>0.25821741045235386</v>
      </c>
      <c r="N500" s="5">
        <v>1</v>
      </c>
      <c r="O500" s="10">
        <f t="shared" si="56"/>
        <v>0.25821741045235386</v>
      </c>
    </row>
    <row r="501" spans="2:15" ht="13.5" customHeight="1">
      <c r="B501" s="25">
        <v>32</v>
      </c>
      <c r="C501" s="25"/>
      <c r="D501" s="25"/>
      <c r="E501" s="31"/>
      <c r="F501" s="15" t="s">
        <v>20</v>
      </c>
      <c r="G501" s="6">
        <v>20906.37</v>
      </c>
      <c r="H501" s="2">
        <v>3417.98</v>
      </c>
      <c r="I501" s="6">
        <v>10530</v>
      </c>
      <c r="J501" s="6"/>
      <c r="K501" s="2">
        <f t="shared" si="54"/>
        <v>34854.35</v>
      </c>
      <c r="L501" s="8">
        <v>9000</v>
      </c>
      <c r="M501" s="9">
        <f t="shared" si="55"/>
        <v>0.25821741045235386</v>
      </c>
      <c r="N501" s="5">
        <v>1</v>
      </c>
      <c r="O501" s="10">
        <f t="shared" si="56"/>
        <v>0.25821741045235386</v>
      </c>
    </row>
    <row r="502" spans="2:15" ht="13.5" customHeight="1">
      <c r="B502" s="25">
        <v>33</v>
      </c>
      <c r="C502" s="25"/>
      <c r="D502" s="25"/>
      <c r="E502" s="31"/>
      <c r="F502" s="15" t="s">
        <v>20</v>
      </c>
      <c r="G502" s="6">
        <v>22816.85</v>
      </c>
      <c r="H502" s="2">
        <v>3417.98</v>
      </c>
      <c r="I502" s="6">
        <v>10530</v>
      </c>
      <c r="J502" s="6"/>
      <c r="K502" s="2">
        <f t="shared" si="54"/>
        <v>36764.83</v>
      </c>
      <c r="L502" s="8">
        <v>9000</v>
      </c>
      <c r="M502" s="9">
        <f t="shared" si="55"/>
        <v>0.24479917355799005</v>
      </c>
      <c r="N502" s="5">
        <v>1</v>
      </c>
      <c r="O502" s="10">
        <f t="shared" si="56"/>
        <v>0.24479917355799005</v>
      </c>
    </row>
    <row r="503" spans="2:15" ht="13.5" customHeight="1">
      <c r="B503" s="25">
        <v>34</v>
      </c>
      <c r="C503" s="25"/>
      <c r="D503" s="25"/>
      <c r="E503" s="31"/>
      <c r="F503" s="15" t="s">
        <v>20</v>
      </c>
      <c r="G503" s="6">
        <v>22816.85</v>
      </c>
      <c r="H503" s="2">
        <v>3417.98</v>
      </c>
      <c r="I503" s="6">
        <v>10530</v>
      </c>
      <c r="J503" s="6"/>
      <c r="K503" s="2">
        <f t="shared" si="54"/>
        <v>36764.83</v>
      </c>
      <c r="L503" s="8">
        <v>9000</v>
      </c>
      <c r="M503" s="9">
        <f t="shared" si="55"/>
        <v>0.24479917355799005</v>
      </c>
      <c r="N503" s="5">
        <v>1</v>
      </c>
      <c r="O503" s="10">
        <f t="shared" si="56"/>
        <v>0.24479917355799005</v>
      </c>
    </row>
    <row r="504" spans="2:15" ht="13.5" customHeight="1">
      <c r="B504" s="25">
        <v>35</v>
      </c>
      <c r="C504" s="25"/>
      <c r="D504" s="25"/>
      <c r="E504" s="31"/>
      <c r="F504" s="15" t="s">
        <v>20</v>
      </c>
      <c r="G504" s="6">
        <v>20906.37</v>
      </c>
      <c r="H504" s="2">
        <v>3417.98</v>
      </c>
      <c r="I504" s="6">
        <v>10530</v>
      </c>
      <c r="J504" s="6"/>
      <c r="K504" s="2">
        <f t="shared" si="54"/>
        <v>34854.35</v>
      </c>
      <c r="L504" s="8">
        <v>9000</v>
      </c>
      <c r="M504" s="9">
        <f t="shared" si="55"/>
        <v>0.25821741045235386</v>
      </c>
      <c r="N504" s="5">
        <v>1</v>
      </c>
      <c r="O504" s="10">
        <f t="shared" si="56"/>
        <v>0.25821741045235386</v>
      </c>
    </row>
    <row r="505" spans="2:15" ht="13.5" customHeight="1">
      <c r="B505" s="25">
        <v>36</v>
      </c>
      <c r="C505" s="25"/>
      <c r="D505" s="25"/>
      <c r="E505" s="31"/>
      <c r="F505" s="15" t="s">
        <v>20</v>
      </c>
      <c r="G505" s="6">
        <v>20906.37</v>
      </c>
      <c r="H505" s="2">
        <v>3417.98</v>
      </c>
      <c r="I505" s="6">
        <v>10530</v>
      </c>
      <c r="J505" s="6"/>
      <c r="K505" s="2">
        <f t="shared" si="54"/>
        <v>34854.35</v>
      </c>
      <c r="L505" s="8">
        <v>9000</v>
      </c>
      <c r="M505" s="9">
        <f t="shared" si="55"/>
        <v>0.25821741045235386</v>
      </c>
      <c r="N505" s="5">
        <v>1</v>
      </c>
      <c r="O505" s="10">
        <f t="shared" si="56"/>
        <v>0.25821741045235386</v>
      </c>
    </row>
    <row r="506" spans="2:15" ht="13.5" customHeight="1">
      <c r="B506" s="25">
        <v>37</v>
      </c>
      <c r="C506" s="25"/>
      <c r="D506" s="25"/>
      <c r="E506" s="31"/>
      <c r="F506" s="15" t="s">
        <v>20</v>
      </c>
      <c r="G506" s="6">
        <v>26000.98</v>
      </c>
      <c r="H506" s="2">
        <v>3417.98</v>
      </c>
      <c r="I506" s="6">
        <v>10530</v>
      </c>
      <c r="J506" s="6"/>
      <c r="K506" s="2">
        <f t="shared" si="54"/>
        <v>39948.959999999999</v>
      </c>
      <c r="L506" s="8">
        <v>9000</v>
      </c>
      <c r="M506" s="9">
        <f t="shared" si="55"/>
        <v>0.22528746680764655</v>
      </c>
      <c r="N506" s="5">
        <v>1</v>
      </c>
      <c r="O506" s="10">
        <f t="shared" si="56"/>
        <v>0.22528746680764655</v>
      </c>
    </row>
    <row r="507" spans="2:15" ht="13.5" customHeight="1">
      <c r="B507" s="25">
        <v>38</v>
      </c>
      <c r="C507" s="25"/>
      <c r="D507" s="25"/>
      <c r="E507" s="31"/>
      <c r="F507" s="15" t="s">
        <v>20</v>
      </c>
      <c r="G507" s="6">
        <v>20906.37</v>
      </c>
      <c r="H507" s="2">
        <v>3417.98</v>
      </c>
      <c r="I507" s="6">
        <v>10530</v>
      </c>
      <c r="J507" s="6"/>
      <c r="K507" s="2">
        <f t="shared" si="54"/>
        <v>34854.35</v>
      </c>
      <c r="L507" s="8">
        <v>9000</v>
      </c>
      <c r="M507" s="9">
        <f t="shared" si="55"/>
        <v>0.25821741045235386</v>
      </c>
      <c r="N507" s="5">
        <v>1</v>
      </c>
      <c r="O507" s="10">
        <f t="shared" si="56"/>
        <v>0.25821741045235386</v>
      </c>
    </row>
    <row r="508" spans="2:15" ht="13.5" customHeight="1">
      <c r="B508" s="25">
        <v>39</v>
      </c>
      <c r="C508" s="25"/>
      <c r="D508" s="25"/>
      <c r="E508" s="31"/>
      <c r="F508" s="15" t="s">
        <v>20</v>
      </c>
      <c r="G508" s="6">
        <v>22816.85</v>
      </c>
      <c r="H508" s="2">
        <v>3417.98</v>
      </c>
      <c r="I508" s="6">
        <v>10530</v>
      </c>
      <c r="J508" s="6"/>
      <c r="K508" s="2">
        <f t="shared" si="54"/>
        <v>36764.83</v>
      </c>
      <c r="L508" s="8">
        <v>9000</v>
      </c>
      <c r="M508" s="9">
        <f t="shared" si="55"/>
        <v>0.24479917355799005</v>
      </c>
      <c r="N508" s="5">
        <v>1</v>
      </c>
      <c r="O508" s="10">
        <f t="shared" si="56"/>
        <v>0.24479917355799005</v>
      </c>
    </row>
    <row r="509" spans="2:15" ht="13.5" customHeight="1">
      <c r="B509" s="25">
        <v>40</v>
      </c>
      <c r="C509" s="25"/>
      <c r="D509" s="25"/>
      <c r="E509" s="31"/>
      <c r="F509" s="15" t="s">
        <v>20</v>
      </c>
      <c r="G509" s="6">
        <v>26000.98</v>
      </c>
      <c r="H509" s="2">
        <v>3417.98</v>
      </c>
      <c r="I509" s="6">
        <v>10530</v>
      </c>
      <c r="J509" s="6"/>
      <c r="K509" s="2">
        <f t="shared" si="54"/>
        <v>39948.959999999999</v>
      </c>
      <c r="L509" s="8">
        <v>9000</v>
      </c>
      <c r="M509" s="9">
        <f t="shared" si="55"/>
        <v>0.22528746680764655</v>
      </c>
      <c r="N509" s="5">
        <v>1</v>
      </c>
      <c r="O509" s="10">
        <f t="shared" si="56"/>
        <v>0.22528746680764655</v>
      </c>
    </row>
    <row r="510" spans="2:15" ht="13.5" customHeight="1">
      <c r="B510" s="25">
        <v>41</v>
      </c>
      <c r="C510" s="25"/>
      <c r="D510" s="25"/>
      <c r="E510" s="31"/>
      <c r="F510" s="15" t="s">
        <v>20</v>
      </c>
      <c r="G510" s="6">
        <v>20906.37</v>
      </c>
      <c r="H510" s="2">
        <v>3417.98</v>
      </c>
      <c r="I510" s="6">
        <v>10530</v>
      </c>
      <c r="J510" s="6"/>
      <c r="K510" s="2">
        <f t="shared" si="54"/>
        <v>34854.35</v>
      </c>
      <c r="L510" s="8">
        <v>9000</v>
      </c>
      <c r="M510" s="9">
        <f t="shared" si="55"/>
        <v>0.25821741045235386</v>
      </c>
      <c r="N510" s="5">
        <v>1</v>
      </c>
      <c r="O510" s="10">
        <f t="shared" si="56"/>
        <v>0.25821741045235386</v>
      </c>
    </row>
    <row r="511" spans="2:15" ht="13.5" customHeight="1">
      <c r="B511" s="25">
        <v>42</v>
      </c>
      <c r="C511" s="25"/>
      <c r="D511" s="25"/>
      <c r="E511" s="31"/>
      <c r="F511" s="15" t="s">
        <v>20</v>
      </c>
      <c r="G511" s="6">
        <v>20906.37</v>
      </c>
      <c r="H511" s="2">
        <v>3417.98</v>
      </c>
      <c r="I511" s="6">
        <v>10530</v>
      </c>
      <c r="J511" s="6"/>
      <c r="K511" s="2">
        <f t="shared" si="54"/>
        <v>34854.35</v>
      </c>
      <c r="L511" s="8">
        <v>9000</v>
      </c>
      <c r="M511" s="9">
        <f t="shared" si="55"/>
        <v>0.25821741045235386</v>
      </c>
      <c r="N511" s="5">
        <v>1</v>
      </c>
      <c r="O511" s="10">
        <f t="shared" si="56"/>
        <v>0.25821741045235386</v>
      </c>
    </row>
    <row r="512" spans="2:15" ht="13.5" customHeight="1">
      <c r="B512" s="25">
        <v>43</v>
      </c>
      <c r="C512" s="25"/>
      <c r="D512" s="25"/>
      <c r="E512" s="31"/>
      <c r="F512" s="15" t="s">
        <v>20</v>
      </c>
      <c r="G512" s="6">
        <v>20906.37</v>
      </c>
      <c r="H512" s="2">
        <v>3417.98</v>
      </c>
      <c r="I512" s="6">
        <v>10530</v>
      </c>
      <c r="J512" s="6"/>
      <c r="K512" s="2">
        <f t="shared" si="54"/>
        <v>34854.35</v>
      </c>
      <c r="L512" s="8">
        <v>9000</v>
      </c>
      <c r="M512" s="9">
        <f t="shared" si="55"/>
        <v>0.25821741045235386</v>
      </c>
      <c r="N512" s="5">
        <v>1</v>
      </c>
      <c r="O512" s="10">
        <f t="shared" si="56"/>
        <v>0.25821741045235386</v>
      </c>
    </row>
    <row r="513" spans="2:15" ht="13.5" customHeight="1">
      <c r="B513" s="25">
        <v>44</v>
      </c>
      <c r="C513" s="25"/>
      <c r="D513" s="25"/>
      <c r="E513" s="31"/>
      <c r="F513" s="15" t="s">
        <v>20</v>
      </c>
      <c r="G513" s="6">
        <v>20906.37</v>
      </c>
      <c r="H513" s="2">
        <v>3417.98</v>
      </c>
      <c r="I513" s="6">
        <v>10530</v>
      </c>
      <c r="J513" s="6"/>
      <c r="K513" s="2">
        <f t="shared" si="54"/>
        <v>34854.35</v>
      </c>
      <c r="L513" s="8">
        <v>9000</v>
      </c>
      <c r="M513" s="9">
        <f t="shared" si="55"/>
        <v>0.25821741045235386</v>
      </c>
      <c r="N513" s="5">
        <v>1</v>
      </c>
      <c r="O513" s="10">
        <f t="shared" si="56"/>
        <v>0.25821741045235386</v>
      </c>
    </row>
    <row r="514" spans="2:15" ht="13.5" customHeight="1">
      <c r="B514" s="25">
        <v>45</v>
      </c>
      <c r="C514" s="25"/>
      <c r="D514" s="25"/>
      <c r="E514" s="31"/>
      <c r="F514" s="15" t="s">
        <v>20</v>
      </c>
      <c r="G514" s="6">
        <v>26000.98</v>
      </c>
      <c r="H514" s="2">
        <v>3417.98</v>
      </c>
      <c r="I514" s="6">
        <v>10530</v>
      </c>
      <c r="J514" s="6"/>
      <c r="K514" s="2">
        <f t="shared" si="54"/>
        <v>39948.959999999999</v>
      </c>
      <c r="L514" s="8">
        <v>9000</v>
      </c>
      <c r="M514" s="9">
        <f t="shared" si="55"/>
        <v>0.22528746680764655</v>
      </c>
      <c r="N514" s="5">
        <v>1</v>
      </c>
      <c r="O514" s="10">
        <f t="shared" si="56"/>
        <v>0.22528746680764655</v>
      </c>
    </row>
    <row r="515" spans="2:15" ht="13.5" customHeight="1">
      <c r="B515" s="25">
        <v>46</v>
      </c>
      <c r="C515" s="25"/>
      <c r="D515" s="25"/>
      <c r="E515" s="31"/>
      <c r="F515" s="15" t="s">
        <v>20</v>
      </c>
      <c r="G515" s="6">
        <v>26000.98</v>
      </c>
      <c r="H515" s="2">
        <v>3417.98</v>
      </c>
      <c r="I515" s="6">
        <v>10530</v>
      </c>
      <c r="J515" s="6"/>
      <c r="K515" s="2">
        <f t="shared" si="54"/>
        <v>39948.959999999999</v>
      </c>
      <c r="L515" s="8">
        <v>9000</v>
      </c>
      <c r="M515" s="9">
        <f t="shared" si="55"/>
        <v>0.22528746680764655</v>
      </c>
      <c r="N515" s="5">
        <v>1</v>
      </c>
      <c r="O515" s="10">
        <f t="shared" si="56"/>
        <v>0.22528746680764655</v>
      </c>
    </row>
    <row r="516" spans="2:15" ht="13.5" customHeight="1">
      <c r="B516" s="25">
        <v>47</v>
      </c>
      <c r="C516" s="25"/>
      <c r="D516" s="25"/>
      <c r="E516" s="31"/>
      <c r="F516" s="15" t="s">
        <v>20</v>
      </c>
      <c r="G516" s="6">
        <v>22816.85</v>
      </c>
      <c r="H516" s="2">
        <v>3417.98</v>
      </c>
      <c r="I516" s="6">
        <v>10530</v>
      </c>
      <c r="J516" s="6"/>
      <c r="K516" s="2">
        <f t="shared" si="54"/>
        <v>36764.83</v>
      </c>
      <c r="L516" s="8">
        <v>9000</v>
      </c>
      <c r="M516" s="9">
        <f t="shared" si="55"/>
        <v>0.24479917355799005</v>
      </c>
      <c r="N516" s="5">
        <v>1</v>
      </c>
      <c r="O516" s="10">
        <f t="shared" si="56"/>
        <v>0.24479917355799005</v>
      </c>
    </row>
    <row r="517" spans="2:15" ht="13.5" customHeight="1">
      <c r="B517" s="25">
        <v>48</v>
      </c>
      <c r="C517" s="25"/>
      <c r="D517" s="25"/>
      <c r="E517" s="31"/>
      <c r="F517" s="15" t="s">
        <v>20</v>
      </c>
      <c r="G517" s="6">
        <v>22816.85</v>
      </c>
      <c r="H517" s="2">
        <v>3417.98</v>
      </c>
      <c r="I517" s="6">
        <v>10530</v>
      </c>
      <c r="J517" s="6"/>
      <c r="K517" s="2">
        <f t="shared" si="54"/>
        <v>36764.83</v>
      </c>
      <c r="L517" s="8">
        <v>9000</v>
      </c>
      <c r="M517" s="9">
        <f t="shared" si="55"/>
        <v>0.24479917355799005</v>
      </c>
      <c r="N517" s="5">
        <v>1</v>
      </c>
      <c r="O517" s="10">
        <f t="shared" si="56"/>
        <v>0.24479917355799005</v>
      </c>
    </row>
    <row r="518" spans="2:15" ht="13.5" customHeight="1">
      <c r="B518" s="25">
        <v>49</v>
      </c>
      <c r="C518" s="25"/>
      <c r="D518" s="25"/>
      <c r="E518" s="31"/>
      <c r="F518" s="15" t="s">
        <v>20</v>
      </c>
      <c r="G518" s="6">
        <v>29185.119999999999</v>
      </c>
      <c r="H518" s="2">
        <v>3417.98</v>
      </c>
      <c r="I518" s="6">
        <v>10530</v>
      </c>
      <c r="J518" s="6"/>
      <c r="K518" s="2">
        <f t="shared" si="54"/>
        <v>43133.1</v>
      </c>
      <c r="L518" s="8">
        <v>9000</v>
      </c>
      <c r="M518" s="9">
        <f t="shared" si="55"/>
        <v>0.20865646104731633</v>
      </c>
      <c r="N518" s="5">
        <v>1</v>
      </c>
      <c r="O518" s="10">
        <f t="shared" si="56"/>
        <v>0.20865646104731633</v>
      </c>
    </row>
    <row r="519" spans="2:15" ht="13.5" customHeight="1">
      <c r="B519" s="25">
        <v>50</v>
      </c>
      <c r="C519" s="25"/>
      <c r="D519" s="25"/>
      <c r="E519" s="31"/>
      <c r="F519" s="15" t="s">
        <v>20</v>
      </c>
      <c r="G519" s="6">
        <v>20906.37</v>
      </c>
      <c r="H519" s="2">
        <v>3417.98</v>
      </c>
      <c r="I519" s="6">
        <v>10530</v>
      </c>
      <c r="J519" s="6"/>
      <c r="K519" s="2">
        <f t="shared" si="54"/>
        <v>34854.35</v>
      </c>
      <c r="L519" s="8">
        <v>9000</v>
      </c>
      <c r="M519" s="9">
        <f t="shared" si="55"/>
        <v>0.25821741045235386</v>
      </c>
      <c r="N519" s="5">
        <v>1</v>
      </c>
      <c r="O519" s="10">
        <f t="shared" si="56"/>
        <v>0.25821741045235386</v>
      </c>
    </row>
    <row r="520" spans="2:15" ht="13.5" customHeight="1">
      <c r="B520" s="25">
        <v>51</v>
      </c>
      <c r="C520" s="25"/>
      <c r="D520" s="25"/>
      <c r="E520" s="31"/>
      <c r="F520" s="15" t="s">
        <v>20</v>
      </c>
      <c r="G520" s="6">
        <v>20906.37</v>
      </c>
      <c r="H520" s="2">
        <v>3417.98</v>
      </c>
      <c r="I520" s="6">
        <v>10530</v>
      </c>
      <c r="J520" s="6"/>
      <c r="K520" s="2">
        <f t="shared" si="54"/>
        <v>34854.35</v>
      </c>
      <c r="L520" s="8">
        <v>9000</v>
      </c>
      <c r="M520" s="9">
        <f t="shared" si="55"/>
        <v>0.25821741045235386</v>
      </c>
      <c r="N520" s="5">
        <v>1</v>
      </c>
      <c r="O520" s="10">
        <f t="shared" si="56"/>
        <v>0.25821741045235386</v>
      </c>
    </row>
    <row r="521" spans="2:15" ht="13.5" customHeight="1">
      <c r="B521" s="25">
        <v>52</v>
      </c>
      <c r="C521" s="25"/>
      <c r="D521" s="25"/>
      <c r="E521" s="31"/>
      <c r="F521" s="15" t="s">
        <v>20</v>
      </c>
      <c r="G521" s="6">
        <v>22816.85</v>
      </c>
      <c r="H521" s="2">
        <v>3417.98</v>
      </c>
      <c r="I521" s="6">
        <v>10530</v>
      </c>
      <c r="J521" s="6"/>
      <c r="K521" s="2">
        <f t="shared" si="54"/>
        <v>36764.83</v>
      </c>
      <c r="L521" s="8">
        <v>9000</v>
      </c>
      <c r="M521" s="9">
        <f t="shared" si="55"/>
        <v>0.24479917355799005</v>
      </c>
      <c r="N521" s="5">
        <v>1</v>
      </c>
      <c r="O521" s="10">
        <f t="shared" si="56"/>
        <v>0.24479917355799005</v>
      </c>
    </row>
    <row r="522" spans="2:15" ht="13.5" customHeight="1">
      <c r="B522" s="25">
        <v>53</v>
      </c>
      <c r="C522" s="25"/>
      <c r="D522" s="25"/>
      <c r="E522" s="31"/>
      <c r="F522" s="15" t="s">
        <v>20</v>
      </c>
      <c r="G522" s="6">
        <v>20906.37</v>
      </c>
      <c r="H522" s="2">
        <v>3417.98</v>
      </c>
      <c r="I522" s="6">
        <v>10530</v>
      </c>
      <c r="J522" s="6"/>
      <c r="K522" s="2">
        <f t="shared" si="54"/>
        <v>34854.35</v>
      </c>
      <c r="L522" s="8">
        <v>9000</v>
      </c>
      <c r="M522" s="9">
        <f t="shared" si="55"/>
        <v>0.25821741045235386</v>
      </c>
      <c r="N522" s="5">
        <v>1</v>
      </c>
      <c r="O522" s="10">
        <f t="shared" si="56"/>
        <v>0.25821741045235386</v>
      </c>
    </row>
    <row r="523" spans="2:15" ht="13.5" customHeight="1">
      <c r="B523" s="25">
        <v>54</v>
      </c>
      <c r="C523" s="25"/>
      <c r="D523" s="25"/>
      <c r="E523" s="31"/>
      <c r="F523" s="15" t="s">
        <v>20</v>
      </c>
      <c r="G523" s="6">
        <v>20906.37</v>
      </c>
      <c r="H523" s="2">
        <v>3417.98</v>
      </c>
      <c r="I523" s="6">
        <v>10530</v>
      </c>
      <c r="J523" s="6"/>
      <c r="K523" s="2">
        <f t="shared" si="54"/>
        <v>34854.35</v>
      </c>
      <c r="L523" s="8">
        <v>9000</v>
      </c>
      <c r="M523" s="9">
        <f t="shared" si="55"/>
        <v>0.25821741045235386</v>
      </c>
      <c r="N523" s="5">
        <v>1</v>
      </c>
      <c r="O523" s="10">
        <f t="shared" si="56"/>
        <v>0.25821741045235386</v>
      </c>
    </row>
    <row r="524" spans="2:15" ht="13.5" customHeight="1">
      <c r="B524" s="25">
        <v>55</v>
      </c>
      <c r="C524" s="25"/>
      <c r="D524" s="25"/>
      <c r="E524" s="31"/>
      <c r="F524" s="15" t="s">
        <v>20</v>
      </c>
      <c r="G524" s="6">
        <v>20906.37</v>
      </c>
      <c r="H524" s="2">
        <v>3417.98</v>
      </c>
      <c r="I524" s="6">
        <v>10530</v>
      </c>
      <c r="J524" s="6"/>
      <c r="K524" s="2">
        <f t="shared" si="54"/>
        <v>34854.35</v>
      </c>
      <c r="L524" s="8">
        <v>9000</v>
      </c>
      <c r="M524" s="9">
        <f t="shared" si="55"/>
        <v>0.25821741045235386</v>
      </c>
      <c r="N524" s="5">
        <v>1</v>
      </c>
      <c r="O524" s="10">
        <f t="shared" si="56"/>
        <v>0.25821741045235386</v>
      </c>
    </row>
    <row r="525" spans="2:15" ht="13.5" customHeight="1">
      <c r="B525" s="25">
        <v>56</v>
      </c>
      <c r="C525" s="25"/>
      <c r="D525" s="25"/>
      <c r="E525" s="31"/>
      <c r="F525" s="15" t="s">
        <v>20</v>
      </c>
      <c r="G525" s="6">
        <v>20906.37</v>
      </c>
      <c r="H525" s="2">
        <v>3417.98</v>
      </c>
      <c r="I525" s="6">
        <v>10530</v>
      </c>
      <c r="J525" s="6"/>
      <c r="K525" s="2">
        <f t="shared" si="54"/>
        <v>34854.35</v>
      </c>
      <c r="L525" s="8">
        <v>9000</v>
      </c>
      <c r="M525" s="9">
        <f t="shared" si="55"/>
        <v>0.25821741045235386</v>
      </c>
      <c r="N525" s="5">
        <v>1</v>
      </c>
      <c r="O525" s="10">
        <f t="shared" si="56"/>
        <v>0.25821741045235386</v>
      </c>
    </row>
    <row r="526" spans="2:15" ht="13.5" customHeight="1">
      <c r="B526" s="25">
        <v>57</v>
      </c>
      <c r="C526" s="25"/>
      <c r="D526" s="25"/>
      <c r="E526" s="31"/>
      <c r="F526" s="15" t="s">
        <v>20</v>
      </c>
      <c r="G526" s="6">
        <v>20906.37</v>
      </c>
      <c r="H526" s="2">
        <v>3417.98</v>
      </c>
      <c r="I526" s="6">
        <v>10530</v>
      </c>
      <c r="J526" s="6"/>
      <c r="K526" s="2">
        <f t="shared" si="54"/>
        <v>34854.35</v>
      </c>
      <c r="L526" s="8">
        <v>9000</v>
      </c>
      <c r="M526" s="9">
        <f t="shared" si="55"/>
        <v>0.25821741045235386</v>
      </c>
      <c r="N526" s="5">
        <v>1</v>
      </c>
      <c r="O526" s="10">
        <f t="shared" si="56"/>
        <v>0.25821741045235386</v>
      </c>
    </row>
    <row r="527" spans="2:15" ht="13.5" customHeight="1">
      <c r="B527" s="25">
        <v>58</v>
      </c>
      <c r="C527" s="25"/>
      <c r="D527" s="25"/>
      <c r="E527" s="31"/>
      <c r="F527" s="15" t="s">
        <v>20</v>
      </c>
      <c r="G527" s="6">
        <v>20906.37</v>
      </c>
      <c r="H527" s="2">
        <v>3417.98</v>
      </c>
      <c r="I527" s="6">
        <v>10530</v>
      </c>
      <c r="J527" s="6"/>
      <c r="K527" s="2">
        <f t="shared" si="54"/>
        <v>34854.35</v>
      </c>
      <c r="L527" s="8">
        <v>9000</v>
      </c>
      <c r="M527" s="9">
        <f t="shared" si="55"/>
        <v>0.25821741045235386</v>
      </c>
      <c r="N527" s="5">
        <v>1</v>
      </c>
      <c r="O527" s="10">
        <f t="shared" si="56"/>
        <v>0.25821741045235386</v>
      </c>
    </row>
    <row r="528" spans="2:15" ht="13.5" customHeight="1">
      <c r="B528" s="25">
        <v>59</v>
      </c>
      <c r="C528" s="25"/>
      <c r="D528" s="25"/>
      <c r="E528" s="31"/>
      <c r="F528" s="15" t="s">
        <v>20</v>
      </c>
      <c r="G528" s="6">
        <v>20906.37</v>
      </c>
      <c r="H528" s="2">
        <v>3417.98</v>
      </c>
      <c r="I528" s="6">
        <v>10530</v>
      </c>
      <c r="J528" s="6"/>
      <c r="K528" s="2">
        <f t="shared" si="54"/>
        <v>34854.35</v>
      </c>
      <c r="L528" s="8">
        <v>9000</v>
      </c>
      <c r="M528" s="9">
        <f t="shared" si="55"/>
        <v>0.25821741045235386</v>
      </c>
      <c r="N528" s="5">
        <v>1</v>
      </c>
      <c r="O528" s="10">
        <f t="shared" si="56"/>
        <v>0.25821741045235386</v>
      </c>
    </row>
    <row r="529" spans="2:15" ht="13.5" customHeight="1">
      <c r="B529" s="25">
        <v>60</v>
      </c>
      <c r="C529" s="25"/>
      <c r="D529" s="25"/>
      <c r="E529" s="31"/>
      <c r="F529" s="15" t="s">
        <v>20</v>
      </c>
      <c r="G529" s="6">
        <v>20906.37</v>
      </c>
      <c r="H529" s="2">
        <v>3417.98</v>
      </c>
      <c r="I529" s="6">
        <v>10530</v>
      </c>
      <c r="J529" s="6"/>
      <c r="K529" s="2">
        <f t="shared" si="54"/>
        <v>34854.35</v>
      </c>
      <c r="L529" s="8">
        <v>9000</v>
      </c>
      <c r="M529" s="9">
        <f t="shared" si="55"/>
        <v>0.25821741045235386</v>
      </c>
      <c r="N529" s="5">
        <v>1</v>
      </c>
      <c r="O529" s="10">
        <f t="shared" si="56"/>
        <v>0.25821741045235386</v>
      </c>
    </row>
    <row r="530" spans="2:15" ht="13.5" customHeight="1">
      <c r="B530" s="25">
        <v>61</v>
      </c>
      <c r="C530" s="25"/>
      <c r="D530" s="25"/>
      <c r="E530" s="31"/>
      <c r="F530" s="15" t="s">
        <v>20</v>
      </c>
      <c r="G530" s="6">
        <v>20906.37</v>
      </c>
      <c r="H530" s="2">
        <v>3417.98</v>
      </c>
      <c r="I530" s="6">
        <v>10530</v>
      </c>
      <c r="J530" s="6"/>
      <c r="K530" s="2">
        <f t="shared" si="54"/>
        <v>34854.35</v>
      </c>
      <c r="L530" s="8">
        <v>9000</v>
      </c>
      <c r="M530" s="9">
        <f t="shared" si="55"/>
        <v>0.25821741045235386</v>
      </c>
      <c r="N530" s="5">
        <v>1</v>
      </c>
      <c r="O530" s="10">
        <f t="shared" si="56"/>
        <v>0.25821741045235386</v>
      </c>
    </row>
    <row r="531" spans="2:15" ht="13.5" customHeight="1">
      <c r="B531" s="25">
        <v>62</v>
      </c>
      <c r="C531" s="25"/>
      <c r="D531" s="25"/>
      <c r="E531" s="31"/>
      <c r="F531" s="15" t="s">
        <v>20</v>
      </c>
      <c r="G531" s="6">
        <v>20906.37</v>
      </c>
      <c r="H531" s="2">
        <v>3417.98</v>
      </c>
      <c r="I531" s="6">
        <v>10530</v>
      </c>
      <c r="J531" s="6"/>
      <c r="K531" s="2">
        <f t="shared" si="54"/>
        <v>34854.35</v>
      </c>
      <c r="L531" s="8">
        <v>9000</v>
      </c>
      <c r="M531" s="9">
        <f t="shared" si="55"/>
        <v>0.25821741045235386</v>
      </c>
      <c r="N531" s="5">
        <v>1</v>
      </c>
      <c r="O531" s="10">
        <f t="shared" si="56"/>
        <v>0.25821741045235386</v>
      </c>
    </row>
    <row r="532" spans="2:15" ht="13.5" customHeight="1">
      <c r="B532" s="25">
        <v>63</v>
      </c>
      <c r="C532" s="25"/>
      <c r="D532" s="25"/>
      <c r="E532" s="31"/>
      <c r="F532" s="15" t="s">
        <v>20</v>
      </c>
      <c r="G532" s="6">
        <v>20906.37</v>
      </c>
      <c r="H532" s="2">
        <v>3417.98</v>
      </c>
      <c r="I532" s="6">
        <v>10530</v>
      </c>
      <c r="J532" s="6"/>
      <c r="K532" s="2">
        <f t="shared" si="54"/>
        <v>34854.35</v>
      </c>
      <c r="L532" s="8">
        <v>9000</v>
      </c>
      <c r="M532" s="9">
        <f t="shared" si="55"/>
        <v>0.25821741045235386</v>
      </c>
      <c r="N532" s="5">
        <v>1</v>
      </c>
      <c r="O532" s="10">
        <f t="shared" si="56"/>
        <v>0.25821741045235386</v>
      </c>
    </row>
    <row r="533" spans="2:15" ht="13.5" customHeight="1">
      <c r="B533" s="25">
        <v>64</v>
      </c>
      <c r="C533" s="25"/>
      <c r="D533" s="25"/>
      <c r="E533" s="31"/>
      <c r="F533" s="15" t="s">
        <v>20</v>
      </c>
      <c r="G533" s="6">
        <v>20906.37</v>
      </c>
      <c r="H533" s="2">
        <v>3417.98</v>
      </c>
      <c r="I533" s="6">
        <v>10530</v>
      </c>
      <c r="J533" s="6"/>
      <c r="K533" s="2">
        <f t="shared" si="54"/>
        <v>34854.35</v>
      </c>
      <c r="L533" s="8">
        <v>9000</v>
      </c>
      <c r="M533" s="9">
        <f t="shared" si="55"/>
        <v>0.25821741045235386</v>
      </c>
      <c r="N533" s="5">
        <v>1</v>
      </c>
      <c r="O533" s="10">
        <f t="shared" si="56"/>
        <v>0.25821741045235386</v>
      </c>
    </row>
    <row r="534" spans="2:15" ht="13.5" customHeight="1">
      <c r="B534" s="25">
        <v>65</v>
      </c>
      <c r="C534" s="25"/>
      <c r="D534" s="25"/>
      <c r="E534" s="31"/>
      <c r="F534" s="15" t="s">
        <v>20</v>
      </c>
      <c r="G534" s="6">
        <v>20906.37</v>
      </c>
      <c r="H534" s="2">
        <v>3417.98</v>
      </c>
      <c r="I534" s="6">
        <v>10530</v>
      </c>
      <c r="J534" s="6"/>
      <c r="K534" s="2">
        <f t="shared" si="54"/>
        <v>34854.35</v>
      </c>
      <c r="L534" s="8">
        <v>9000</v>
      </c>
      <c r="M534" s="9">
        <f t="shared" si="55"/>
        <v>0.25821741045235386</v>
      </c>
      <c r="N534" s="5">
        <v>1</v>
      </c>
      <c r="O534" s="10">
        <f t="shared" si="56"/>
        <v>0.25821741045235386</v>
      </c>
    </row>
    <row r="535" spans="2:15" ht="13.5" customHeight="1">
      <c r="B535" s="25">
        <v>66</v>
      </c>
      <c r="C535" s="25"/>
      <c r="D535" s="25"/>
      <c r="E535" s="31"/>
      <c r="F535" s="15" t="s">
        <v>20</v>
      </c>
      <c r="G535" s="6">
        <v>20906.37</v>
      </c>
      <c r="H535" s="2">
        <v>3417.98</v>
      </c>
      <c r="I535" s="6">
        <v>10530</v>
      </c>
      <c r="J535" s="6"/>
      <c r="K535" s="2">
        <f t="shared" ref="K535:K595" si="57">SUM(G535:I535)</f>
        <v>34854.35</v>
      </c>
      <c r="L535" s="8">
        <v>9000</v>
      </c>
      <c r="M535" s="9">
        <f t="shared" ref="M535:M595" si="58">L535/K535</f>
        <v>0.25821741045235386</v>
      </c>
      <c r="N535" s="5">
        <v>1</v>
      </c>
      <c r="O535" s="10">
        <f t="shared" ref="O535:O595" si="59">N535*M535</f>
        <v>0.25821741045235386</v>
      </c>
    </row>
    <row r="536" spans="2:15" ht="13.5" customHeight="1">
      <c r="B536" s="25">
        <v>67</v>
      </c>
      <c r="C536" s="25"/>
      <c r="D536" s="25"/>
      <c r="E536" s="31"/>
      <c r="F536" s="15" t="s">
        <v>20</v>
      </c>
      <c r="G536" s="6">
        <v>22816.85</v>
      </c>
      <c r="H536" s="2">
        <v>3417.98</v>
      </c>
      <c r="I536" s="6">
        <v>10530</v>
      </c>
      <c r="J536" s="6"/>
      <c r="K536" s="2">
        <f t="shared" si="57"/>
        <v>36764.83</v>
      </c>
      <c r="L536" s="8">
        <v>9000</v>
      </c>
      <c r="M536" s="9">
        <f t="shared" si="58"/>
        <v>0.24479917355799005</v>
      </c>
      <c r="N536" s="5">
        <v>1</v>
      </c>
      <c r="O536" s="10">
        <f t="shared" si="59"/>
        <v>0.24479917355799005</v>
      </c>
    </row>
    <row r="537" spans="2:15" ht="13.5" customHeight="1">
      <c r="B537" s="25">
        <v>68</v>
      </c>
      <c r="C537" s="25"/>
      <c r="D537" s="25"/>
      <c r="E537" s="31"/>
      <c r="F537" s="15" t="s">
        <v>20</v>
      </c>
      <c r="G537" s="6">
        <v>22816.85</v>
      </c>
      <c r="H537" s="2">
        <v>3417.98</v>
      </c>
      <c r="I537" s="6">
        <v>10530</v>
      </c>
      <c r="J537" s="6"/>
      <c r="K537" s="2">
        <f t="shared" si="57"/>
        <v>36764.83</v>
      </c>
      <c r="L537" s="8">
        <v>9000</v>
      </c>
      <c r="M537" s="9">
        <f t="shared" si="58"/>
        <v>0.24479917355799005</v>
      </c>
      <c r="N537" s="5">
        <v>1</v>
      </c>
      <c r="O537" s="10">
        <f t="shared" si="59"/>
        <v>0.24479917355799005</v>
      </c>
    </row>
    <row r="538" spans="2:15" ht="13.5" customHeight="1">
      <c r="B538" s="25">
        <v>69</v>
      </c>
      <c r="C538" s="25"/>
      <c r="D538" s="25"/>
      <c r="E538" s="31"/>
      <c r="F538" s="15" t="s">
        <v>20</v>
      </c>
      <c r="G538" s="6">
        <v>22816.85</v>
      </c>
      <c r="H538" s="2">
        <v>3417.98</v>
      </c>
      <c r="I538" s="6">
        <v>10530</v>
      </c>
      <c r="J538" s="6"/>
      <c r="K538" s="2">
        <f t="shared" si="57"/>
        <v>36764.83</v>
      </c>
      <c r="L538" s="8">
        <v>9000</v>
      </c>
      <c r="M538" s="9">
        <f t="shared" si="58"/>
        <v>0.24479917355799005</v>
      </c>
      <c r="N538" s="5">
        <v>1</v>
      </c>
      <c r="O538" s="10">
        <f t="shared" si="59"/>
        <v>0.24479917355799005</v>
      </c>
    </row>
    <row r="539" spans="2:15" ht="13.5" customHeight="1">
      <c r="B539" s="25">
        <v>70</v>
      </c>
      <c r="C539" s="25"/>
      <c r="D539" s="25"/>
      <c r="E539" s="31"/>
      <c r="F539" s="15" t="s">
        <v>20</v>
      </c>
      <c r="G539" s="6">
        <v>26000.98</v>
      </c>
      <c r="H539" s="2">
        <v>3417.98</v>
      </c>
      <c r="I539" s="6">
        <v>10530</v>
      </c>
      <c r="J539" s="6"/>
      <c r="K539" s="2">
        <f t="shared" si="57"/>
        <v>39948.959999999999</v>
      </c>
      <c r="L539" s="8">
        <v>9000</v>
      </c>
      <c r="M539" s="9">
        <f t="shared" si="58"/>
        <v>0.22528746680764655</v>
      </c>
      <c r="N539" s="5">
        <v>1</v>
      </c>
      <c r="O539" s="10">
        <f t="shared" si="59"/>
        <v>0.22528746680764655</v>
      </c>
    </row>
    <row r="540" spans="2:15" ht="13.5" customHeight="1">
      <c r="B540" s="25">
        <v>71</v>
      </c>
      <c r="C540" s="25"/>
      <c r="D540" s="25"/>
      <c r="E540" s="31"/>
      <c r="F540" s="15" t="s">
        <v>20</v>
      </c>
      <c r="G540" s="6">
        <v>20906.37</v>
      </c>
      <c r="H540" s="2">
        <v>3417.98</v>
      </c>
      <c r="I540" s="6">
        <v>10530</v>
      </c>
      <c r="J540" s="6"/>
      <c r="K540" s="2">
        <f t="shared" si="57"/>
        <v>34854.35</v>
      </c>
      <c r="L540" s="8">
        <v>9000</v>
      </c>
      <c r="M540" s="9">
        <f t="shared" si="58"/>
        <v>0.25821741045235386</v>
      </c>
      <c r="N540" s="5">
        <v>1</v>
      </c>
      <c r="O540" s="10">
        <f t="shared" si="59"/>
        <v>0.25821741045235386</v>
      </c>
    </row>
    <row r="541" spans="2:15" ht="13.5" customHeight="1">
      <c r="B541" s="25">
        <v>72</v>
      </c>
      <c r="C541" s="25"/>
      <c r="D541" s="25"/>
      <c r="E541" s="31"/>
      <c r="F541" s="15" t="s">
        <v>20</v>
      </c>
      <c r="G541" s="6">
        <v>22816.85</v>
      </c>
      <c r="H541" s="2">
        <v>3417.98</v>
      </c>
      <c r="I541" s="6">
        <v>10530</v>
      </c>
      <c r="J541" s="6"/>
      <c r="K541" s="2">
        <f t="shared" si="57"/>
        <v>36764.83</v>
      </c>
      <c r="L541" s="8">
        <v>9000</v>
      </c>
      <c r="M541" s="9">
        <f t="shared" si="58"/>
        <v>0.24479917355799005</v>
      </c>
      <c r="N541" s="5">
        <v>1</v>
      </c>
      <c r="O541" s="10">
        <f t="shared" si="59"/>
        <v>0.24479917355799005</v>
      </c>
    </row>
    <row r="542" spans="2:15" ht="13.5" customHeight="1">
      <c r="B542" s="25">
        <v>73</v>
      </c>
      <c r="C542" s="25"/>
      <c r="D542" s="25"/>
      <c r="E542" s="31"/>
      <c r="F542" s="15" t="s">
        <v>20</v>
      </c>
      <c r="G542" s="6">
        <v>20906.37</v>
      </c>
      <c r="H542" s="2">
        <v>3417.98</v>
      </c>
      <c r="I542" s="6">
        <v>10530</v>
      </c>
      <c r="J542" s="6"/>
      <c r="K542" s="2">
        <f t="shared" si="57"/>
        <v>34854.35</v>
      </c>
      <c r="L542" s="8">
        <v>9000</v>
      </c>
      <c r="M542" s="9">
        <f t="shared" si="58"/>
        <v>0.25821741045235386</v>
      </c>
      <c r="N542" s="5">
        <v>1</v>
      </c>
      <c r="O542" s="10">
        <f t="shared" si="59"/>
        <v>0.25821741045235386</v>
      </c>
    </row>
    <row r="543" spans="2:15" ht="13.5" customHeight="1">
      <c r="B543" s="25">
        <v>74</v>
      </c>
      <c r="C543" s="25"/>
      <c r="D543" s="25"/>
      <c r="E543" s="31"/>
      <c r="F543" s="15" t="s">
        <v>20</v>
      </c>
      <c r="G543" s="6">
        <v>20906.37</v>
      </c>
      <c r="H543" s="2">
        <v>3417.98</v>
      </c>
      <c r="I543" s="6">
        <v>10530</v>
      </c>
      <c r="J543" s="6"/>
      <c r="K543" s="2">
        <f t="shared" si="57"/>
        <v>34854.35</v>
      </c>
      <c r="L543" s="8">
        <v>9000</v>
      </c>
      <c r="M543" s="9">
        <f t="shared" si="58"/>
        <v>0.25821741045235386</v>
      </c>
      <c r="N543" s="5">
        <v>1</v>
      </c>
      <c r="O543" s="10">
        <f t="shared" si="59"/>
        <v>0.25821741045235386</v>
      </c>
    </row>
    <row r="544" spans="2:15" ht="13.5" customHeight="1">
      <c r="B544" s="25">
        <v>75</v>
      </c>
      <c r="C544" s="25"/>
      <c r="D544" s="25"/>
      <c r="E544" s="31"/>
      <c r="F544" s="15" t="s">
        <v>20</v>
      </c>
      <c r="G544" s="6">
        <v>22816.85</v>
      </c>
      <c r="H544" s="2">
        <v>3417.98</v>
      </c>
      <c r="I544" s="6">
        <v>10530</v>
      </c>
      <c r="J544" s="6"/>
      <c r="K544" s="2">
        <f t="shared" si="57"/>
        <v>36764.83</v>
      </c>
      <c r="L544" s="8">
        <v>9000</v>
      </c>
      <c r="M544" s="9">
        <f t="shared" si="58"/>
        <v>0.24479917355799005</v>
      </c>
      <c r="N544" s="5">
        <v>1</v>
      </c>
      <c r="O544" s="10">
        <f t="shared" si="59"/>
        <v>0.24479917355799005</v>
      </c>
    </row>
    <row r="545" spans="2:15" ht="13.5" customHeight="1">
      <c r="B545" s="25">
        <v>76</v>
      </c>
      <c r="C545" s="25"/>
      <c r="D545" s="25"/>
      <c r="E545" s="31"/>
      <c r="F545" s="15" t="s">
        <v>20</v>
      </c>
      <c r="G545" s="6">
        <v>20906.37</v>
      </c>
      <c r="H545" s="2">
        <v>3417.98</v>
      </c>
      <c r="I545" s="6">
        <v>10530</v>
      </c>
      <c r="J545" s="6"/>
      <c r="K545" s="2">
        <f t="shared" si="57"/>
        <v>34854.35</v>
      </c>
      <c r="L545" s="8">
        <v>9000</v>
      </c>
      <c r="M545" s="9">
        <f t="shared" si="58"/>
        <v>0.25821741045235386</v>
      </c>
      <c r="N545" s="5">
        <v>1</v>
      </c>
      <c r="O545" s="10">
        <f t="shared" si="59"/>
        <v>0.25821741045235386</v>
      </c>
    </row>
    <row r="546" spans="2:15" ht="13.5" customHeight="1">
      <c r="B546" s="25">
        <v>77</v>
      </c>
      <c r="C546" s="25"/>
      <c r="D546" s="25"/>
      <c r="E546" s="31"/>
      <c r="F546" s="15" t="s">
        <v>20</v>
      </c>
      <c r="G546" s="6">
        <v>20906.37</v>
      </c>
      <c r="H546" s="2">
        <v>3417.98</v>
      </c>
      <c r="I546" s="6">
        <v>10530</v>
      </c>
      <c r="J546" s="6"/>
      <c r="K546" s="2">
        <f t="shared" si="57"/>
        <v>34854.35</v>
      </c>
      <c r="L546" s="8">
        <v>9000</v>
      </c>
      <c r="M546" s="9">
        <f t="shared" si="58"/>
        <v>0.25821741045235386</v>
      </c>
      <c r="N546" s="5">
        <v>1</v>
      </c>
      <c r="O546" s="10">
        <f t="shared" si="59"/>
        <v>0.25821741045235386</v>
      </c>
    </row>
    <row r="547" spans="2:15" ht="13.5" customHeight="1">
      <c r="B547" s="25">
        <v>78</v>
      </c>
      <c r="C547" s="25"/>
      <c r="D547" s="25"/>
      <c r="E547" s="31"/>
      <c r="F547" s="15" t="s">
        <v>20</v>
      </c>
      <c r="G547" s="6">
        <v>20906.37</v>
      </c>
      <c r="H547" s="2">
        <v>3417.98</v>
      </c>
      <c r="I547" s="6">
        <v>10530</v>
      </c>
      <c r="J547" s="6"/>
      <c r="K547" s="2">
        <f t="shared" si="57"/>
        <v>34854.35</v>
      </c>
      <c r="L547" s="8">
        <v>9000</v>
      </c>
      <c r="M547" s="9">
        <f t="shared" si="58"/>
        <v>0.25821741045235386</v>
      </c>
      <c r="N547" s="5">
        <v>1</v>
      </c>
      <c r="O547" s="10">
        <f t="shared" si="59"/>
        <v>0.25821741045235386</v>
      </c>
    </row>
    <row r="548" spans="2:15" ht="13.5" customHeight="1">
      <c r="B548" s="25">
        <v>79</v>
      </c>
      <c r="C548" s="25"/>
      <c r="D548" s="25"/>
      <c r="E548" s="31"/>
      <c r="F548" s="15" t="s">
        <v>20</v>
      </c>
      <c r="G548" s="6">
        <v>26000.98</v>
      </c>
      <c r="H548" s="2">
        <v>3417.98</v>
      </c>
      <c r="I548" s="6">
        <v>10530</v>
      </c>
      <c r="J548" s="6"/>
      <c r="K548" s="2">
        <f t="shared" si="57"/>
        <v>39948.959999999999</v>
      </c>
      <c r="L548" s="8">
        <v>9000</v>
      </c>
      <c r="M548" s="9">
        <f t="shared" si="58"/>
        <v>0.22528746680764655</v>
      </c>
      <c r="N548" s="5">
        <v>1</v>
      </c>
      <c r="O548" s="10">
        <f t="shared" si="59"/>
        <v>0.22528746680764655</v>
      </c>
    </row>
    <row r="549" spans="2:15" ht="13.5" customHeight="1">
      <c r="B549" s="25">
        <v>80</v>
      </c>
      <c r="C549" s="25"/>
      <c r="D549" s="25"/>
      <c r="E549" s="31"/>
      <c r="F549" s="15" t="s">
        <v>20</v>
      </c>
      <c r="G549" s="6">
        <v>20906.37</v>
      </c>
      <c r="H549" s="2">
        <v>3417.98</v>
      </c>
      <c r="I549" s="6">
        <v>10530</v>
      </c>
      <c r="J549" s="6"/>
      <c r="K549" s="2">
        <f t="shared" si="57"/>
        <v>34854.35</v>
      </c>
      <c r="L549" s="8">
        <v>9000</v>
      </c>
      <c r="M549" s="9">
        <f t="shared" si="58"/>
        <v>0.25821741045235386</v>
      </c>
      <c r="N549" s="5">
        <v>1</v>
      </c>
      <c r="O549" s="10">
        <f t="shared" si="59"/>
        <v>0.25821741045235386</v>
      </c>
    </row>
    <row r="550" spans="2:15" ht="13.5" customHeight="1">
      <c r="B550" s="25">
        <v>81</v>
      </c>
      <c r="C550" s="25"/>
      <c r="D550" s="25"/>
      <c r="E550" s="31"/>
      <c r="F550" s="15" t="s">
        <v>20</v>
      </c>
      <c r="G550" s="6">
        <v>20906.37</v>
      </c>
      <c r="H550" s="2">
        <v>3417.98</v>
      </c>
      <c r="I550" s="6">
        <v>10530</v>
      </c>
      <c r="J550" s="6"/>
      <c r="K550" s="2">
        <f t="shared" si="57"/>
        <v>34854.35</v>
      </c>
      <c r="L550" s="8">
        <v>9000</v>
      </c>
      <c r="M550" s="9">
        <f t="shared" si="58"/>
        <v>0.25821741045235386</v>
      </c>
      <c r="N550" s="5">
        <v>1</v>
      </c>
      <c r="O550" s="10">
        <f t="shared" si="59"/>
        <v>0.25821741045235386</v>
      </c>
    </row>
    <row r="551" spans="2:15" ht="13.5" customHeight="1">
      <c r="B551" s="25">
        <v>82</v>
      </c>
      <c r="C551" s="25"/>
      <c r="D551" s="25"/>
      <c r="E551" s="31"/>
      <c r="F551" s="15" t="s">
        <v>20</v>
      </c>
      <c r="G551" s="6">
        <v>20906.37</v>
      </c>
      <c r="H551" s="2">
        <v>3417.98</v>
      </c>
      <c r="I551" s="6">
        <v>10530</v>
      </c>
      <c r="J551" s="6"/>
      <c r="K551" s="2">
        <f t="shared" si="57"/>
        <v>34854.35</v>
      </c>
      <c r="L551" s="8">
        <v>9000</v>
      </c>
      <c r="M551" s="9">
        <f t="shared" si="58"/>
        <v>0.25821741045235386</v>
      </c>
      <c r="N551" s="5">
        <v>1</v>
      </c>
      <c r="O551" s="10">
        <f t="shared" si="59"/>
        <v>0.25821741045235386</v>
      </c>
    </row>
    <row r="552" spans="2:15" ht="13.5" customHeight="1">
      <c r="B552" s="25">
        <v>83</v>
      </c>
      <c r="C552" s="25"/>
      <c r="D552" s="25"/>
      <c r="E552" s="31"/>
      <c r="F552" s="15" t="s">
        <v>20</v>
      </c>
      <c r="G552" s="6">
        <v>20906.37</v>
      </c>
      <c r="H552" s="2">
        <v>3417.98</v>
      </c>
      <c r="I552" s="6">
        <v>10530</v>
      </c>
      <c r="J552" s="6"/>
      <c r="K552" s="2">
        <f t="shared" si="57"/>
        <v>34854.35</v>
      </c>
      <c r="L552" s="8">
        <v>9000</v>
      </c>
      <c r="M552" s="9">
        <f t="shared" si="58"/>
        <v>0.25821741045235386</v>
      </c>
      <c r="N552" s="5">
        <v>1</v>
      </c>
      <c r="O552" s="10">
        <f t="shared" si="59"/>
        <v>0.25821741045235386</v>
      </c>
    </row>
    <row r="553" spans="2:15" ht="13.5" customHeight="1">
      <c r="B553" s="25">
        <v>84</v>
      </c>
      <c r="C553" s="25"/>
      <c r="D553" s="25"/>
      <c r="E553" s="31"/>
      <c r="F553" s="15" t="s">
        <v>20</v>
      </c>
      <c r="G553" s="6">
        <v>22816.85</v>
      </c>
      <c r="H553" s="2">
        <v>3417.98</v>
      </c>
      <c r="I553" s="6">
        <v>10530</v>
      </c>
      <c r="J553" s="6"/>
      <c r="K553" s="2">
        <f t="shared" si="57"/>
        <v>36764.83</v>
      </c>
      <c r="L553" s="8">
        <v>9000</v>
      </c>
      <c r="M553" s="9">
        <f t="shared" si="58"/>
        <v>0.24479917355799005</v>
      </c>
      <c r="N553" s="5">
        <v>1</v>
      </c>
      <c r="O553" s="10">
        <f t="shared" si="59"/>
        <v>0.24479917355799005</v>
      </c>
    </row>
    <row r="554" spans="2:15" ht="13.5" customHeight="1">
      <c r="B554" s="25">
        <v>85</v>
      </c>
      <c r="C554" s="25"/>
      <c r="D554" s="25"/>
      <c r="E554" s="31"/>
      <c r="F554" s="15" t="s">
        <v>20</v>
      </c>
      <c r="G554" s="6">
        <v>22816.85</v>
      </c>
      <c r="H554" s="2">
        <v>3417.98</v>
      </c>
      <c r="I554" s="6">
        <v>10530</v>
      </c>
      <c r="J554" s="6"/>
      <c r="K554" s="2">
        <f t="shared" si="57"/>
        <v>36764.83</v>
      </c>
      <c r="L554" s="8">
        <v>9000</v>
      </c>
      <c r="M554" s="9">
        <f t="shared" si="58"/>
        <v>0.24479917355799005</v>
      </c>
      <c r="N554" s="5">
        <v>1</v>
      </c>
      <c r="O554" s="10">
        <f t="shared" si="59"/>
        <v>0.24479917355799005</v>
      </c>
    </row>
    <row r="555" spans="2:15" ht="13.5" customHeight="1">
      <c r="B555" s="25">
        <v>86</v>
      </c>
      <c r="C555" s="25"/>
      <c r="D555" s="25"/>
      <c r="E555" s="31"/>
      <c r="F555" s="15" t="s">
        <v>20</v>
      </c>
      <c r="G555" s="6">
        <v>20906.37</v>
      </c>
      <c r="H555" s="2">
        <v>3417.98</v>
      </c>
      <c r="I555" s="6">
        <v>10530</v>
      </c>
      <c r="J555" s="6"/>
      <c r="K555" s="2">
        <f t="shared" si="57"/>
        <v>34854.35</v>
      </c>
      <c r="L555" s="8">
        <v>9000</v>
      </c>
      <c r="M555" s="9">
        <f t="shared" si="58"/>
        <v>0.25821741045235386</v>
      </c>
      <c r="N555" s="5">
        <v>1</v>
      </c>
      <c r="O555" s="10">
        <f t="shared" si="59"/>
        <v>0.25821741045235386</v>
      </c>
    </row>
    <row r="556" spans="2:15" ht="13.5" customHeight="1">
      <c r="B556" s="25">
        <v>87</v>
      </c>
      <c r="C556" s="25"/>
      <c r="D556" s="25"/>
      <c r="E556" s="31"/>
      <c r="F556" s="15" t="s">
        <v>20</v>
      </c>
      <c r="G556" s="6">
        <v>22186.85</v>
      </c>
      <c r="H556" s="2">
        <v>3417.98</v>
      </c>
      <c r="I556" s="6">
        <v>10530</v>
      </c>
      <c r="J556" s="6"/>
      <c r="K556" s="2">
        <f t="shared" si="57"/>
        <v>36134.83</v>
      </c>
      <c r="L556" s="8">
        <v>9000</v>
      </c>
      <c r="M556" s="9">
        <f t="shared" si="58"/>
        <v>0.24906717424711836</v>
      </c>
      <c r="N556" s="5">
        <v>1</v>
      </c>
      <c r="O556" s="10">
        <f t="shared" si="59"/>
        <v>0.24906717424711836</v>
      </c>
    </row>
    <row r="557" spans="2:15" ht="13.5" customHeight="1">
      <c r="B557" s="25">
        <v>88</v>
      </c>
      <c r="C557" s="25"/>
      <c r="D557" s="25"/>
      <c r="E557" s="31"/>
      <c r="F557" s="15" t="s">
        <v>20</v>
      </c>
      <c r="G557" s="6">
        <v>22816.85</v>
      </c>
      <c r="H557" s="2">
        <v>3417.98</v>
      </c>
      <c r="I557" s="6">
        <v>10530</v>
      </c>
      <c r="J557" s="6"/>
      <c r="K557" s="2">
        <f t="shared" si="57"/>
        <v>36764.83</v>
      </c>
      <c r="L557" s="8">
        <v>9000</v>
      </c>
      <c r="M557" s="9">
        <f t="shared" si="58"/>
        <v>0.24479917355799005</v>
      </c>
      <c r="N557" s="5">
        <v>1</v>
      </c>
      <c r="O557" s="10">
        <f t="shared" si="59"/>
        <v>0.24479917355799005</v>
      </c>
    </row>
    <row r="558" spans="2:15" ht="13.5" customHeight="1">
      <c r="B558" s="25">
        <v>89</v>
      </c>
      <c r="C558" s="25"/>
      <c r="D558" s="25"/>
      <c r="E558" s="31"/>
      <c r="F558" s="15" t="s">
        <v>20</v>
      </c>
      <c r="G558" s="6">
        <v>20906.37</v>
      </c>
      <c r="H558" s="2">
        <v>3417.98</v>
      </c>
      <c r="I558" s="6">
        <v>10530</v>
      </c>
      <c r="J558" s="6"/>
      <c r="K558" s="2">
        <f t="shared" si="57"/>
        <v>34854.35</v>
      </c>
      <c r="L558" s="8">
        <v>9000</v>
      </c>
      <c r="M558" s="9">
        <f t="shared" si="58"/>
        <v>0.25821741045235386</v>
      </c>
      <c r="N558" s="5">
        <v>1</v>
      </c>
      <c r="O558" s="10">
        <f t="shared" si="59"/>
        <v>0.25821741045235386</v>
      </c>
    </row>
    <row r="559" spans="2:15" ht="13.5" customHeight="1">
      <c r="B559" s="25">
        <v>90</v>
      </c>
      <c r="C559" s="25"/>
      <c r="D559" s="25"/>
      <c r="E559" s="31"/>
      <c r="F559" s="15" t="s">
        <v>20</v>
      </c>
      <c r="G559" s="6">
        <v>22816.85</v>
      </c>
      <c r="H559" s="2">
        <v>3417.98</v>
      </c>
      <c r="I559" s="6">
        <v>10530</v>
      </c>
      <c r="J559" s="6"/>
      <c r="K559" s="2">
        <f t="shared" si="57"/>
        <v>36764.83</v>
      </c>
      <c r="L559" s="8">
        <v>9000</v>
      </c>
      <c r="M559" s="9">
        <f t="shared" si="58"/>
        <v>0.24479917355799005</v>
      </c>
      <c r="N559" s="5">
        <v>1</v>
      </c>
      <c r="O559" s="10">
        <f t="shared" si="59"/>
        <v>0.24479917355799005</v>
      </c>
    </row>
    <row r="560" spans="2:15" ht="13.5" customHeight="1">
      <c r="B560" s="25">
        <v>91</v>
      </c>
      <c r="C560" s="25"/>
      <c r="D560" s="25"/>
      <c r="E560" s="31"/>
      <c r="F560" s="15" t="s">
        <v>20</v>
      </c>
      <c r="G560" s="6">
        <v>22816.85</v>
      </c>
      <c r="H560" s="2">
        <v>3417.98</v>
      </c>
      <c r="I560" s="6">
        <v>10530</v>
      </c>
      <c r="J560" s="6"/>
      <c r="K560" s="2">
        <f t="shared" si="57"/>
        <v>36764.83</v>
      </c>
      <c r="L560" s="8">
        <v>9000</v>
      </c>
      <c r="M560" s="9">
        <f t="shared" si="58"/>
        <v>0.24479917355799005</v>
      </c>
      <c r="N560" s="5">
        <v>1</v>
      </c>
      <c r="O560" s="10">
        <f t="shared" si="59"/>
        <v>0.24479917355799005</v>
      </c>
    </row>
    <row r="561" spans="2:15" ht="13.5" customHeight="1">
      <c r="B561" s="25">
        <v>92</v>
      </c>
      <c r="C561" s="25"/>
      <c r="D561" s="25"/>
      <c r="E561" s="31"/>
      <c r="F561" s="15" t="s">
        <v>20</v>
      </c>
      <c r="G561" s="6">
        <v>20906.37</v>
      </c>
      <c r="H561" s="2">
        <v>3417.98</v>
      </c>
      <c r="I561" s="6">
        <v>10530</v>
      </c>
      <c r="J561" s="6"/>
      <c r="K561" s="2">
        <f t="shared" si="57"/>
        <v>34854.35</v>
      </c>
      <c r="L561" s="8">
        <v>9000</v>
      </c>
      <c r="M561" s="9">
        <f t="shared" si="58"/>
        <v>0.25821741045235386</v>
      </c>
      <c r="N561" s="5">
        <v>1</v>
      </c>
      <c r="O561" s="10">
        <f t="shared" si="59"/>
        <v>0.25821741045235386</v>
      </c>
    </row>
    <row r="562" spans="2:15" ht="13.5" customHeight="1">
      <c r="B562" s="25">
        <v>93</v>
      </c>
      <c r="C562" s="25"/>
      <c r="D562" s="25"/>
      <c r="E562" s="31"/>
      <c r="F562" s="15" t="s">
        <v>20</v>
      </c>
      <c r="G562" s="6">
        <v>22816.85</v>
      </c>
      <c r="H562" s="2">
        <v>3417.98</v>
      </c>
      <c r="I562" s="6">
        <v>10530</v>
      </c>
      <c r="J562" s="6"/>
      <c r="K562" s="2">
        <f t="shared" si="57"/>
        <v>36764.83</v>
      </c>
      <c r="L562" s="8">
        <v>9000</v>
      </c>
      <c r="M562" s="9">
        <f t="shared" si="58"/>
        <v>0.24479917355799005</v>
      </c>
      <c r="N562" s="5">
        <v>1</v>
      </c>
      <c r="O562" s="10">
        <f t="shared" si="59"/>
        <v>0.24479917355799005</v>
      </c>
    </row>
    <row r="563" spans="2:15" ht="13.5" customHeight="1">
      <c r="B563" s="25">
        <v>94</v>
      </c>
      <c r="C563" s="25"/>
      <c r="D563" s="25"/>
      <c r="E563" s="31"/>
      <c r="F563" s="15" t="s">
        <v>20</v>
      </c>
      <c r="G563" s="6">
        <v>20906.37</v>
      </c>
      <c r="H563" s="2">
        <v>3417.98</v>
      </c>
      <c r="I563" s="6">
        <v>10530</v>
      </c>
      <c r="J563" s="6"/>
      <c r="K563" s="2">
        <f t="shared" si="57"/>
        <v>34854.35</v>
      </c>
      <c r="L563" s="8">
        <v>9000</v>
      </c>
      <c r="M563" s="9">
        <f t="shared" si="58"/>
        <v>0.25821741045235386</v>
      </c>
      <c r="N563" s="5">
        <v>1</v>
      </c>
      <c r="O563" s="10">
        <f t="shared" si="59"/>
        <v>0.25821741045235386</v>
      </c>
    </row>
    <row r="564" spans="2:15" ht="13.5" customHeight="1">
      <c r="B564" s="25">
        <v>95</v>
      </c>
      <c r="C564" s="25"/>
      <c r="D564" s="25"/>
      <c r="E564" s="31"/>
      <c r="F564" s="15" t="s">
        <v>20</v>
      </c>
      <c r="G564" s="6">
        <v>20906.37</v>
      </c>
      <c r="H564" s="2">
        <v>3417.98</v>
      </c>
      <c r="I564" s="6">
        <v>10530</v>
      </c>
      <c r="J564" s="6"/>
      <c r="K564" s="2">
        <f t="shared" si="57"/>
        <v>34854.35</v>
      </c>
      <c r="L564" s="8">
        <v>9000</v>
      </c>
      <c r="M564" s="9">
        <f t="shared" si="58"/>
        <v>0.25821741045235386</v>
      </c>
      <c r="N564" s="5">
        <v>1</v>
      </c>
      <c r="O564" s="10">
        <f t="shared" si="59"/>
        <v>0.25821741045235386</v>
      </c>
    </row>
    <row r="565" spans="2:15" ht="13.5" customHeight="1">
      <c r="B565" s="25">
        <v>96</v>
      </c>
      <c r="C565" s="25"/>
      <c r="D565" s="25"/>
      <c r="E565" s="31"/>
      <c r="F565" s="15" t="s">
        <v>20</v>
      </c>
      <c r="G565" s="6">
        <v>22186.85</v>
      </c>
      <c r="H565" s="2">
        <v>3417.98</v>
      </c>
      <c r="I565" s="6">
        <v>10530</v>
      </c>
      <c r="J565" s="6"/>
      <c r="K565" s="2">
        <f t="shared" si="57"/>
        <v>36134.83</v>
      </c>
      <c r="L565" s="8">
        <v>9000</v>
      </c>
      <c r="M565" s="9">
        <f t="shared" si="58"/>
        <v>0.24906717424711836</v>
      </c>
      <c r="N565" s="5">
        <v>1</v>
      </c>
      <c r="O565" s="10">
        <f t="shared" si="59"/>
        <v>0.24906717424711836</v>
      </c>
    </row>
    <row r="566" spans="2:15" ht="13.5" customHeight="1">
      <c r="B566" s="25">
        <v>97</v>
      </c>
      <c r="C566" s="25"/>
      <c r="D566" s="25"/>
      <c r="E566" s="31"/>
      <c r="F566" s="15" t="s">
        <v>20</v>
      </c>
      <c r="G566" s="6">
        <v>26000.98</v>
      </c>
      <c r="H566" s="2">
        <v>3417.98</v>
      </c>
      <c r="I566" s="6">
        <v>10530</v>
      </c>
      <c r="J566" s="6"/>
      <c r="K566" s="2">
        <f t="shared" si="57"/>
        <v>39948.959999999999</v>
      </c>
      <c r="L566" s="8">
        <v>9000</v>
      </c>
      <c r="M566" s="9">
        <f t="shared" si="58"/>
        <v>0.22528746680764655</v>
      </c>
      <c r="N566" s="5">
        <v>1</v>
      </c>
      <c r="O566" s="10">
        <f t="shared" si="59"/>
        <v>0.22528746680764655</v>
      </c>
    </row>
    <row r="567" spans="2:15" ht="13.5" customHeight="1">
      <c r="B567" s="25">
        <v>98</v>
      </c>
      <c r="C567" s="25"/>
      <c r="D567" s="25"/>
      <c r="E567" s="31"/>
      <c r="F567" s="15" t="s">
        <v>20</v>
      </c>
      <c r="G567" s="6">
        <v>20906.37</v>
      </c>
      <c r="H567" s="2">
        <v>3417.98</v>
      </c>
      <c r="I567" s="6">
        <v>10530</v>
      </c>
      <c r="J567" s="6"/>
      <c r="K567" s="2">
        <f t="shared" si="57"/>
        <v>34854.35</v>
      </c>
      <c r="L567" s="8">
        <v>9000</v>
      </c>
      <c r="M567" s="9">
        <f t="shared" si="58"/>
        <v>0.25821741045235386</v>
      </c>
      <c r="N567" s="5">
        <v>1</v>
      </c>
      <c r="O567" s="10">
        <f t="shared" si="59"/>
        <v>0.25821741045235386</v>
      </c>
    </row>
    <row r="568" spans="2:15" ht="13.5" customHeight="1">
      <c r="B568" s="25">
        <v>99</v>
      </c>
      <c r="C568" s="25"/>
      <c r="D568" s="25"/>
      <c r="E568" s="31"/>
      <c r="F568" s="15" t="s">
        <v>20</v>
      </c>
      <c r="G568" s="6">
        <v>20906.37</v>
      </c>
      <c r="H568" s="2">
        <v>3417.98</v>
      </c>
      <c r="I568" s="6">
        <v>10530</v>
      </c>
      <c r="J568" s="6"/>
      <c r="K568" s="2">
        <f t="shared" si="57"/>
        <v>34854.35</v>
      </c>
      <c r="L568" s="8">
        <v>9000</v>
      </c>
      <c r="M568" s="9">
        <f t="shared" si="58"/>
        <v>0.25821741045235386</v>
      </c>
      <c r="N568" s="5">
        <v>1</v>
      </c>
      <c r="O568" s="10">
        <f t="shared" si="59"/>
        <v>0.25821741045235386</v>
      </c>
    </row>
    <row r="569" spans="2:15" ht="13.5" customHeight="1">
      <c r="B569" s="25">
        <v>100</v>
      </c>
      <c r="C569" s="25"/>
      <c r="D569" s="25"/>
      <c r="E569" s="31"/>
      <c r="F569" s="15" t="s">
        <v>20</v>
      </c>
      <c r="G569" s="6">
        <v>20906.37</v>
      </c>
      <c r="H569" s="2">
        <v>3417.98</v>
      </c>
      <c r="I569" s="6">
        <v>10530</v>
      </c>
      <c r="J569" s="6"/>
      <c r="K569" s="2">
        <f t="shared" si="57"/>
        <v>34854.35</v>
      </c>
      <c r="L569" s="8">
        <v>9000</v>
      </c>
      <c r="M569" s="9">
        <f t="shared" si="58"/>
        <v>0.25821741045235386</v>
      </c>
      <c r="N569" s="5">
        <v>1</v>
      </c>
      <c r="O569" s="10">
        <f t="shared" si="59"/>
        <v>0.25821741045235386</v>
      </c>
    </row>
    <row r="570" spans="2:15" ht="13.5" customHeight="1">
      <c r="B570" s="25">
        <v>101</v>
      </c>
      <c r="C570" s="25"/>
      <c r="D570" s="25"/>
      <c r="E570" s="31"/>
      <c r="F570" s="15" t="s">
        <v>20</v>
      </c>
      <c r="G570" s="6">
        <v>20906.37</v>
      </c>
      <c r="H570" s="2">
        <v>3417.98</v>
      </c>
      <c r="I570" s="6">
        <v>10530</v>
      </c>
      <c r="J570" s="6"/>
      <c r="K570" s="2">
        <f t="shared" si="57"/>
        <v>34854.35</v>
      </c>
      <c r="L570" s="8">
        <v>9000</v>
      </c>
      <c r="M570" s="9">
        <f t="shared" si="58"/>
        <v>0.25821741045235386</v>
      </c>
      <c r="N570" s="5">
        <v>1</v>
      </c>
      <c r="O570" s="10">
        <f t="shared" si="59"/>
        <v>0.25821741045235386</v>
      </c>
    </row>
    <row r="571" spans="2:15" ht="13.5" customHeight="1">
      <c r="B571" s="25">
        <v>102</v>
      </c>
      <c r="C571" s="25"/>
      <c r="D571" s="25"/>
      <c r="E571" s="31"/>
      <c r="F571" s="15" t="s">
        <v>20</v>
      </c>
      <c r="G571" s="6">
        <v>20906.37</v>
      </c>
      <c r="H571" s="2">
        <v>3417.98</v>
      </c>
      <c r="I571" s="6">
        <v>10530</v>
      </c>
      <c r="J571" s="6"/>
      <c r="K571" s="2">
        <f t="shared" si="57"/>
        <v>34854.35</v>
      </c>
      <c r="L571" s="8">
        <v>9000</v>
      </c>
      <c r="M571" s="9">
        <f t="shared" si="58"/>
        <v>0.25821741045235386</v>
      </c>
      <c r="N571" s="5">
        <v>1</v>
      </c>
      <c r="O571" s="10">
        <f t="shared" si="59"/>
        <v>0.25821741045235386</v>
      </c>
    </row>
    <row r="572" spans="2:15" ht="13.5" customHeight="1">
      <c r="B572" s="25">
        <v>103</v>
      </c>
      <c r="C572" s="25"/>
      <c r="D572" s="25"/>
      <c r="E572" s="31"/>
      <c r="F572" s="15" t="s">
        <v>20</v>
      </c>
      <c r="G572" s="6">
        <v>29185.119999999999</v>
      </c>
      <c r="H572" s="2">
        <v>3417.98</v>
      </c>
      <c r="I572" s="6">
        <v>10530</v>
      </c>
      <c r="J572" s="6"/>
      <c r="K572" s="2">
        <f t="shared" si="57"/>
        <v>43133.1</v>
      </c>
      <c r="L572" s="8">
        <v>9000</v>
      </c>
      <c r="M572" s="9">
        <f t="shared" si="58"/>
        <v>0.20865646104731633</v>
      </c>
      <c r="N572" s="5">
        <v>1</v>
      </c>
      <c r="O572" s="10">
        <f t="shared" si="59"/>
        <v>0.20865646104731633</v>
      </c>
    </row>
    <row r="573" spans="2:15" ht="13.5" customHeight="1">
      <c r="B573" s="25">
        <v>104</v>
      </c>
      <c r="C573" s="25"/>
      <c r="D573" s="25"/>
      <c r="E573" s="31"/>
      <c r="F573" s="15" t="s">
        <v>20</v>
      </c>
      <c r="G573" s="6">
        <v>20906.37</v>
      </c>
      <c r="H573" s="2">
        <v>3417.98</v>
      </c>
      <c r="I573" s="6">
        <v>10530</v>
      </c>
      <c r="J573" s="6"/>
      <c r="K573" s="2">
        <f t="shared" si="57"/>
        <v>34854.35</v>
      </c>
      <c r="L573" s="8">
        <v>9000</v>
      </c>
      <c r="M573" s="9">
        <f t="shared" si="58"/>
        <v>0.25821741045235386</v>
      </c>
      <c r="N573" s="5">
        <v>1</v>
      </c>
      <c r="O573" s="10">
        <f t="shared" si="59"/>
        <v>0.25821741045235386</v>
      </c>
    </row>
    <row r="574" spans="2:15" ht="13.5" customHeight="1">
      <c r="B574" s="25">
        <v>105</v>
      </c>
      <c r="C574" s="25"/>
      <c r="D574" s="25"/>
      <c r="E574" s="31"/>
      <c r="F574" s="15" t="s">
        <v>20</v>
      </c>
      <c r="G574" s="6">
        <v>20906.37</v>
      </c>
      <c r="H574" s="2">
        <v>3417.98</v>
      </c>
      <c r="I574" s="6">
        <v>10530</v>
      </c>
      <c r="J574" s="6"/>
      <c r="K574" s="2">
        <f t="shared" si="57"/>
        <v>34854.35</v>
      </c>
      <c r="L574" s="8">
        <v>9000</v>
      </c>
      <c r="M574" s="9">
        <f t="shared" si="58"/>
        <v>0.25821741045235386</v>
      </c>
      <c r="N574" s="5">
        <v>1</v>
      </c>
      <c r="O574" s="10">
        <f t="shared" si="59"/>
        <v>0.25821741045235386</v>
      </c>
    </row>
    <row r="575" spans="2:15" ht="13.5" customHeight="1">
      <c r="B575" s="25">
        <v>106</v>
      </c>
      <c r="C575" s="25"/>
      <c r="D575" s="25"/>
      <c r="E575" s="31"/>
      <c r="F575" s="15" t="s">
        <v>20</v>
      </c>
      <c r="G575" s="6">
        <v>22816.85</v>
      </c>
      <c r="H575" s="2">
        <v>3417.98</v>
      </c>
      <c r="I575" s="6">
        <v>10530</v>
      </c>
      <c r="J575" s="6"/>
      <c r="K575" s="2">
        <f t="shared" si="57"/>
        <v>36764.83</v>
      </c>
      <c r="L575" s="8">
        <v>9000</v>
      </c>
      <c r="M575" s="9">
        <f t="shared" si="58"/>
        <v>0.24479917355799005</v>
      </c>
      <c r="N575" s="5">
        <v>1</v>
      </c>
      <c r="O575" s="10">
        <f t="shared" si="59"/>
        <v>0.24479917355799005</v>
      </c>
    </row>
    <row r="576" spans="2:15" ht="13.5" customHeight="1">
      <c r="B576" s="25">
        <v>107</v>
      </c>
      <c r="C576" s="25"/>
      <c r="D576" s="25"/>
      <c r="E576" s="31"/>
      <c r="F576" s="15" t="s">
        <v>20</v>
      </c>
      <c r="G576" s="6">
        <v>20906.37</v>
      </c>
      <c r="H576" s="2">
        <v>3417.98</v>
      </c>
      <c r="I576" s="6">
        <v>10530</v>
      </c>
      <c r="J576" s="6"/>
      <c r="K576" s="2">
        <f t="shared" si="57"/>
        <v>34854.35</v>
      </c>
      <c r="L576" s="8">
        <v>9000</v>
      </c>
      <c r="M576" s="9">
        <f t="shared" si="58"/>
        <v>0.25821741045235386</v>
      </c>
      <c r="N576" s="5">
        <v>1</v>
      </c>
      <c r="O576" s="10">
        <f t="shared" si="59"/>
        <v>0.25821741045235386</v>
      </c>
    </row>
    <row r="577" spans="2:15" ht="13.5" customHeight="1">
      <c r="B577" s="25">
        <v>108</v>
      </c>
      <c r="C577" s="25"/>
      <c r="D577" s="25"/>
      <c r="E577" s="31"/>
      <c r="F577" s="15" t="s">
        <v>20</v>
      </c>
      <c r="G577" s="6">
        <v>20906.37</v>
      </c>
      <c r="H577" s="2">
        <v>3417.98</v>
      </c>
      <c r="I577" s="6">
        <v>10530</v>
      </c>
      <c r="J577" s="6"/>
      <c r="K577" s="2">
        <f t="shared" si="57"/>
        <v>34854.35</v>
      </c>
      <c r="L577" s="8">
        <v>9000</v>
      </c>
      <c r="M577" s="9">
        <f t="shared" si="58"/>
        <v>0.25821741045235386</v>
      </c>
      <c r="N577" s="5">
        <v>1</v>
      </c>
      <c r="O577" s="10">
        <f t="shared" si="59"/>
        <v>0.25821741045235386</v>
      </c>
    </row>
    <row r="578" spans="2:15" ht="13.5" customHeight="1">
      <c r="B578" s="25">
        <v>109</v>
      </c>
      <c r="C578" s="25"/>
      <c r="D578" s="25"/>
      <c r="E578" s="31"/>
      <c r="F578" s="15" t="s">
        <v>20</v>
      </c>
      <c r="G578" s="6">
        <v>20906.37</v>
      </c>
      <c r="H578" s="2">
        <v>3417.98</v>
      </c>
      <c r="I578" s="6">
        <v>10530</v>
      </c>
      <c r="J578" s="6"/>
      <c r="K578" s="2">
        <f t="shared" si="57"/>
        <v>34854.35</v>
      </c>
      <c r="L578" s="8">
        <v>9000</v>
      </c>
      <c r="M578" s="9">
        <f t="shared" si="58"/>
        <v>0.25821741045235386</v>
      </c>
      <c r="N578" s="5">
        <v>1</v>
      </c>
      <c r="O578" s="10">
        <f t="shared" si="59"/>
        <v>0.25821741045235386</v>
      </c>
    </row>
    <row r="579" spans="2:15" ht="13.5" customHeight="1">
      <c r="B579" s="25">
        <v>110</v>
      </c>
      <c r="C579" s="25"/>
      <c r="D579" s="25"/>
      <c r="E579" s="31"/>
      <c r="F579" s="15" t="s">
        <v>20</v>
      </c>
      <c r="G579" s="6">
        <v>22816.85</v>
      </c>
      <c r="H579" s="2">
        <v>3417.98</v>
      </c>
      <c r="I579" s="6">
        <v>10530</v>
      </c>
      <c r="J579" s="6"/>
      <c r="K579" s="2">
        <f t="shared" si="57"/>
        <v>36764.83</v>
      </c>
      <c r="L579" s="8">
        <v>9000</v>
      </c>
      <c r="M579" s="9">
        <f t="shared" si="58"/>
        <v>0.24479917355799005</v>
      </c>
      <c r="N579" s="5">
        <v>1</v>
      </c>
      <c r="O579" s="10">
        <f t="shared" si="59"/>
        <v>0.24479917355799005</v>
      </c>
    </row>
    <row r="580" spans="2:15" ht="13.5" customHeight="1">
      <c r="B580" s="25">
        <v>111</v>
      </c>
      <c r="C580" s="25"/>
      <c r="D580" s="25"/>
      <c r="E580" s="31"/>
      <c r="F580" s="15" t="s">
        <v>20</v>
      </c>
      <c r="G580" s="6">
        <v>26000.98</v>
      </c>
      <c r="H580" s="2">
        <v>3417.98</v>
      </c>
      <c r="I580" s="6">
        <v>10530</v>
      </c>
      <c r="J580" s="6"/>
      <c r="K580" s="2">
        <f t="shared" si="57"/>
        <v>39948.959999999999</v>
      </c>
      <c r="L580" s="8">
        <v>9000</v>
      </c>
      <c r="M580" s="9">
        <f t="shared" si="58"/>
        <v>0.22528746680764655</v>
      </c>
      <c r="N580" s="5">
        <v>1</v>
      </c>
      <c r="O580" s="10">
        <f t="shared" si="59"/>
        <v>0.22528746680764655</v>
      </c>
    </row>
    <row r="581" spans="2:15" ht="13.5" customHeight="1">
      <c r="B581" s="25">
        <v>112</v>
      </c>
      <c r="C581" s="25"/>
      <c r="D581" s="25"/>
      <c r="E581" s="31"/>
      <c r="F581" s="15" t="s">
        <v>20</v>
      </c>
      <c r="G581" s="6">
        <v>20906.37</v>
      </c>
      <c r="H581" s="2">
        <v>3417.98</v>
      </c>
      <c r="I581" s="6">
        <v>10530</v>
      </c>
      <c r="J581" s="6"/>
      <c r="K581" s="2">
        <f t="shared" si="57"/>
        <v>34854.35</v>
      </c>
      <c r="L581" s="8">
        <v>9000</v>
      </c>
      <c r="M581" s="9">
        <f t="shared" si="58"/>
        <v>0.25821741045235386</v>
      </c>
      <c r="N581" s="5">
        <v>1</v>
      </c>
      <c r="O581" s="10">
        <f t="shared" si="59"/>
        <v>0.25821741045235386</v>
      </c>
    </row>
    <row r="582" spans="2:15" ht="13.5" customHeight="1">
      <c r="B582" s="25">
        <v>113</v>
      </c>
      <c r="C582" s="25"/>
      <c r="D582" s="25"/>
      <c r="E582" s="31"/>
      <c r="F582" s="15" t="s">
        <v>20</v>
      </c>
      <c r="G582" s="6">
        <v>20906.37</v>
      </c>
      <c r="H582" s="2">
        <v>3417.98</v>
      </c>
      <c r="I582" s="6">
        <v>10530</v>
      </c>
      <c r="J582" s="6"/>
      <c r="K582" s="2">
        <f t="shared" si="57"/>
        <v>34854.35</v>
      </c>
      <c r="L582" s="8">
        <v>9000</v>
      </c>
      <c r="M582" s="9">
        <f t="shared" si="58"/>
        <v>0.25821741045235386</v>
      </c>
      <c r="N582" s="5">
        <v>1</v>
      </c>
      <c r="O582" s="10">
        <f t="shared" si="59"/>
        <v>0.25821741045235386</v>
      </c>
    </row>
    <row r="583" spans="2:15" ht="13.5" customHeight="1">
      <c r="B583" s="25">
        <v>114</v>
      </c>
      <c r="C583" s="25"/>
      <c r="D583" s="25"/>
      <c r="E583" s="31"/>
      <c r="F583" s="15" t="s">
        <v>20</v>
      </c>
      <c r="G583" s="6">
        <v>22816.85</v>
      </c>
      <c r="H583" s="2">
        <v>3417.98</v>
      </c>
      <c r="I583" s="6">
        <v>10530</v>
      </c>
      <c r="J583" s="6"/>
      <c r="K583" s="2">
        <f t="shared" si="57"/>
        <v>36764.83</v>
      </c>
      <c r="L583" s="8">
        <v>9000</v>
      </c>
      <c r="M583" s="9">
        <f t="shared" si="58"/>
        <v>0.24479917355799005</v>
      </c>
      <c r="N583" s="5">
        <v>1</v>
      </c>
      <c r="O583" s="10">
        <f t="shared" si="59"/>
        <v>0.24479917355799005</v>
      </c>
    </row>
    <row r="584" spans="2:15" ht="13.5" customHeight="1">
      <c r="B584" s="25">
        <v>115</v>
      </c>
      <c r="C584" s="25"/>
      <c r="D584" s="25"/>
      <c r="E584" s="31"/>
      <c r="F584" s="15" t="s">
        <v>20</v>
      </c>
      <c r="G584" s="6">
        <v>22816.85</v>
      </c>
      <c r="H584" s="2">
        <v>3417.98</v>
      </c>
      <c r="I584" s="6">
        <v>10530</v>
      </c>
      <c r="J584" s="6"/>
      <c r="K584" s="2">
        <f t="shared" si="57"/>
        <v>36764.83</v>
      </c>
      <c r="L584" s="8">
        <v>9000</v>
      </c>
      <c r="M584" s="9">
        <f t="shared" si="58"/>
        <v>0.24479917355799005</v>
      </c>
      <c r="N584" s="5">
        <v>1</v>
      </c>
      <c r="O584" s="10">
        <f t="shared" si="59"/>
        <v>0.24479917355799005</v>
      </c>
    </row>
    <row r="585" spans="2:15" ht="13.5" customHeight="1">
      <c r="B585" s="25">
        <v>116</v>
      </c>
      <c r="C585" s="25"/>
      <c r="D585" s="25"/>
      <c r="E585" s="31"/>
      <c r="F585" s="15" t="s">
        <v>20</v>
      </c>
      <c r="G585" s="6">
        <v>22816.85</v>
      </c>
      <c r="H585" s="2">
        <v>3417.98</v>
      </c>
      <c r="I585" s="6">
        <v>10530</v>
      </c>
      <c r="J585" s="6"/>
      <c r="K585" s="2">
        <f t="shared" si="57"/>
        <v>36764.83</v>
      </c>
      <c r="L585" s="8">
        <v>9000</v>
      </c>
      <c r="M585" s="9">
        <f t="shared" si="58"/>
        <v>0.24479917355799005</v>
      </c>
      <c r="N585" s="5">
        <v>1</v>
      </c>
      <c r="O585" s="10">
        <f t="shared" si="59"/>
        <v>0.24479917355799005</v>
      </c>
    </row>
    <row r="586" spans="2:15" ht="13.5" customHeight="1">
      <c r="B586" s="25">
        <v>117</v>
      </c>
      <c r="C586" s="25"/>
      <c r="D586" s="25"/>
      <c r="E586" s="31"/>
      <c r="F586" s="15" t="s">
        <v>20</v>
      </c>
      <c r="G586" s="6">
        <v>29185.119999999999</v>
      </c>
      <c r="H586" s="2">
        <v>3417.98</v>
      </c>
      <c r="I586" s="6">
        <v>10530</v>
      </c>
      <c r="J586" s="6"/>
      <c r="K586" s="2">
        <f t="shared" si="57"/>
        <v>43133.1</v>
      </c>
      <c r="L586" s="8">
        <v>9000</v>
      </c>
      <c r="M586" s="9">
        <f t="shared" si="58"/>
        <v>0.20865646104731633</v>
      </c>
      <c r="N586" s="5">
        <v>1</v>
      </c>
      <c r="O586" s="10">
        <f t="shared" si="59"/>
        <v>0.20865646104731633</v>
      </c>
    </row>
    <row r="587" spans="2:15" ht="13.5" customHeight="1">
      <c r="B587" s="25">
        <v>118</v>
      </c>
      <c r="C587" s="25"/>
      <c r="D587" s="25"/>
      <c r="E587" s="31"/>
      <c r="F587" s="15" t="s">
        <v>20</v>
      </c>
      <c r="G587" s="6">
        <v>26000.98</v>
      </c>
      <c r="H587" s="2">
        <v>3417.98</v>
      </c>
      <c r="I587" s="6">
        <v>10530</v>
      </c>
      <c r="J587" s="6"/>
      <c r="K587" s="2">
        <f t="shared" si="57"/>
        <v>39948.959999999999</v>
      </c>
      <c r="L587" s="8">
        <v>9000</v>
      </c>
      <c r="M587" s="9">
        <f t="shared" si="58"/>
        <v>0.22528746680764655</v>
      </c>
      <c r="N587" s="5">
        <v>1</v>
      </c>
      <c r="O587" s="10">
        <f t="shared" si="59"/>
        <v>0.22528746680764655</v>
      </c>
    </row>
    <row r="588" spans="2:15" ht="13.5" customHeight="1">
      <c r="B588" s="25">
        <v>119</v>
      </c>
      <c r="C588" s="25"/>
      <c r="D588" s="25"/>
      <c r="E588" s="31"/>
      <c r="F588" s="15" t="s">
        <v>20</v>
      </c>
      <c r="G588" s="6">
        <v>22816.85</v>
      </c>
      <c r="H588" s="2">
        <v>3417.98</v>
      </c>
      <c r="I588" s="6">
        <v>10530</v>
      </c>
      <c r="J588" s="6"/>
      <c r="K588" s="2">
        <f t="shared" si="57"/>
        <v>36764.83</v>
      </c>
      <c r="L588" s="8">
        <v>9000</v>
      </c>
      <c r="M588" s="9">
        <f t="shared" si="58"/>
        <v>0.24479917355799005</v>
      </c>
      <c r="N588" s="5">
        <v>1</v>
      </c>
      <c r="O588" s="10">
        <f t="shared" si="59"/>
        <v>0.24479917355799005</v>
      </c>
    </row>
    <row r="589" spans="2:15" ht="13.5" customHeight="1">
      <c r="B589" s="25">
        <v>120</v>
      </c>
      <c r="C589" s="25"/>
      <c r="D589" s="25"/>
      <c r="E589" s="31"/>
      <c r="F589" s="15" t="s">
        <v>20</v>
      </c>
      <c r="G589" s="6">
        <v>20906.37</v>
      </c>
      <c r="H589" s="2">
        <v>3417.98</v>
      </c>
      <c r="I589" s="6">
        <v>10530</v>
      </c>
      <c r="J589" s="6"/>
      <c r="K589" s="2">
        <f t="shared" si="57"/>
        <v>34854.35</v>
      </c>
      <c r="L589" s="8">
        <v>9000</v>
      </c>
      <c r="M589" s="9">
        <f t="shared" si="58"/>
        <v>0.25821741045235386</v>
      </c>
      <c r="N589" s="5">
        <v>1</v>
      </c>
      <c r="O589" s="10">
        <f t="shared" si="59"/>
        <v>0.25821741045235386</v>
      </c>
    </row>
    <row r="590" spans="2:15" ht="13.5" customHeight="1">
      <c r="B590" s="25">
        <v>121</v>
      </c>
      <c r="C590" s="25"/>
      <c r="D590" s="25"/>
      <c r="E590" s="31"/>
      <c r="F590" s="15" t="s">
        <v>20</v>
      </c>
      <c r="G590" s="6">
        <v>20906.37</v>
      </c>
      <c r="H590" s="2">
        <v>3417.98</v>
      </c>
      <c r="I590" s="6">
        <v>10530</v>
      </c>
      <c r="J590" s="6"/>
      <c r="K590" s="2">
        <f t="shared" si="57"/>
        <v>34854.35</v>
      </c>
      <c r="L590" s="8">
        <v>9000</v>
      </c>
      <c r="M590" s="9">
        <f t="shared" si="58"/>
        <v>0.25821741045235386</v>
      </c>
      <c r="N590" s="5">
        <v>1</v>
      </c>
      <c r="O590" s="10">
        <f t="shared" si="59"/>
        <v>0.25821741045235386</v>
      </c>
    </row>
    <row r="591" spans="2:15" ht="13.5" customHeight="1">
      <c r="B591" s="25">
        <v>122</v>
      </c>
      <c r="C591" s="25"/>
      <c r="D591" s="25"/>
      <c r="E591" s="31"/>
      <c r="F591" s="15" t="s">
        <v>20</v>
      </c>
      <c r="G591" s="6">
        <v>20906.37</v>
      </c>
      <c r="H591" s="2">
        <v>3417.98</v>
      </c>
      <c r="I591" s="6">
        <v>10530</v>
      </c>
      <c r="J591" s="6"/>
      <c r="K591" s="2">
        <f t="shared" si="57"/>
        <v>34854.35</v>
      </c>
      <c r="L591" s="8">
        <v>9000</v>
      </c>
      <c r="M591" s="9">
        <f t="shared" si="58"/>
        <v>0.25821741045235386</v>
      </c>
      <c r="N591" s="5">
        <v>1</v>
      </c>
      <c r="O591" s="10">
        <f t="shared" si="59"/>
        <v>0.25821741045235386</v>
      </c>
    </row>
    <row r="592" spans="2:15" ht="13.5" customHeight="1">
      <c r="B592" s="25">
        <v>123</v>
      </c>
      <c r="C592" s="25"/>
      <c r="D592" s="25"/>
      <c r="E592" s="31"/>
      <c r="F592" s="15" t="s">
        <v>20</v>
      </c>
      <c r="G592" s="6">
        <v>26000.98</v>
      </c>
      <c r="H592" s="2">
        <v>3417.98</v>
      </c>
      <c r="I592" s="6">
        <v>10530</v>
      </c>
      <c r="J592" s="6"/>
      <c r="K592" s="2">
        <f t="shared" si="57"/>
        <v>39948.959999999999</v>
      </c>
      <c r="L592" s="8">
        <v>9000</v>
      </c>
      <c r="M592" s="9">
        <f t="shared" si="58"/>
        <v>0.22528746680764655</v>
      </c>
      <c r="N592" s="5">
        <v>1</v>
      </c>
      <c r="O592" s="10">
        <f t="shared" si="59"/>
        <v>0.22528746680764655</v>
      </c>
    </row>
    <row r="593" spans="1:15" ht="13.5" customHeight="1">
      <c r="B593" s="25">
        <v>124</v>
      </c>
      <c r="C593" s="25"/>
      <c r="D593" s="25"/>
      <c r="E593" s="31"/>
      <c r="F593" s="15" t="s">
        <v>20</v>
      </c>
      <c r="G593" s="6">
        <v>22816.85</v>
      </c>
      <c r="H593" s="2">
        <v>3417.98</v>
      </c>
      <c r="I593" s="6">
        <v>10530</v>
      </c>
      <c r="J593" s="6"/>
      <c r="K593" s="2">
        <f t="shared" si="57"/>
        <v>36764.83</v>
      </c>
      <c r="L593" s="8">
        <v>9000</v>
      </c>
      <c r="M593" s="9">
        <f t="shared" si="58"/>
        <v>0.24479917355799005</v>
      </c>
      <c r="N593" s="5">
        <v>1</v>
      </c>
      <c r="O593" s="10">
        <f t="shared" si="59"/>
        <v>0.24479917355799005</v>
      </c>
    </row>
    <row r="594" spans="1:15" ht="13.5" customHeight="1">
      <c r="B594" s="25">
        <v>125</v>
      </c>
      <c r="C594" s="25"/>
      <c r="D594" s="25"/>
      <c r="E594" s="31"/>
      <c r="F594" s="15" t="s">
        <v>20</v>
      </c>
      <c r="G594" s="6">
        <v>20906.37</v>
      </c>
      <c r="H594" s="2">
        <v>3417.98</v>
      </c>
      <c r="I594" s="6">
        <v>10530</v>
      </c>
      <c r="J594" s="6"/>
      <c r="K594" s="2">
        <f t="shared" si="57"/>
        <v>34854.35</v>
      </c>
      <c r="L594" s="8">
        <v>9000</v>
      </c>
      <c r="M594" s="9">
        <f t="shared" si="58"/>
        <v>0.25821741045235386</v>
      </c>
      <c r="N594" s="5">
        <v>1</v>
      </c>
      <c r="O594" s="10">
        <f t="shared" si="59"/>
        <v>0.25821741045235386</v>
      </c>
    </row>
    <row r="595" spans="1:15" ht="13.5" customHeight="1">
      <c r="B595" s="25">
        <v>126</v>
      </c>
      <c r="C595" s="25"/>
      <c r="D595" s="25"/>
      <c r="E595" s="31"/>
      <c r="F595" s="15" t="s">
        <v>20</v>
      </c>
      <c r="G595" s="6">
        <v>22816.85</v>
      </c>
      <c r="H595" s="2">
        <v>3417.98</v>
      </c>
      <c r="I595" s="6">
        <v>10530</v>
      </c>
      <c r="J595" s="6"/>
      <c r="K595" s="2">
        <f t="shared" si="57"/>
        <v>36764.83</v>
      </c>
      <c r="L595" s="8">
        <v>9000</v>
      </c>
      <c r="M595" s="9">
        <f t="shared" si="58"/>
        <v>0.24479917355799005</v>
      </c>
      <c r="N595" s="5">
        <v>1</v>
      </c>
      <c r="O595" s="10">
        <f t="shared" si="59"/>
        <v>0.24479917355799005</v>
      </c>
    </row>
    <row r="596" spans="1:15" ht="15.95" customHeight="1">
      <c r="A596" s="66" t="s">
        <v>45</v>
      </c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22">
        <f>SUM(N36:N595)</f>
        <v>560</v>
      </c>
      <c r="O596" s="23">
        <f>SUM(O36:O595)</f>
        <v>154.05585925198679</v>
      </c>
    </row>
    <row r="597" spans="1:15" ht="15.95" customHeight="1">
      <c r="B597" s="11"/>
      <c r="C597" s="11"/>
      <c r="D597" s="11"/>
      <c r="E597" s="11"/>
      <c r="F597" s="42"/>
      <c r="G597" s="11"/>
      <c r="H597" s="11"/>
      <c r="I597" s="11"/>
      <c r="J597" s="11"/>
      <c r="K597" s="11"/>
      <c r="L597" s="37"/>
      <c r="M597" s="11"/>
      <c r="N597" s="22"/>
      <c r="O597" s="23"/>
    </row>
    <row r="598" spans="1:15" ht="15.95" customHeight="1">
      <c r="A598" s="12" t="s">
        <v>129</v>
      </c>
      <c r="B598" s="25">
        <v>1</v>
      </c>
      <c r="C598" s="35"/>
      <c r="D598" s="35"/>
      <c r="E598" s="11"/>
      <c r="F598" s="15" t="s">
        <v>39</v>
      </c>
      <c r="G598" s="6">
        <f>20906.37-D601</f>
        <v>11906.369999999999</v>
      </c>
      <c r="H598" s="2">
        <v>3417.98</v>
      </c>
      <c r="I598" s="2">
        <v>6080</v>
      </c>
      <c r="J598" s="2"/>
      <c r="K598" s="36">
        <f t="shared" ref="K598:K600" si="60">SUM(G598:I598)</f>
        <v>21404.35</v>
      </c>
      <c r="L598" s="38">
        <v>5000</v>
      </c>
      <c r="M598" s="9">
        <f t="shared" ref="M598" si="61">L598/K598</f>
        <v>0.23359737623427015</v>
      </c>
      <c r="N598" s="5">
        <v>1</v>
      </c>
      <c r="O598" s="10">
        <f t="shared" ref="O598" si="62">N598*M598</f>
        <v>0.23359737623427015</v>
      </c>
    </row>
    <row r="599" spans="1:15" ht="15.95" customHeight="1">
      <c r="A599" s="59" t="s">
        <v>130</v>
      </c>
      <c r="B599" s="33">
        <f>B598+1</f>
        <v>2</v>
      </c>
      <c r="C599" s="35"/>
      <c r="D599" s="35"/>
      <c r="E599" s="11"/>
      <c r="F599" s="15" t="s">
        <v>120</v>
      </c>
      <c r="G599" s="6">
        <f>20906.37-D601</f>
        <v>11906.369999999999</v>
      </c>
      <c r="H599" s="28">
        <v>3417.98</v>
      </c>
      <c r="I599" s="28">
        <v>6830</v>
      </c>
      <c r="J599" s="28"/>
      <c r="K599" s="36">
        <f t="shared" si="60"/>
        <v>22154.35</v>
      </c>
      <c r="L599" s="38">
        <f>K599</f>
        <v>22154.35</v>
      </c>
      <c r="M599" s="9">
        <f t="shared" ref="M599:M600" si="63">L599/K599</f>
        <v>1</v>
      </c>
      <c r="N599" s="5">
        <v>1</v>
      </c>
      <c r="O599" s="10">
        <f t="shared" ref="O599:O600" si="64">N599*M599</f>
        <v>1</v>
      </c>
    </row>
    <row r="600" spans="1:15" ht="15.95" customHeight="1">
      <c r="A600" s="11"/>
      <c r="B600" s="33">
        <v>3</v>
      </c>
      <c r="C600" s="35"/>
      <c r="D600" s="35"/>
      <c r="E600" s="11"/>
      <c r="F600" s="15" t="s">
        <v>39</v>
      </c>
      <c r="G600" s="6">
        <f>20906.37-D601</f>
        <v>11906.369999999999</v>
      </c>
      <c r="H600" s="2">
        <v>3417.98</v>
      </c>
      <c r="I600" s="2">
        <v>6080</v>
      </c>
      <c r="J600" s="2"/>
      <c r="K600" s="36">
        <f t="shared" si="60"/>
        <v>21404.35</v>
      </c>
      <c r="L600" s="38">
        <f>K600</f>
        <v>21404.35</v>
      </c>
      <c r="M600" s="9">
        <f t="shared" si="63"/>
        <v>1</v>
      </c>
      <c r="N600" s="5">
        <v>1</v>
      </c>
      <c r="O600" s="10">
        <f t="shared" si="64"/>
        <v>1</v>
      </c>
    </row>
    <row r="601" spans="1:15" ht="15.95" customHeight="1">
      <c r="A601" s="11"/>
      <c r="C601" s="35" t="s">
        <v>7</v>
      </c>
      <c r="D601" s="43">
        <v>9000</v>
      </c>
      <c r="E601" s="11"/>
      <c r="G601" s="6"/>
      <c r="H601" s="2"/>
      <c r="I601" s="2"/>
      <c r="J601" s="2"/>
      <c r="L601" s="38"/>
      <c r="M601" s="9"/>
      <c r="N601" s="5"/>
      <c r="O601" s="10"/>
    </row>
    <row r="602" spans="1:15" ht="15.95" customHeight="1">
      <c r="A602" s="66" t="s">
        <v>45</v>
      </c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22">
        <f>SUM(N598:N600)</f>
        <v>3</v>
      </c>
      <c r="O602" s="23">
        <f>SUM(O598:O600)</f>
        <v>2.23359737623427</v>
      </c>
    </row>
    <row r="603" spans="1:15" ht="15.95" customHeight="1">
      <c r="A603" s="11"/>
      <c r="B603" s="11"/>
      <c r="C603" s="11"/>
      <c r="D603" s="11"/>
      <c r="E603" s="11"/>
      <c r="F603" s="42"/>
      <c r="G603" s="11"/>
      <c r="H603" s="11"/>
      <c r="I603" s="11"/>
      <c r="J603" s="11"/>
      <c r="K603" s="11"/>
      <c r="L603" s="37"/>
      <c r="M603" s="11"/>
      <c r="N603" s="22"/>
      <c r="O603" s="23"/>
    </row>
    <row r="604" spans="1:15" ht="13.5" customHeight="1">
      <c r="A604" s="70" t="s">
        <v>131</v>
      </c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</row>
    <row r="605" spans="1:15" ht="15.95" customHeight="1">
      <c r="A605" s="12" t="s">
        <v>21</v>
      </c>
      <c r="B605" s="33">
        <v>1</v>
      </c>
      <c r="C605" s="35"/>
      <c r="D605" s="35"/>
      <c r="E605" s="34"/>
      <c r="F605" s="30" t="s">
        <v>40</v>
      </c>
      <c r="G605" s="6">
        <f>20906.37-$D$630</f>
        <v>6906.369999999999</v>
      </c>
      <c r="H605" s="6">
        <v>3417.98</v>
      </c>
      <c r="I605" s="27">
        <v>7575</v>
      </c>
      <c r="J605" s="27"/>
      <c r="K605" s="27">
        <f t="shared" ref="K605:K611" si="65">SUM(G605:I605)</f>
        <v>17899.349999999999</v>
      </c>
      <c r="L605" s="38">
        <v>4000</v>
      </c>
      <c r="M605" s="9">
        <f t="shared" ref="M605:M628" si="66">L605/K605</f>
        <v>0.22347180204867775</v>
      </c>
      <c r="N605" s="5">
        <v>1</v>
      </c>
      <c r="O605" s="10">
        <f t="shared" ref="O605:O629" si="67">N605*M605</f>
        <v>0.22347180204867775</v>
      </c>
    </row>
    <row r="606" spans="1:15" ht="15.95" customHeight="1">
      <c r="B606" s="33">
        <f>B605+1</f>
        <v>2</v>
      </c>
      <c r="C606" s="25"/>
      <c r="D606" s="25"/>
      <c r="E606" s="34"/>
      <c r="F606" s="30" t="s">
        <v>40</v>
      </c>
      <c r="G606" s="6">
        <f>20906.37-$D$630</f>
        <v>6906.369999999999</v>
      </c>
      <c r="H606" s="6">
        <v>3417.98</v>
      </c>
      <c r="I606" s="27">
        <v>7575</v>
      </c>
      <c r="J606" s="27"/>
      <c r="K606" s="27">
        <f t="shared" si="65"/>
        <v>17899.349999999999</v>
      </c>
      <c r="L606" s="38">
        <v>4000</v>
      </c>
      <c r="M606" s="9">
        <f t="shared" si="66"/>
        <v>0.22347180204867775</v>
      </c>
      <c r="N606" s="5">
        <v>1</v>
      </c>
      <c r="O606" s="10">
        <f t="shared" si="67"/>
        <v>0.22347180204867775</v>
      </c>
    </row>
    <row r="607" spans="1:15" ht="15.95" customHeight="1">
      <c r="B607" s="33">
        <f t="shared" ref="B607:B629" si="68">B606+1</f>
        <v>3</v>
      </c>
      <c r="C607" s="25"/>
      <c r="D607" s="25"/>
      <c r="E607" s="34"/>
      <c r="F607" s="30" t="s">
        <v>40</v>
      </c>
      <c r="G607" s="6">
        <f t="shared" ref="G607:G629" si="69">20906.37-$D$630</f>
        <v>6906.369999999999</v>
      </c>
      <c r="H607" s="6">
        <v>3417.98</v>
      </c>
      <c r="I607" s="27">
        <v>7575</v>
      </c>
      <c r="J607" s="27"/>
      <c r="K607" s="27">
        <f t="shared" si="65"/>
        <v>17899.349999999999</v>
      </c>
      <c r="L607" s="38">
        <v>4000</v>
      </c>
      <c r="M607" s="9">
        <f t="shared" si="66"/>
        <v>0.22347180204867775</v>
      </c>
      <c r="N607" s="5">
        <v>1</v>
      </c>
      <c r="O607" s="10">
        <f t="shared" si="67"/>
        <v>0.22347180204867775</v>
      </c>
    </row>
    <row r="608" spans="1:15" ht="15.95" customHeight="1">
      <c r="B608" s="33">
        <f t="shared" si="68"/>
        <v>4</v>
      </c>
      <c r="C608" s="25"/>
      <c r="D608" s="25"/>
      <c r="E608" s="34"/>
      <c r="F608" s="30" t="s">
        <v>40</v>
      </c>
      <c r="G608" s="6">
        <f t="shared" si="69"/>
        <v>6906.369999999999</v>
      </c>
      <c r="H608" s="6">
        <v>3417.98</v>
      </c>
      <c r="I608" s="27">
        <v>7575</v>
      </c>
      <c r="J608" s="27"/>
      <c r="K608" s="27">
        <f t="shared" si="65"/>
        <v>17899.349999999999</v>
      </c>
      <c r="L608" s="38">
        <v>4000</v>
      </c>
      <c r="M608" s="9">
        <f t="shared" si="66"/>
        <v>0.22347180204867775</v>
      </c>
      <c r="N608" s="5">
        <v>1</v>
      </c>
      <c r="O608" s="10">
        <f t="shared" si="67"/>
        <v>0.22347180204867775</v>
      </c>
    </row>
    <row r="609" spans="2:15" ht="15.95" customHeight="1">
      <c r="B609" s="33">
        <f t="shared" si="68"/>
        <v>5</v>
      </c>
      <c r="C609" s="25"/>
      <c r="D609" s="25"/>
      <c r="E609" s="34"/>
      <c r="F609" s="30" t="s">
        <v>40</v>
      </c>
      <c r="G609" s="6">
        <f t="shared" si="69"/>
        <v>6906.369999999999</v>
      </c>
      <c r="H609" s="6">
        <v>3417.98</v>
      </c>
      <c r="I609" s="27">
        <v>7575</v>
      </c>
      <c r="J609" s="27"/>
      <c r="K609" s="27">
        <f t="shared" si="65"/>
        <v>17899.349999999999</v>
      </c>
      <c r="L609" s="38">
        <v>4000</v>
      </c>
      <c r="M609" s="9">
        <f t="shared" si="66"/>
        <v>0.22347180204867775</v>
      </c>
      <c r="N609" s="5">
        <v>1</v>
      </c>
      <c r="O609" s="10">
        <f t="shared" si="67"/>
        <v>0.22347180204867775</v>
      </c>
    </row>
    <row r="610" spans="2:15" ht="15.95" customHeight="1">
      <c r="B610" s="33">
        <f t="shared" si="68"/>
        <v>6</v>
      </c>
      <c r="C610" s="25"/>
      <c r="D610" s="25"/>
      <c r="E610" s="34"/>
      <c r="F610" s="30" t="s">
        <v>40</v>
      </c>
      <c r="G610" s="6">
        <f t="shared" si="69"/>
        <v>6906.369999999999</v>
      </c>
      <c r="H610" s="6">
        <v>3417.98</v>
      </c>
      <c r="I610" s="27">
        <v>7575</v>
      </c>
      <c r="J610" s="27"/>
      <c r="K610" s="27">
        <f t="shared" si="65"/>
        <v>17899.349999999999</v>
      </c>
      <c r="L610" s="38">
        <v>4000</v>
      </c>
      <c r="M610" s="9">
        <f t="shared" si="66"/>
        <v>0.22347180204867775</v>
      </c>
      <c r="N610" s="5">
        <v>1</v>
      </c>
      <c r="O610" s="10">
        <f t="shared" si="67"/>
        <v>0.22347180204867775</v>
      </c>
    </row>
    <row r="611" spans="2:15" ht="15.95" customHeight="1">
      <c r="B611" s="33">
        <f t="shared" si="68"/>
        <v>7</v>
      </c>
      <c r="C611" s="25"/>
      <c r="D611" s="25"/>
      <c r="E611" s="34"/>
      <c r="F611" s="30" t="s">
        <v>40</v>
      </c>
      <c r="G611" s="6">
        <f t="shared" si="69"/>
        <v>6906.369999999999</v>
      </c>
      <c r="H611" s="6">
        <v>3417.98</v>
      </c>
      <c r="I611" s="27">
        <v>7575</v>
      </c>
      <c r="J611" s="27"/>
      <c r="K611" s="27">
        <f t="shared" si="65"/>
        <v>17899.349999999999</v>
      </c>
      <c r="L611" s="38">
        <v>4000</v>
      </c>
      <c r="M611" s="9">
        <f t="shared" si="66"/>
        <v>0.22347180204867775</v>
      </c>
      <c r="N611" s="5">
        <v>1</v>
      </c>
      <c r="O611" s="10">
        <f t="shared" si="67"/>
        <v>0.22347180204867775</v>
      </c>
    </row>
    <row r="612" spans="2:15" ht="15.95" customHeight="1">
      <c r="B612" s="33">
        <f t="shared" si="68"/>
        <v>8</v>
      </c>
      <c r="C612" s="25"/>
      <c r="D612" s="25"/>
      <c r="E612" s="34"/>
      <c r="F612" s="30" t="s">
        <v>40</v>
      </c>
      <c r="G612" s="6">
        <f t="shared" si="69"/>
        <v>6906.369999999999</v>
      </c>
      <c r="H612" s="6">
        <v>3417.98</v>
      </c>
      <c r="I612" s="27">
        <v>7575</v>
      </c>
      <c r="J612" s="27"/>
      <c r="K612" s="27">
        <f t="shared" ref="K612:K614" si="70">SUM(G612:I612)</f>
        <v>17899.349999999999</v>
      </c>
      <c r="L612" s="38">
        <v>4000</v>
      </c>
      <c r="M612" s="9">
        <f t="shared" si="66"/>
        <v>0.22347180204867775</v>
      </c>
      <c r="N612" s="5">
        <v>1</v>
      </c>
      <c r="O612" s="10">
        <f t="shared" si="67"/>
        <v>0.22347180204867775</v>
      </c>
    </row>
    <row r="613" spans="2:15" ht="15.95" customHeight="1">
      <c r="B613" s="33">
        <f t="shared" si="68"/>
        <v>9</v>
      </c>
      <c r="C613" s="25"/>
      <c r="D613" s="25"/>
      <c r="E613" s="34"/>
      <c r="F613" s="30" t="s">
        <v>40</v>
      </c>
      <c r="G613" s="6">
        <f t="shared" si="69"/>
        <v>6906.369999999999</v>
      </c>
      <c r="H613" s="6">
        <v>3417.98</v>
      </c>
      <c r="I613" s="27">
        <v>7575</v>
      </c>
      <c r="J613" s="27"/>
      <c r="K613" s="27">
        <f t="shared" si="70"/>
        <v>17899.349999999999</v>
      </c>
      <c r="L613" s="38">
        <v>4000</v>
      </c>
      <c r="M613" s="9">
        <f t="shared" si="66"/>
        <v>0.22347180204867775</v>
      </c>
      <c r="N613" s="5">
        <v>1</v>
      </c>
      <c r="O613" s="10">
        <f t="shared" si="67"/>
        <v>0.22347180204867775</v>
      </c>
    </row>
    <row r="614" spans="2:15" ht="15.95" customHeight="1">
      <c r="B614" s="33">
        <f t="shared" si="68"/>
        <v>10</v>
      </c>
      <c r="C614" s="35"/>
      <c r="D614" s="35"/>
      <c r="E614" s="34"/>
      <c r="F614" s="30" t="s">
        <v>15</v>
      </c>
      <c r="G614" s="6">
        <f t="shared" si="69"/>
        <v>6906.369999999999</v>
      </c>
      <c r="H614" s="6">
        <v>3417.98</v>
      </c>
      <c r="I614" s="27">
        <v>11905</v>
      </c>
      <c r="J614" s="27"/>
      <c r="K614" s="27">
        <f t="shared" si="70"/>
        <v>22229.35</v>
      </c>
      <c r="L614" s="38">
        <v>4000</v>
      </c>
      <c r="M614" s="9">
        <f t="shared" si="66"/>
        <v>0.17994228351256336</v>
      </c>
      <c r="N614" s="5">
        <v>1</v>
      </c>
      <c r="O614" s="10">
        <f t="shared" si="67"/>
        <v>0.17994228351256336</v>
      </c>
    </row>
    <row r="615" spans="2:15" ht="15.95" customHeight="1">
      <c r="B615" s="33">
        <f t="shared" si="68"/>
        <v>11</v>
      </c>
      <c r="C615" s="35"/>
      <c r="D615" s="35"/>
      <c r="E615" s="34"/>
      <c r="F615" s="30" t="s">
        <v>15</v>
      </c>
      <c r="G615" s="6">
        <f t="shared" si="69"/>
        <v>6906.369999999999</v>
      </c>
      <c r="H615" s="6">
        <v>3417.98</v>
      </c>
      <c r="I615" s="27">
        <v>11905</v>
      </c>
      <c r="J615" s="27"/>
      <c r="K615" s="27">
        <f t="shared" ref="K615:K629" si="71">SUM(G615:I615)</f>
        <v>22229.35</v>
      </c>
      <c r="L615" s="38">
        <v>4000</v>
      </c>
      <c r="M615" s="9">
        <f t="shared" si="66"/>
        <v>0.17994228351256336</v>
      </c>
      <c r="N615" s="5">
        <v>1</v>
      </c>
      <c r="O615" s="10">
        <f t="shared" si="67"/>
        <v>0.17994228351256336</v>
      </c>
    </row>
    <row r="616" spans="2:15" ht="15.95" customHeight="1">
      <c r="B616" s="33">
        <f t="shared" si="68"/>
        <v>12</v>
      </c>
      <c r="C616" s="25"/>
      <c r="D616" s="25"/>
      <c r="E616" s="34"/>
      <c r="F616" s="30" t="s">
        <v>15</v>
      </c>
      <c r="G616" s="6">
        <f t="shared" si="69"/>
        <v>6906.369999999999</v>
      </c>
      <c r="H616" s="6">
        <v>3417.98</v>
      </c>
      <c r="I616" s="27">
        <v>11905</v>
      </c>
      <c r="J616" s="27"/>
      <c r="K616" s="27">
        <f t="shared" si="71"/>
        <v>22229.35</v>
      </c>
      <c r="L616" s="38">
        <v>4000</v>
      </c>
      <c r="M616" s="9">
        <f t="shared" si="66"/>
        <v>0.17994228351256336</v>
      </c>
      <c r="N616" s="5">
        <v>1</v>
      </c>
      <c r="O616" s="10">
        <f t="shared" si="67"/>
        <v>0.17994228351256336</v>
      </c>
    </row>
    <row r="617" spans="2:15" ht="15.95" customHeight="1">
      <c r="B617" s="33">
        <f t="shared" si="68"/>
        <v>13</v>
      </c>
      <c r="C617" s="25"/>
      <c r="D617" s="25"/>
      <c r="E617" s="34"/>
      <c r="F617" s="30" t="s">
        <v>15</v>
      </c>
      <c r="G617" s="6">
        <f t="shared" si="69"/>
        <v>6906.369999999999</v>
      </c>
      <c r="H617" s="6">
        <v>3417.98</v>
      </c>
      <c r="I617" s="27">
        <v>11905</v>
      </c>
      <c r="J617" s="27"/>
      <c r="K617" s="27">
        <f t="shared" si="71"/>
        <v>22229.35</v>
      </c>
      <c r="L617" s="38">
        <v>4000</v>
      </c>
      <c r="M617" s="9">
        <f t="shared" si="66"/>
        <v>0.17994228351256336</v>
      </c>
      <c r="N617" s="5">
        <v>1</v>
      </c>
      <c r="O617" s="10">
        <f t="shared" si="67"/>
        <v>0.17994228351256336</v>
      </c>
    </row>
    <row r="618" spans="2:15" ht="15.95" customHeight="1">
      <c r="B618" s="33">
        <f t="shared" si="68"/>
        <v>14</v>
      </c>
      <c r="C618" s="25"/>
      <c r="D618" s="25"/>
      <c r="E618" s="34"/>
      <c r="F618" s="30" t="s">
        <v>15</v>
      </c>
      <c r="G618" s="6">
        <f t="shared" si="69"/>
        <v>6906.369999999999</v>
      </c>
      <c r="H618" s="6">
        <v>3417.98</v>
      </c>
      <c r="I618" s="27">
        <v>11905</v>
      </c>
      <c r="J618" s="27"/>
      <c r="K618" s="27">
        <f t="shared" si="71"/>
        <v>22229.35</v>
      </c>
      <c r="L618" s="38">
        <v>4000</v>
      </c>
      <c r="M618" s="9">
        <f t="shared" si="66"/>
        <v>0.17994228351256336</v>
      </c>
      <c r="N618" s="5">
        <v>1</v>
      </c>
      <c r="O618" s="10">
        <f t="shared" si="67"/>
        <v>0.17994228351256336</v>
      </c>
    </row>
    <row r="619" spans="2:15" ht="15.95" customHeight="1">
      <c r="B619" s="33">
        <f t="shared" si="68"/>
        <v>15</v>
      </c>
      <c r="C619" s="25"/>
      <c r="D619" s="25"/>
      <c r="E619" s="34"/>
      <c r="F619" s="30" t="s">
        <v>15</v>
      </c>
      <c r="G619" s="6">
        <f t="shared" si="69"/>
        <v>6906.369999999999</v>
      </c>
      <c r="H619" s="6">
        <v>3417.98</v>
      </c>
      <c r="I619" s="27">
        <v>11905</v>
      </c>
      <c r="J619" s="27"/>
      <c r="K619" s="27">
        <f t="shared" si="71"/>
        <v>22229.35</v>
      </c>
      <c r="L619" s="38">
        <v>4000</v>
      </c>
      <c r="M619" s="9">
        <f t="shared" si="66"/>
        <v>0.17994228351256336</v>
      </c>
      <c r="N619" s="5">
        <v>1</v>
      </c>
      <c r="O619" s="10">
        <f t="shared" si="67"/>
        <v>0.17994228351256336</v>
      </c>
    </row>
    <row r="620" spans="2:15" ht="15.95" customHeight="1">
      <c r="B620" s="33">
        <f t="shared" si="68"/>
        <v>16</v>
      </c>
      <c r="C620" s="25"/>
      <c r="D620" s="25"/>
      <c r="E620" s="34"/>
      <c r="F620" s="30" t="s">
        <v>15</v>
      </c>
      <c r="G620" s="6">
        <f t="shared" si="69"/>
        <v>6906.369999999999</v>
      </c>
      <c r="H620" s="6">
        <v>3417.98</v>
      </c>
      <c r="I620" s="27">
        <v>11905</v>
      </c>
      <c r="J620" s="27"/>
      <c r="K620" s="27">
        <f t="shared" si="71"/>
        <v>22229.35</v>
      </c>
      <c r="L620" s="38">
        <v>4000</v>
      </c>
      <c r="M620" s="9">
        <f t="shared" si="66"/>
        <v>0.17994228351256336</v>
      </c>
      <c r="N620" s="5">
        <v>1</v>
      </c>
      <c r="O620" s="10">
        <f t="shared" si="67"/>
        <v>0.17994228351256336</v>
      </c>
    </row>
    <row r="621" spans="2:15" ht="15.95" customHeight="1">
      <c r="B621" s="33">
        <f t="shared" si="68"/>
        <v>17</v>
      </c>
      <c r="C621" s="25"/>
      <c r="D621" s="25"/>
      <c r="E621" s="34"/>
      <c r="F621" s="30" t="s">
        <v>15</v>
      </c>
      <c r="G621" s="6">
        <f t="shared" si="69"/>
        <v>6906.369999999999</v>
      </c>
      <c r="H621" s="6">
        <v>3417.98</v>
      </c>
      <c r="I621" s="27">
        <v>11905</v>
      </c>
      <c r="J621" s="27"/>
      <c r="K621" s="27">
        <f t="shared" si="71"/>
        <v>22229.35</v>
      </c>
      <c r="L621" s="38">
        <v>4000</v>
      </c>
      <c r="M621" s="9">
        <f t="shared" si="66"/>
        <v>0.17994228351256336</v>
      </c>
      <c r="N621" s="5">
        <v>1</v>
      </c>
      <c r="O621" s="10">
        <f t="shared" si="67"/>
        <v>0.17994228351256336</v>
      </c>
    </row>
    <row r="622" spans="2:15" ht="15.95" customHeight="1">
      <c r="B622" s="33">
        <f t="shared" si="68"/>
        <v>18</v>
      </c>
      <c r="C622" s="25"/>
      <c r="D622" s="25"/>
      <c r="E622" s="34"/>
      <c r="F622" s="30" t="s">
        <v>15</v>
      </c>
      <c r="G622" s="6">
        <f t="shared" si="69"/>
        <v>6906.369999999999</v>
      </c>
      <c r="H622" s="6">
        <v>3417.98</v>
      </c>
      <c r="I622" s="27">
        <v>11905</v>
      </c>
      <c r="J622" s="27"/>
      <c r="K622" s="27">
        <f t="shared" si="71"/>
        <v>22229.35</v>
      </c>
      <c r="L622" s="38">
        <v>4000</v>
      </c>
      <c r="M622" s="9">
        <f t="shared" si="66"/>
        <v>0.17994228351256336</v>
      </c>
      <c r="N622" s="5">
        <v>1</v>
      </c>
      <c r="O622" s="10">
        <f t="shared" si="67"/>
        <v>0.17994228351256336</v>
      </c>
    </row>
    <row r="623" spans="2:15" ht="15.95" customHeight="1">
      <c r="B623" s="33">
        <f t="shared" si="68"/>
        <v>19</v>
      </c>
      <c r="C623" s="25"/>
      <c r="D623" s="25"/>
      <c r="E623" s="34"/>
      <c r="F623" s="30" t="s">
        <v>15</v>
      </c>
      <c r="G623" s="6">
        <f t="shared" si="69"/>
        <v>6906.369999999999</v>
      </c>
      <c r="H623" s="6">
        <v>3417.98</v>
      </c>
      <c r="I623" s="27">
        <v>11905</v>
      </c>
      <c r="J623" s="27"/>
      <c r="K623" s="27">
        <f t="shared" si="71"/>
        <v>22229.35</v>
      </c>
      <c r="L623" s="38">
        <v>4000</v>
      </c>
      <c r="M623" s="9">
        <f t="shared" si="66"/>
        <v>0.17994228351256336</v>
      </c>
      <c r="N623" s="5">
        <v>1</v>
      </c>
      <c r="O623" s="10">
        <f t="shared" si="67"/>
        <v>0.17994228351256336</v>
      </c>
    </row>
    <row r="624" spans="2:15" ht="15.95" customHeight="1">
      <c r="B624" s="33">
        <f t="shared" si="68"/>
        <v>20</v>
      </c>
      <c r="C624" s="25"/>
      <c r="D624" s="25"/>
      <c r="E624" s="34"/>
      <c r="F624" s="30" t="s">
        <v>15</v>
      </c>
      <c r="G624" s="6">
        <f t="shared" si="69"/>
        <v>6906.369999999999</v>
      </c>
      <c r="H624" s="6">
        <v>3417.98</v>
      </c>
      <c r="I624" s="27">
        <v>11905</v>
      </c>
      <c r="J624" s="27"/>
      <c r="K624" s="27">
        <f t="shared" si="71"/>
        <v>22229.35</v>
      </c>
      <c r="L624" s="38">
        <v>4000</v>
      </c>
      <c r="M624" s="9">
        <f t="shared" si="66"/>
        <v>0.17994228351256336</v>
      </c>
      <c r="N624" s="5">
        <v>1</v>
      </c>
      <c r="O624" s="10">
        <f t="shared" si="67"/>
        <v>0.17994228351256336</v>
      </c>
    </row>
    <row r="625" spans="1:15" ht="15.95" customHeight="1">
      <c r="B625" s="33">
        <f t="shared" si="68"/>
        <v>21</v>
      </c>
      <c r="C625" s="25"/>
      <c r="D625" s="25"/>
      <c r="E625" s="34"/>
      <c r="F625" s="30" t="s">
        <v>15</v>
      </c>
      <c r="G625" s="6">
        <f t="shared" si="69"/>
        <v>6906.369999999999</v>
      </c>
      <c r="H625" s="6">
        <v>3417.98</v>
      </c>
      <c r="I625" s="27">
        <v>11905</v>
      </c>
      <c r="J625" s="27"/>
      <c r="K625" s="27">
        <f t="shared" si="71"/>
        <v>22229.35</v>
      </c>
      <c r="L625" s="38">
        <v>4000</v>
      </c>
      <c r="M625" s="9">
        <f t="shared" si="66"/>
        <v>0.17994228351256336</v>
      </c>
      <c r="N625" s="5">
        <v>1</v>
      </c>
      <c r="O625" s="10">
        <f t="shared" si="67"/>
        <v>0.17994228351256336</v>
      </c>
    </row>
    <row r="626" spans="1:15" ht="15.95" customHeight="1">
      <c r="B626" s="33">
        <f t="shared" si="68"/>
        <v>22</v>
      </c>
      <c r="C626" s="25"/>
      <c r="D626" s="25"/>
      <c r="E626" s="34"/>
      <c r="F626" s="30" t="s">
        <v>15</v>
      </c>
      <c r="G626" s="6">
        <f t="shared" si="69"/>
        <v>6906.369999999999</v>
      </c>
      <c r="H626" s="6">
        <v>3417.98</v>
      </c>
      <c r="I626" s="27">
        <v>11905</v>
      </c>
      <c r="J626" s="27"/>
      <c r="K626" s="27">
        <f t="shared" si="71"/>
        <v>22229.35</v>
      </c>
      <c r="L626" s="38">
        <v>4000</v>
      </c>
      <c r="M626" s="9">
        <f t="shared" si="66"/>
        <v>0.17994228351256336</v>
      </c>
      <c r="N626" s="5">
        <v>1</v>
      </c>
      <c r="O626" s="10">
        <f t="shared" si="67"/>
        <v>0.17994228351256336</v>
      </c>
    </row>
    <row r="627" spans="1:15" ht="15.95" customHeight="1">
      <c r="B627" s="33">
        <f t="shared" si="68"/>
        <v>23</v>
      </c>
      <c r="C627" s="25"/>
      <c r="D627" s="25"/>
      <c r="E627" s="34"/>
      <c r="F627" s="30" t="s">
        <v>15</v>
      </c>
      <c r="G627" s="6">
        <f t="shared" si="69"/>
        <v>6906.369999999999</v>
      </c>
      <c r="H627" s="6">
        <v>3417.98</v>
      </c>
      <c r="I627" s="27">
        <v>11905</v>
      </c>
      <c r="J627" s="27"/>
      <c r="K627" s="27">
        <f t="shared" si="71"/>
        <v>22229.35</v>
      </c>
      <c r="L627" s="38">
        <v>4000</v>
      </c>
      <c r="M627" s="9">
        <f t="shared" si="66"/>
        <v>0.17994228351256336</v>
      </c>
      <c r="N627" s="5">
        <v>1</v>
      </c>
      <c r="O627" s="10">
        <f t="shared" si="67"/>
        <v>0.17994228351256336</v>
      </c>
    </row>
    <row r="628" spans="1:15" ht="15.95" customHeight="1">
      <c r="B628" s="33">
        <f t="shared" si="68"/>
        <v>24</v>
      </c>
      <c r="C628" s="25"/>
      <c r="D628" s="25"/>
      <c r="E628" s="34"/>
      <c r="F628" s="30" t="s">
        <v>15</v>
      </c>
      <c r="G628" s="6">
        <f t="shared" si="69"/>
        <v>6906.369999999999</v>
      </c>
      <c r="H628" s="6">
        <v>3417.98</v>
      </c>
      <c r="I628" s="27">
        <v>11905</v>
      </c>
      <c r="J628" s="27"/>
      <c r="K628" s="27">
        <f t="shared" si="71"/>
        <v>22229.35</v>
      </c>
      <c r="L628" s="38">
        <v>4000</v>
      </c>
      <c r="M628" s="9">
        <f t="shared" si="66"/>
        <v>0.17994228351256336</v>
      </c>
      <c r="N628" s="5">
        <v>1</v>
      </c>
      <c r="O628" s="10">
        <f t="shared" si="67"/>
        <v>0.17994228351256336</v>
      </c>
    </row>
    <row r="629" spans="1:15" ht="15.95" customHeight="1">
      <c r="B629" s="33">
        <f t="shared" si="68"/>
        <v>25</v>
      </c>
      <c r="C629" s="25"/>
      <c r="D629" s="25"/>
      <c r="E629" s="34"/>
      <c r="F629" s="30" t="s">
        <v>15</v>
      </c>
      <c r="G629" s="6">
        <f t="shared" si="69"/>
        <v>6906.369999999999</v>
      </c>
      <c r="H629" s="6">
        <v>3417.98</v>
      </c>
      <c r="I629" s="27">
        <v>11905</v>
      </c>
      <c r="J629" s="27"/>
      <c r="K629" s="27">
        <f t="shared" si="71"/>
        <v>22229.35</v>
      </c>
      <c r="L629" s="38">
        <v>4000</v>
      </c>
      <c r="M629" s="9">
        <f>L629/K629</f>
        <v>0.17994228351256336</v>
      </c>
      <c r="N629" s="5">
        <v>1</v>
      </c>
      <c r="O629" s="10">
        <f t="shared" si="67"/>
        <v>0.17994228351256336</v>
      </c>
    </row>
    <row r="630" spans="1:15" ht="15.95" customHeight="1">
      <c r="C630" s="35" t="s">
        <v>22</v>
      </c>
      <c r="D630" s="43">
        <v>14000</v>
      </c>
      <c r="E630" s="34"/>
      <c r="F630" s="30"/>
      <c r="G630" s="6"/>
      <c r="H630" s="6"/>
      <c r="I630" s="27"/>
      <c r="J630" s="27"/>
      <c r="K630" s="27"/>
      <c r="L630" s="38"/>
      <c r="M630" s="9"/>
      <c r="N630" s="5"/>
      <c r="O630" s="10"/>
    </row>
    <row r="631" spans="1:15" ht="15.95" customHeight="1">
      <c r="A631" s="66" t="s">
        <v>45</v>
      </c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22">
        <f>SUM(N605:N629)</f>
        <v>25</v>
      </c>
      <c r="O631" s="23">
        <f>SUM(O605:O629)</f>
        <v>4.8903227546391115</v>
      </c>
    </row>
    <row r="632" spans="1:15" ht="15.95" customHeight="1">
      <c r="B632" s="11"/>
      <c r="C632" s="11"/>
      <c r="D632" s="11"/>
      <c r="E632" s="11"/>
      <c r="F632" s="42"/>
      <c r="G632" s="11"/>
      <c r="H632" s="11"/>
      <c r="I632" s="11"/>
      <c r="J632" s="11"/>
      <c r="K632" s="11"/>
      <c r="L632" s="37"/>
      <c r="M632" s="11"/>
      <c r="N632" s="22"/>
      <c r="O632" s="23"/>
    </row>
    <row r="633" spans="1:15" ht="15.95" customHeight="1">
      <c r="A633" s="12" t="s">
        <v>129</v>
      </c>
      <c r="B633" s="33">
        <f t="shared" ref="B633" si="72">B632+1</f>
        <v>1</v>
      </c>
      <c r="C633" s="35"/>
      <c r="D633" s="35"/>
      <c r="E633" s="11"/>
      <c r="F633" s="30" t="s">
        <v>15</v>
      </c>
      <c r="G633" s="6">
        <f>20906.37-D635</f>
        <v>6906.369999999999</v>
      </c>
      <c r="H633" s="6">
        <v>3417.98</v>
      </c>
      <c r="I633" s="27">
        <v>11905</v>
      </c>
      <c r="J633" s="27"/>
      <c r="K633" s="27">
        <f t="shared" ref="K633:K634" si="73">SUM(G633:I633)</f>
        <v>22229.35</v>
      </c>
      <c r="L633" s="38">
        <f>K633</f>
        <v>22229.35</v>
      </c>
      <c r="M633" s="9">
        <f t="shared" ref="M633:M634" si="74">L633/K633</f>
        <v>1</v>
      </c>
      <c r="N633" s="5">
        <v>1</v>
      </c>
      <c r="O633" s="10">
        <f t="shared" ref="O633:O634" si="75">N633*M633</f>
        <v>1</v>
      </c>
    </row>
    <row r="634" spans="1:15" ht="15.95" customHeight="1">
      <c r="A634" s="59" t="s">
        <v>130</v>
      </c>
      <c r="B634" s="33">
        <f>B633+1</f>
        <v>2</v>
      </c>
      <c r="C634" s="35"/>
      <c r="D634" s="35"/>
      <c r="E634" s="11"/>
      <c r="F634" s="30" t="s">
        <v>40</v>
      </c>
      <c r="G634" s="6">
        <f>20906.37-D635</f>
        <v>6906.369999999999</v>
      </c>
      <c r="H634" s="6">
        <v>3417.98</v>
      </c>
      <c r="I634" s="27">
        <v>7575</v>
      </c>
      <c r="J634" s="27"/>
      <c r="K634" s="27">
        <f t="shared" si="73"/>
        <v>17899.349999999999</v>
      </c>
      <c r="L634" s="38">
        <f>K634</f>
        <v>17899.349999999999</v>
      </c>
      <c r="M634" s="9">
        <f t="shared" si="74"/>
        <v>1</v>
      </c>
      <c r="N634" s="5">
        <v>1</v>
      </c>
      <c r="O634" s="10">
        <f t="shared" si="75"/>
        <v>1</v>
      </c>
    </row>
    <row r="635" spans="1:15" ht="15.95" customHeight="1">
      <c r="A635" s="41"/>
      <c r="C635" s="35" t="s">
        <v>22</v>
      </c>
      <c r="D635" s="43">
        <v>14000</v>
      </c>
      <c r="E635" s="11"/>
      <c r="F635" s="30"/>
      <c r="G635" s="6"/>
      <c r="H635" s="6"/>
      <c r="I635" s="27"/>
      <c r="J635" s="27"/>
      <c r="K635" s="27"/>
      <c r="L635" s="38"/>
      <c r="M635" s="9"/>
      <c r="N635" s="5"/>
      <c r="O635" s="10"/>
    </row>
    <row r="636" spans="1:15" ht="15.95" customHeight="1">
      <c r="A636" s="66" t="s">
        <v>45</v>
      </c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22">
        <f>SUM(N633:N634)</f>
        <v>2</v>
      </c>
      <c r="O636" s="23">
        <f>SUM(O633:O634)</f>
        <v>2</v>
      </c>
    </row>
    <row r="637" spans="1:15" ht="15.95" customHeight="1">
      <c r="B637" s="11"/>
      <c r="C637" s="11"/>
      <c r="D637" s="11"/>
      <c r="E637" s="11"/>
      <c r="F637" s="42"/>
      <c r="G637" s="11"/>
      <c r="H637" s="11"/>
      <c r="I637" s="11"/>
      <c r="J637" s="11"/>
      <c r="K637" s="11"/>
      <c r="L637" s="37"/>
      <c r="M637" s="11"/>
      <c r="N637" s="22"/>
      <c r="O637" s="23"/>
    </row>
    <row r="638" spans="1:15" ht="13.5" customHeight="1">
      <c r="A638" s="12" t="s">
        <v>14</v>
      </c>
      <c r="B638" s="24">
        <v>1</v>
      </c>
      <c r="C638" s="25"/>
      <c r="D638" s="25"/>
      <c r="E638" s="26"/>
      <c r="F638" s="9" t="s">
        <v>40</v>
      </c>
      <c r="G638" s="6">
        <v>20906.37</v>
      </c>
      <c r="H638" s="6">
        <v>3417.98</v>
      </c>
      <c r="I638" s="27">
        <v>7575</v>
      </c>
      <c r="J638" s="27"/>
      <c r="K638" s="27">
        <f>SUM(G638:I638)</f>
        <v>31899.35</v>
      </c>
      <c r="L638" s="39">
        <v>14000</v>
      </c>
      <c r="M638" s="9">
        <f>L638/K638</f>
        <v>0.43888041605863443</v>
      </c>
      <c r="N638" s="5">
        <v>1</v>
      </c>
      <c r="O638" s="10">
        <f t="shared" ref="O638" si="76">N638*M638</f>
        <v>0.43888041605863443</v>
      </c>
    </row>
    <row r="639" spans="1:15" ht="13.5" customHeight="1">
      <c r="B639" s="24">
        <v>2</v>
      </c>
      <c r="C639" s="25"/>
      <c r="D639" s="25"/>
      <c r="E639" s="26"/>
      <c r="F639" s="9" t="s">
        <v>40</v>
      </c>
      <c r="G639" s="6">
        <v>20906.37</v>
      </c>
      <c r="H639" s="6">
        <v>3417.98</v>
      </c>
      <c r="I639" s="27">
        <v>7575</v>
      </c>
      <c r="J639" s="27"/>
      <c r="K639" s="27">
        <f t="shared" ref="K639:K702" si="77">SUM(G639:I639)</f>
        <v>31899.35</v>
      </c>
      <c r="L639" s="39">
        <v>14000</v>
      </c>
      <c r="M639" s="9">
        <f t="shared" ref="M639:M702" si="78">L639/K639</f>
        <v>0.43888041605863443</v>
      </c>
      <c r="N639" s="5">
        <v>1</v>
      </c>
      <c r="O639" s="10">
        <f t="shared" ref="O639:O702" si="79">N639*M639</f>
        <v>0.43888041605863443</v>
      </c>
    </row>
    <row r="640" spans="1:15" ht="13.5" customHeight="1">
      <c r="B640" s="24">
        <v>3</v>
      </c>
      <c r="C640" s="25"/>
      <c r="D640" s="25"/>
      <c r="E640" s="26"/>
      <c r="F640" s="9" t="s">
        <v>40</v>
      </c>
      <c r="G640" s="6">
        <v>20906.37</v>
      </c>
      <c r="H640" s="6">
        <v>3417.98</v>
      </c>
      <c r="I640" s="27">
        <v>7575</v>
      </c>
      <c r="J640" s="27"/>
      <c r="K640" s="27">
        <f t="shared" si="77"/>
        <v>31899.35</v>
      </c>
      <c r="L640" s="39">
        <v>17500</v>
      </c>
      <c r="M640" s="9">
        <f t="shared" si="78"/>
        <v>0.54860052007329307</v>
      </c>
      <c r="N640" s="5">
        <v>1</v>
      </c>
      <c r="O640" s="10">
        <f t="shared" si="79"/>
        <v>0.54860052007329307</v>
      </c>
    </row>
    <row r="641" spans="2:15" ht="13.5" customHeight="1">
      <c r="B641" s="24">
        <v>4</v>
      </c>
      <c r="C641" s="25"/>
      <c r="D641" s="25"/>
      <c r="E641" s="26"/>
      <c r="F641" s="9" t="s">
        <v>40</v>
      </c>
      <c r="G641" s="6">
        <v>20906.37</v>
      </c>
      <c r="H641" s="6">
        <v>3417.98</v>
      </c>
      <c r="I641" s="27">
        <v>7575</v>
      </c>
      <c r="J641" s="27"/>
      <c r="K641" s="27">
        <f t="shared" si="77"/>
        <v>31899.35</v>
      </c>
      <c r="L641" s="39">
        <v>14000</v>
      </c>
      <c r="M641" s="9">
        <f t="shared" si="78"/>
        <v>0.43888041605863443</v>
      </c>
      <c r="N641" s="5">
        <v>1</v>
      </c>
      <c r="O641" s="10">
        <f t="shared" si="79"/>
        <v>0.43888041605863443</v>
      </c>
    </row>
    <row r="642" spans="2:15" ht="13.5" customHeight="1">
      <c r="B642" s="24">
        <v>5</v>
      </c>
      <c r="C642" s="25"/>
      <c r="D642" s="25"/>
      <c r="E642" s="26"/>
      <c r="F642" s="9" t="s">
        <v>40</v>
      </c>
      <c r="G642" s="6">
        <v>20906.37</v>
      </c>
      <c r="H642" s="6">
        <v>3417.98</v>
      </c>
      <c r="I642" s="27">
        <v>7575</v>
      </c>
      <c r="J642" s="27"/>
      <c r="K642" s="27">
        <f t="shared" si="77"/>
        <v>31899.35</v>
      </c>
      <c r="L642" s="39">
        <v>14000</v>
      </c>
      <c r="M642" s="9">
        <f t="shared" si="78"/>
        <v>0.43888041605863443</v>
      </c>
      <c r="N642" s="5">
        <v>1</v>
      </c>
      <c r="O642" s="10">
        <f t="shared" si="79"/>
        <v>0.43888041605863443</v>
      </c>
    </row>
    <row r="643" spans="2:15" ht="13.5" customHeight="1">
      <c r="B643" s="24">
        <v>6</v>
      </c>
      <c r="C643" s="25"/>
      <c r="D643" s="25"/>
      <c r="E643" s="26"/>
      <c r="F643" s="9" t="s">
        <v>40</v>
      </c>
      <c r="G643" s="6">
        <v>20906.37</v>
      </c>
      <c r="H643" s="6">
        <v>3417.98</v>
      </c>
      <c r="I643" s="27">
        <v>7575</v>
      </c>
      <c r="J643" s="27"/>
      <c r="K643" s="27">
        <f t="shared" si="77"/>
        <v>31899.35</v>
      </c>
      <c r="L643" s="39">
        <v>14000</v>
      </c>
      <c r="M643" s="9">
        <f t="shared" si="78"/>
        <v>0.43888041605863443</v>
      </c>
      <c r="N643" s="5">
        <v>1</v>
      </c>
      <c r="O643" s="10">
        <f t="shared" si="79"/>
        <v>0.43888041605863443</v>
      </c>
    </row>
    <row r="644" spans="2:15" ht="13.5" customHeight="1">
      <c r="B644" s="24">
        <v>7</v>
      </c>
      <c r="C644" s="25"/>
      <c r="D644" s="25"/>
      <c r="E644" s="26"/>
      <c r="F644" s="9" t="s">
        <v>40</v>
      </c>
      <c r="G644" s="6">
        <v>20906.37</v>
      </c>
      <c r="H644" s="6">
        <v>3417.98</v>
      </c>
      <c r="I644" s="27">
        <v>7575</v>
      </c>
      <c r="J644" s="27"/>
      <c r="K644" s="27">
        <f t="shared" si="77"/>
        <v>31899.35</v>
      </c>
      <c r="L644" s="39">
        <v>14000</v>
      </c>
      <c r="M644" s="9">
        <f t="shared" si="78"/>
        <v>0.43888041605863443</v>
      </c>
      <c r="N644" s="5">
        <v>1</v>
      </c>
      <c r="O644" s="10">
        <f t="shared" si="79"/>
        <v>0.43888041605863443</v>
      </c>
    </row>
    <row r="645" spans="2:15" ht="13.5" customHeight="1">
      <c r="B645" s="24">
        <v>8</v>
      </c>
      <c r="C645" s="25"/>
      <c r="D645" s="25"/>
      <c r="E645" s="26"/>
      <c r="F645" s="9" t="s">
        <v>40</v>
      </c>
      <c r="G645" s="6">
        <v>20906.37</v>
      </c>
      <c r="H645" s="6">
        <v>3417.98</v>
      </c>
      <c r="I645" s="27">
        <v>7575</v>
      </c>
      <c r="J645" s="27"/>
      <c r="K645" s="27">
        <f t="shared" si="77"/>
        <v>31899.35</v>
      </c>
      <c r="L645" s="39">
        <v>17500</v>
      </c>
      <c r="M645" s="9">
        <f t="shared" si="78"/>
        <v>0.54860052007329307</v>
      </c>
      <c r="N645" s="5">
        <v>1</v>
      </c>
      <c r="O645" s="10">
        <f t="shared" si="79"/>
        <v>0.54860052007329307</v>
      </c>
    </row>
    <row r="646" spans="2:15" ht="13.5" customHeight="1">
      <c r="B646" s="24">
        <v>9</v>
      </c>
      <c r="C646" s="25"/>
      <c r="D646" s="25"/>
      <c r="E646" s="26"/>
      <c r="F646" s="9" t="s">
        <v>40</v>
      </c>
      <c r="G646" s="6">
        <v>20906.37</v>
      </c>
      <c r="H646" s="6">
        <v>3417.98</v>
      </c>
      <c r="I646" s="27">
        <v>7575</v>
      </c>
      <c r="J646" s="27"/>
      <c r="K646" s="27">
        <f t="shared" si="77"/>
        <v>31899.35</v>
      </c>
      <c r="L646" s="39">
        <v>14000</v>
      </c>
      <c r="M646" s="9">
        <f t="shared" si="78"/>
        <v>0.43888041605863443</v>
      </c>
      <c r="N646" s="5">
        <v>1</v>
      </c>
      <c r="O646" s="10">
        <f t="shared" si="79"/>
        <v>0.43888041605863443</v>
      </c>
    </row>
    <row r="647" spans="2:15" ht="13.5" customHeight="1">
      <c r="B647" s="24">
        <v>10</v>
      </c>
      <c r="C647" s="25"/>
      <c r="D647" s="25"/>
      <c r="E647" s="26"/>
      <c r="F647" s="9" t="s">
        <v>40</v>
      </c>
      <c r="G647" s="6">
        <v>20906.37</v>
      </c>
      <c r="H647" s="6">
        <v>3417.98</v>
      </c>
      <c r="I647" s="27">
        <v>7575</v>
      </c>
      <c r="J647" s="27"/>
      <c r="K647" s="27">
        <f t="shared" si="77"/>
        <v>31899.35</v>
      </c>
      <c r="L647" s="39">
        <v>17500</v>
      </c>
      <c r="M647" s="9">
        <f t="shared" si="78"/>
        <v>0.54860052007329307</v>
      </c>
      <c r="N647" s="5">
        <v>1</v>
      </c>
      <c r="O647" s="10">
        <f t="shared" si="79"/>
        <v>0.54860052007329307</v>
      </c>
    </row>
    <row r="648" spans="2:15" ht="13.5" customHeight="1">
      <c r="B648" s="24">
        <v>11</v>
      </c>
      <c r="C648" s="25"/>
      <c r="D648" s="25"/>
      <c r="E648" s="26"/>
      <c r="F648" s="9" t="s">
        <v>40</v>
      </c>
      <c r="G648" s="6">
        <v>20906.37</v>
      </c>
      <c r="H648" s="6">
        <v>3417.98</v>
      </c>
      <c r="I648" s="27">
        <v>7575</v>
      </c>
      <c r="J648" s="27"/>
      <c r="K648" s="27">
        <f t="shared" si="77"/>
        <v>31899.35</v>
      </c>
      <c r="L648" s="39">
        <v>17500</v>
      </c>
      <c r="M648" s="9">
        <f t="shared" si="78"/>
        <v>0.54860052007329307</v>
      </c>
      <c r="N648" s="5">
        <v>1</v>
      </c>
      <c r="O648" s="10">
        <f t="shared" si="79"/>
        <v>0.54860052007329307</v>
      </c>
    </row>
    <row r="649" spans="2:15" ht="13.5" customHeight="1">
      <c r="B649" s="24">
        <v>12</v>
      </c>
      <c r="C649" s="25"/>
      <c r="D649" s="25"/>
      <c r="E649" s="26"/>
      <c r="F649" s="9" t="s">
        <v>40</v>
      </c>
      <c r="G649" s="6">
        <v>20906.37</v>
      </c>
      <c r="H649" s="6">
        <v>3417.98</v>
      </c>
      <c r="I649" s="27">
        <v>7575</v>
      </c>
      <c r="J649" s="27"/>
      <c r="K649" s="27">
        <f t="shared" si="77"/>
        <v>31899.35</v>
      </c>
      <c r="L649" s="39">
        <v>14000</v>
      </c>
      <c r="M649" s="9">
        <f t="shared" si="78"/>
        <v>0.43888041605863443</v>
      </c>
      <c r="N649" s="5">
        <v>1</v>
      </c>
      <c r="O649" s="10">
        <f t="shared" si="79"/>
        <v>0.43888041605863443</v>
      </c>
    </row>
    <row r="650" spans="2:15" ht="13.5" customHeight="1">
      <c r="B650" s="24">
        <v>13</v>
      </c>
      <c r="C650" s="25"/>
      <c r="D650" s="25"/>
      <c r="E650" s="26"/>
      <c r="F650" s="9" t="s">
        <v>40</v>
      </c>
      <c r="G650" s="6">
        <v>20906.37</v>
      </c>
      <c r="H650" s="6">
        <v>3417.98</v>
      </c>
      <c r="I650" s="27">
        <v>7575</v>
      </c>
      <c r="J650" s="27"/>
      <c r="K650" s="27">
        <f t="shared" si="77"/>
        <v>31899.35</v>
      </c>
      <c r="L650" s="39">
        <v>14000</v>
      </c>
      <c r="M650" s="9">
        <f t="shared" si="78"/>
        <v>0.43888041605863443</v>
      </c>
      <c r="N650" s="5">
        <v>1</v>
      </c>
      <c r="O650" s="10">
        <f t="shared" si="79"/>
        <v>0.43888041605863443</v>
      </c>
    </row>
    <row r="651" spans="2:15" ht="13.5" customHeight="1">
      <c r="B651" s="24">
        <v>14</v>
      </c>
      <c r="C651" s="25"/>
      <c r="D651" s="25"/>
      <c r="E651" s="26"/>
      <c r="F651" s="9" t="s">
        <v>40</v>
      </c>
      <c r="G651" s="6">
        <v>20906.37</v>
      </c>
      <c r="H651" s="6">
        <v>3417.98</v>
      </c>
      <c r="I651" s="27">
        <v>7575</v>
      </c>
      <c r="J651" s="27"/>
      <c r="K651" s="27">
        <f t="shared" si="77"/>
        <v>31899.35</v>
      </c>
      <c r="L651" s="39">
        <v>14000</v>
      </c>
      <c r="M651" s="9">
        <f t="shared" si="78"/>
        <v>0.43888041605863443</v>
      </c>
      <c r="N651" s="5">
        <v>1</v>
      </c>
      <c r="O651" s="10">
        <f t="shared" si="79"/>
        <v>0.43888041605863443</v>
      </c>
    </row>
    <row r="652" spans="2:15" ht="13.5" customHeight="1">
      <c r="B652" s="24">
        <v>15</v>
      </c>
      <c r="C652" s="25"/>
      <c r="D652" s="25"/>
      <c r="E652" s="26"/>
      <c r="F652" s="9" t="s">
        <v>40</v>
      </c>
      <c r="G652" s="6">
        <v>20906.37</v>
      </c>
      <c r="H652" s="6">
        <v>3417.98</v>
      </c>
      <c r="I652" s="27">
        <v>7575</v>
      </c>
      <c r="J652" s="27"/>
      <c r="K652" s="27">
        <f t="shared" si="77"/>
        <v>31899.35</v>
      </c>
      <c r="L652" s="39">
        <v>14000</v>
      </c>
      <c r="M652" s="9">
        <f t="shared" si="78"/>
        <v>0.43888041605863443</v>
      </c>
      <c r="N652" s="5">
        <v>1</v>
      </c>
      <c r="O652" s="10">
        <f t="shared" si="79"/>
        <v>0.43888041605863443</v>
      </c>
    </row>
    <row r="653" spans="2:15" ht="13.5" customHeight="1">
      <c r="B653" s="24">
        <v>16</v>
      </c>
      <c r="C653" s="25"/>
      <c r="D653" s="25"/>
      <c r="E653" s="26"/>
      <c r="F653" s="9" t="s">
        <v>40</v>
      </c>
      <c r="G653" s="6">
        <v>20906.37</v>
      </c>
      <c r="H653" s="6">
        <v>3417.98</v>
      </c>
      <c r="I653" s="27">
        <v>7575</v>
      </c>
      <c r="J653" s="27"/>
      <c r="K653" s="27">
        <f t="shared" si="77"/>
        <v>31899.35</v>
      </c>
      <c r="L653" s="39">
        <v>17500</v>
      </c>
      <c r="M653" s="9">
        <f t="shared" si="78"/>
        <v>0.54860052007329307</v>
      </c>
      <c r="N653" s="5">
        <v>1</v>
      </c>
      <c r="O653" s="10">
        <f t="shared" si="79"/>
        <v>0.54860052007329307</v>
      </c>
    </row>
    <row r="654" spans="2:15" ht="13.5" customHeight="1">
      <c r="B654" s="24">
        <v>17</v>
      </c>
      <c r="C654" s="25"/>
      <c r="D654" s="25"/>
      <c r="E654" s="26"/>
      <c r="F654" s="9" t="s">
        <v>40</v>
      </c>
      <c r="G654" s="6">
        <v>20906.37</v>
      </c>
      <c r="H654" s="6">
        <v>3417.98</v>
      </c>
      <c r="I654" s="27">
        <v>7575</v>
      </c>
      <c r="J654" s="27"/>
      <c r="K654" s="27">
        <f t="shared" si="77"/>
        <v>31899.35</v>
      </c>
      <c r="L654" s="39">
        <v>14000</v>
      </c>
      <c r="M654" s="9">
        <f t="shared" si="78"/>
        <v>0.43888041605863443</v>
      </c>
      <c r="N654" s="5">
        <v>1</v>
      </c>
      <c r="O654" s="10">
        <f t="shared" si="79"/>
        <v>0.43888041605863443</v>
      </c>
    </row>
    <row r="655" spans="2:15" ht="13.5" customHeight="1">
      <c r="B655" s="24">
        <v>18</v>
      </c>
      <c r="C655" s="25"/>
      <c r="D655" s="25"/>
      <c r="E655" s="26"/>
      <c r="F655" s="9" t="s">
        <v>40</v>
      </c>
      <c r="G655" s="6">
        <v>20906.37</v>
      </c>
      <c r="H655" s="6">
        <v>3417.98</v>
      </c>
      <c r="I655" s="27">
        <v>7575</v>
      </c>
      <c r="J655" s="27"/>
      <c r="K655" s="27">
        <f t="shared" si="77"/>
        <v>31899.35</v>
      </c>
      <c r="L655" s="39">
        <v>17500</v>
      </c>
      <c r="M655" s="9">
        <f t="shared" si="78"/>
        <v>0.54860052007329307</v>
      </c>
      <c r="N655" s="5">
        <v>1</v>
      </c>
      <c r="O655" s="10">
        <f t="shared" si="79"/>
        <v>0.54860052007329307</v>
      </c>
    </row>
    <row r="656" spans="2:15" ht="13.5" customHeight="1">
      <c r="B656" s="24">
        <v>19</v>
      </c>
      <c r="C656" s="25"/>
      <c r="D656" s="25"/>
      <c r="E656" s="26"/>
      <c r="F656" s="9" t="s">
        <v>40</v>
      </c>
      <c r="G656" s="6">
        <v>20906.37</v>
      </c>
      <c r="H656" s="6">
        <v>3417.98</v>
      </c>
      <c r="I656" s="27">
        <v>7575</v>
      </c>
      <c r="J656" s="27"/>
      <c r="K656" s="27">
        <f t="shared" si="77"/>
        <v>31899.35</v>
      </c>
      <c r="L656" s="39">
        <v>14000</v>
      </c>
      <c r="M656" s="9">
        <f t="shared" si="78"/>
        <v>0.43888041605863443</v>
      </c>
      <c r="N656" s="5">
        <v>1</v>
      </c>
      <c r="O656" s="10">
        <f t="shared" si="79"/>
        <v>0.43888041605863443</v>
      </c>
    </row>
    <row r="657" spans="2:15" ht="13.5" customHeight="1">
      <c r="B657" s="24">
        <v>20</v>
      </c>
      <c r="C657" s="25"/>
      <c r="D657" s="25"/>
      <c r="E657" s="26"/>
      <c r="F657" s="9" t="s">
        <v>40</v>
      </c>
      <c r="G657" s="6">
        <v>20906.37</v>
      </c>
      <c r="H657" s="6">
        <v>3417.98</v>
      </c>
      <c r="I657" s="27">
        <v>7575</v>
      </c>
      <c r="J657" s="27"/>
      <c r="K657" s="27">
        <f t="shared" si="77"/>
        <v>31899.35</v>
      </c>
      <c r="L657" s="39">
        <v>14000</v>
      </c>
      <c r="M657" s="9">
        <f t="shared" si="78"/>
        <v>0.43888041605863443</v>
      </c>
      <c r="N657" s="5">
        <v>1</v>
      </c>
      <c r="O657" s="10">
        <f t="shared" si="79"/>
        <v>0.43888041605863443</v>
      </c>
    </row>
    <row r="658" spans="2:15" ht="13.5" customHeight="1">
      <c r="B658" s="24">
        <v>21</v>
      </c>
      <c r="C658" s="25"/>
      <c r="D658" s="25"/>
      <c r="E658" s="26"/>
      <c r="F658" s="9" t="s">
        <v>40</v>
      </c>
      <c r="G658" s="6">
        <v>20906.37</v>
      </c>
      <c r="H658" s="6">
        <v>3417.98</v>
      </c>
      <c r="I658" s="27">
        <v>7575</v>
      </c>
      <c r="J658" s="27"/>
      <c r="K658" s="27">
        <f t="shared" si="77"/>
        <v>31899.35</v>
      </c>
      <c r="L658" s="39">
        <v>14000</v>
      </c>
      <c r="M658" s="9">
        <f t="shared" si="78"/>
        <v>0.43888041605863443</v>
      </c>
      <c r="N658" s="5">
        <v>1</v>
      </c>
      <c r="O658" s="10">
        <f t="shared" si="79"/>
        <v>0.43888041605863443</v>
      </c>
    </row>
    <row r="659" spans="2:15" ht="13.5" customHeight="1">
      <c r="B659" s="24">
        <v>22</v>
      </c>
      <c r="C659" s="25"/>
      <c r="D659" s="25"/>
      <c r="E659" s="26"/>
      <c r="F659" s="9" t="s">
        <v>40</v>
      </c>
      <c r="G659" s="6">
        <v>20906.37</v>
      </c>
      <c r="H659" s="6">
        <v>3417.98</v>
      </c>
      <c r="I659" s="27">
        <v>7575</v>
      </c>
      <c r="J659" s="27"/>
      <c r="K659" s="27">
        <f t="shared" si="77"/>
        <v>31899.35</v>
      </c>
      <c r="L659" s="39">
        <v>17500</v>
      </c>
      <c r="M659" s="9">
        <f t="shared" si="78"/>
        <v>0.54860052007329307</v>
      </c>
      <c r="N659" s="5">
        <v>1</v>
      </c>
      <c r="O659" s="10">
        <f t="shared" si="79"/>
        <v>0.54860052007329307</v>
      </c>
    </row>
    <row r="660" spans="2:15" ht="13.5" customHeight="1">
      <c r="B660" s="24">
        <v>23</v>
      </c>
      <c r="C660" s="25"/>
      <c r="D660" s="25"/>
      <c r="E660" s="26"/>
      <c r="F660" s="9" t="s">
        <v>40</v>
      </c>
      <c r="G660" s="6">
        <v>20906.37</v>
      </c>
      <c r="H660" s="6">
        <v>3417.98</v>
      </c>
      <c r="I660" s="27">
        <v>7575</v>
      </c>
      <c r="J660" s="27"/>
      <c r="K660" s="27">
        <f t="shared" si="77"/>
        <v>31899.35</v>
      </c>
      <c r="L660" s="39">
        <v>14000</v>
      </c>
      <c r="M660" s="9">
        <f t="shared" si="78"/>
        <v>0.43888041605863443</v>
      </c>
      <c r="N660" s="5">
        <v>1</v>
      </c>
      <c r="O660" s="10">
        <f t="shared" si="79"/>
        <v>0.43888041605863443</v>
      </c>
    </row>
    <row r="661" spans="2:15" ht="13.5" customHeight="1">
      <c r="B661" s="24">
        <v>24</v>
      </c>
      <c r="C661" s="25"/>
      <c r="D661" s="25"/>
      <c r="E661" s="26"/>
      <c r="F661" s="9" t="s">
        <v>40</v>
      </c>
      <c r="G661" s="6">
        <v>20906.37</v>
      </c>
      <c r="H661" s="6">
        <v>3417.98</v>
      </c>
      <c r="I661" s="27">
        <v>7575</v>
      </c>
      <c r="J661" s="27"/>
      <c r="K661" s="27">
        <f t="shared" si="77"/>
        <v>31899.35</v>
      </c>
      <c r="L661" s="39">
        <v>14000</v>
      </c>
      <c r="M661" s="9">
        <f t="shared" si="78"/>
        <v>0.43888041605863443</v>
      </c>
      <c r="N661" s="5">
        <v>1</v>
      </c>
      <c r="O661" s="10">
        <f t="shared" si="79"/>
        <v>0.43888041605863443</v>
      </c>
    </row>
    <row r="662" spans="2:15" ht="13.5" customHeight="1">
      <c r="B662" s="24">
        <v>25</v>
      </c>
      <c r="C662" s="25"/>
      <c r="D662" s="25"/>
      <c r="E662" s="26"/>
      <c r="F662" s="9" t="s">
        <v>40</v>
      </c>
      <c r="G662" s="6">
        <v>20906.37</v>
      </c>
      <c r="H662" s="6">
        <v>3417.98</v>
      </c>
      <c r="I662" s="27">
        <v>7575</v>
      </c>
      <c r="J662" s="27"/>
      <c r="K662" s="27">
        <f t="shared" si="77"/>
        <v>31899.35</v>
      </c>
      <c r="L662" s="39">
        <v>14000</v>
      </c>
      <c r="M662" s="9">
        <f t="shared" si="78"/>
        <v>0.43888041605863443</v>
      </c>
      <c r="N662" s="5">
        <v>1</v>
      </c>
      <c r="O662" s="10">
        <f t="shared" si="79"/>
        <v>0.43888041605863443</v>
      </c>
    </row>
    <row r="663" spans="2:15" ht="13.5" customHeight="1">
      <c r="B663" s="24">
        <v>26</v>
      </c>
      <c r="C663" s="25"/>
      <c r="E663" s="26"/>
      <c r="F663" s="9" t="s">
        <v>40</v>
      </c>
      <c r="G663" s="6">
        <v>20906.37</v>
      </c>
      <c r="H663" s="6">
        <v>3417.98</v>
      </c>
      <c r="I663" s="27">
        <v>7575</v>
      </c>
      <c r="J663" s="27"/>
      <c r="K663" s="27">
        <f t="shared" si="77"/>
        <v>31899.35</v>
      </c>
      <c r="L663" s="39">
        <v>17500</v>
      </c>
      <c r="M663" s="9">
        <f t="shared" si="78"/>
        <v>0.54860052007329307</v>
      </c>
      <c r="N663" s="5">
        <v>1</v>
      </c>
      <c r="O663" s="10">
        <f t="shared" si="79"/>
        <v>0.54860052007329307</v>
      </c>
    </row>
    <row r="664" spans="2:15" ht="13.5" customHeight="1">
      <c r="B664" s="24">
        <v>27</v>
      </c>
      <c r="C664" s="25"/>
      <c r="D664" s="25"/>
      <c r="E664" s="26"/>
      <c r="F664" s="9" t="s">
        <v>40</v>
      </c>
      <c r="G664" s="6">
        <v>20906.37</v>
      </c>
      <c r="H664" s="6">
        <v>3417.98</v>
      </c>
      <c r="I664" s="27">
        <v>7575</v>
      </c>
      <c r="J664" s="27"/>
      <c r="K664" s="27">
        <f t="shared" si="77"/>
        <v>31899.35</v>
      </c>
      <c r="L664" s="39">
        <v>14000</v>
      </c>
      <c r="M664" s="9">
        <f t="shared" si="78"/>
        <v>0.43888041605863443</v>
      </c>
      <c r="N664" s="5">
        <v>1</v>
      </c>
      <c r="O664" s="10">
        <f t="shared" si="79"/>
        <v>0.43888041605863443</v>
      </c>
    </row>
    <row r="665" spans="2:15" ht="13.5" customHeight="1">
      <c r="B665" s="24">
        <v>28</v>
      </c>
      <c r="C665" s="25"/>
      <c r="D665" s="25"/>
      <c r="E665" s="26"/>
      <c r="F665" s="9" t="s">
        <v>40</v>
      </c>
      <c r="G665" s="6">
        <v>20906.37</v>
      </c>
      <c r="H665" s="6">
        <v>3417.98</v>
      </c>
      <c r="I665" s="27">
        <v>7575</v>
      </c>
      <c r="J665" s="27"/>
      <c r="K665" s="27">
        <f t="shared" si="77"/>
        <v>31899.35</v>
      </c>
      <c r="L665" s="39">
        <v>14000</v>
      </c>
      <c r="M665" s="9">
        <f t="shared" si="78"/>
        <v>0.43888041605863443</v>
      </c>
      <c r="N665" s="5">
        <v>1</v>
      </c>
      <c r="O665" s="10">
        <f t="shared" si="79"/>
        <v>0.43888041605863443</v>
      </c>
    </row>
    <row r="666" spans="2:15" ht="13.5" customHeight="1">
      <c r="B666" s="24">
        <v>29</v>
      </c>
      <c r="C666" s="25"/>
      <c r="D666" s="25"/>
      <c r="E666" s="26"/>
      <c r="F666" s="9" t="s">
        <v>40</v>
      </c>
      <c r="G666" s="6">
        <v>20906.37</v>
      </c>
      <c r="H666" s="6">
        <v>3417.98</v>
      </c>
      <c r="I666" s="27">
        <v>7575</v>
      </c>
      <c r="J666" s="27"/>
      <c r="K666" s="27">
        <f t="shared" si="77"/>
        <v>31899.35</v>
      </c>
      <c r="L666" s="39">
        <v>14000</v>
      </c>
      <c r="M666" s="9">
        <f t="shared" si="78"/>
        <v>0.43888041605863443</v>
      </c>
      <c r="N666" s="5">
        <v>1</v>
      </c>
      <c r="O666" s="10">
        <f t="shared" si="79"/>
        <v>0.43888041605863443</v>
      </c>
    </row>
    <row r="667" spans="2:15" ht="13.5" customHeight="1">
      <c r="B667" s="24">
        <v>30</v>
      </c>
      <c r="C667" s="25"/>
      <c r="D667" s="25"/>
      <c r="E667" s="26"/>
      <c r="F667" s="9" t="s">
        <v>40</v>
      </c>
      <c r="G667" s="6">
        <v>20906.37</v>
      </c>
      <c r="H667" s="6">
        <v>3417.98</v>
      </c>
      <c r="I667" s="27">
        <v>7575</v>
      </c>
      <c r="J667" s="27"/>
      <c r="K667" s="27">
        <f t="shared" si="77"/>
        <v>31899.35</v>
      </c>
      <c r="L667" s="39">
        <v>14000</v>
      </c>
      <c r="M667" s="9">
        <f t="shared" si="78"/>
        <v>0.43888041605863443</v>
      </c>
      <c r="N667" s="5">
        <v>1</v>
      </c>
      <c r="O667" s="10">
        <f t="shared" si="79"/>
        <v>0.43888041605863443</v>
      </c>
    </row>
    <row r="668" spans="2:15" ht="13.5" customHeight="1">
      <c r="B668" s="24">
        <v>31</v>
      </c>
      <c r="C668" s="25"/>
      <c r="D668" s="25"/>
      <c r="E668" s="26"/>
      <c r="F668" s="9" t="s">
        <v>40</v>
      </c>
      <c r="G668" s="6">
        <v>20906.37</v>
      </c>
      <c r="H668" s="6">
        <v>3417.98</v>
      </c>
      <c r="I668" s="27">
        <v>7575</v>
      </c>
      <c r="J668" s="27"/>
      <c r="K668" s="27">
        <f t="shared" si="77"/>
        <v>31899.35</v>
      </c>
      <c r="L668" s="39">
        <v>14000</v>
      </c>
      <c r="M668" s="9">
        <f t="shared" si="78"/>
        <v>0.43888041605863443</v>
      </c>
      <c r="N668" s="5">
        <v>1</v>
      </c>
      <c r="O668" s="10">
        <f t="shared" si="79"/>
        <v>0.43888041605863443</v>
      </c>
    </row>
    <row r="669" spans="2:15" ht="13.5" customHeight="1">
      <c r="B669" s="24">
        <v>32</v>
      </c>
      <c r="C669" s="25"/>
      <c r="D669" s="25"/>
      <c r="E669" s="26"/>
      <c r="F669" s="9" t="s">
        <v>40</v>
      </c>
      <c r="G669" s="6">
        <v>20906.37</v>
      </c>
      <c r="H669" s="6">
        <v>3417.98</v>
      </c>
      <c r="I669" s="27">
        <v>7575</v>
      </c>
      <c r="J669" s="27"/>
      <c r="K669" s="27">
        <f t="shared" si="77"/>
        <v>31899.35</v>
      </c>
      <c r="L669" s="39">
        <v>14000</v>
      </c>
      <c r="M669" s="9">
        <f t="shared" si="78"/>
        <v>0.43888041605863443</v>
      </c>
      <c r="N669" s="5">
        <v>1</v>
      </c>
      <c r="O669" s="10">
        <f t="shared" si="79"/>
        <v>0.43888041605863443</v>
      </c>
    </row>
    <row r="670" spans="2:15" ht="13.5" customHeight="1">
      <c r="B670" s="24">
        <v>33</v>
      </c>
      <c r="C670" s="25"/>
      <c r="D670" s="25"/>
      <c r="E670" s="26"/>
      <c r="F670" s="9" t="s">
        <v>40</v>
      </c>
      <c r="G670" s="6">
        <v>20906.37</v>
      </c>
      <c r="H670" s="6">
        <v>3417.98</v>
      </c>
      <c r="I670" s="27">
        <v>7575</v>
      </c>
      <c r="J670" s="27"/>
      <c r="K670" s="27">
        <f t="shared" si="77"/>
        <v>31899.35</v>
      </c>
      <c r="L670" s="39">
        <v>14000</v>
      </c>
      <c r="M670" s="9">
        <f t="shared" si="78"/>
        <v>0.43888041605863443</v>
      </c>
      <c r="N670" s="5">
        <v>1</v>
      </c>
      <c r="O670" s="10">
        <f t="shared" si="79"/>
        <v>0.43888041605863443</v>
      </c>
    </row>
    <row r="671" spans="2:15" ht="13.5" customHeight="1">
      <c r="B671" s="24">
        <v>34</v>
      </c>
      <c r="C671" s="25"/>
      <c r="D671" s="25"/>
      <c r="E671" s="26"/>
      <c r="F671" s="9" t="s">
        <v>40</v>
      </c>
      <c r="G671" s="6">
        <v>20906.37</v>
      </c>
      <c r="H671" s="6">
        <v>3417.98</v>
      </c>
      <c r="I671" s="27">
        <v>7575</v>
      </c>
      <c r="J671" s="27"/>
      <c r="K671" s="27">
        <f t="shared" si="77"/>
        <v>31899.35</v>
      </c>
      <c r="L671" s="39">
        <v>14000</v>
      </c>
      <c r="M671" s="9">
        <f t="shared" si="78"/>
        <v>0.43888041605863443</v>
      </c>
      <c r="N671" s="5">
        <v>1</v>
      </c>
      <c r="O671" s="10">
        <f t="shared" si="79"/>
        <v>0.43888041605863443</v>
      </c>
    </row>
    <row r="672" spans="2:15" ht="13.5" customHeight="1">
      <c r="B672" s="24">
        <v>35</v>
      </c>
      <c r="C672" s="25"/>
      <c r="D672" s="25"/>
      <c r="E672" s="26"/>
      <c r="F672" s="9" t="s">
        <v>40</v>
      </c>
      <c r="G672" s="6">
        <v>20906.37</v>
      </c>
      <c r="H672" s="6">
        <v>3417.98</v>
      </c>
      <c r="I672" s="27">
        <v>7575</v>
      </c>
      <c r="J672" s="27"/>
      <c r="K672" s="27">
        <f t="shared" si="77"/>
        <v>31899.35</v>
      </c>
      <c r="L672" s="39">
        <v>14000</v>
      </c>
      <c r="M672" s="9">
        <f t="shared" si="78"/>
        <v>0.43888041605863443</v>
      </c>
      <c r="N672" s="5">
        <v>1</v>
      </c>
      <c r="O672" s="10">
        <f t="shared" si="79"/>
        <v>0.43888041605863443</v>
      </c>
    </row>
    <row r="673" spans="2:15" ht="13.5" customHeight="1">
      <c r="B673" s="24">
        <v>36</v>
      </c>
      <c r="C673" s="25"/>
      <c r="D673" s="25"/>
      <c r="E673" s="26"/>
      <c r="F673" s="9" t="s">
        <v>40</v>
      </c>
      <c r="G673" s="6">
        <v>20906.37</v>
      </c>
      <c r="H673" s="6">
        <v>3417.98</v>
      </c>
      <c r="I673" s="27">
        <v>7575</v>
      </c>
      <c r="J673" s="27"/>
      <c r="K673" s="27">
        <f t="shared" si="77"/>
        <v>31899.35</v>
      </c>
      <c r="L673" s="39">
        <v>14000</v>
      </c>
      <c r="M673" s="9">
        <f t="shared" si="78"/>
        <v>0.43888041605863443</v>
      </c>
      <c r="N673" s="5">
        <v>1</v>
      </c>
      <c r="O673" s="10">
        <f t="shared" si="79"/>
        <v>0.43888041605863443</v>
      </c>
    </row>
    <row r="674" spans="2:15" ht="13.5" customHeight="1">
      <c r="B674" s="24">
        <v>37</v>
      </c>
      <c r="C674" s="25"/>
      <c r="D674" s="25"/>
      <c r="E674" s="26"/>
      <c r="F674" s="9" t="s">
        <v>40</v>
      </c>
      <c r="G674" s="6">
        <v>20906.37</v>
      </c>
      <c r="H674" s="6">
        <v>3417.98</v>
      </c>
      <c r="I674" s="27">
        <v>7575</v>
      </c>
      <c r="J674" s="27"/>
      <c r="K674" s="27">
        <f t="shared" si="77"/>
        <v>31899.35</v>
      </c>
      <c r="L674" s="39">
        <v>14000</v>
      </c>
      <c r="M674" s="9">
        <f t="shared" si="78"/>
        <v>0.43888041605863443</v>
      </c>
      <c r="N674" s="5">
        <v>1</v>
      </c>
      <c r="O674" s="10">
        <f t="shared" si="79"/>
        <v>0.43888041605863443</v>
      </c>
    </row>
    <row r="675" spans="2:15" ht="13.5" customHeight="1">
      <c r="B675" s="24">
        <v>38</v>
      </c>
      <c r="C675" s="25"/>
      <c r="D675" s="25"/>
      <c r="E675" s="26"/>
      <c r="F675" s="9" t="s">
        <v>40</v>
      </c>
      <c r="G675" s="6">
        <v>20906.37</v>
      </c>
      <c r="H675" s="6">
        <v>3417.98</v>
      </c>
      <c r="I675" s="27">
        <v>7575</v>
      </c>
      <c r="J675" s="27"/>
      <c r="K675" s="27">
        <f t="shared" si="77"/>
        <v>31899.35</v>
      </c>
      <c r="L675" s="39">
        <v>14000</v>
      </c>
      <c r="M675" s="9">
        <f t="shared" si="78"/>
        <v>0.43888041605863443</v>
      </c>
      <c r="N675" s="5">
        <v>1</v>
      </c>
      <c r="O675" s="10">
        <f t="shared" si="79"/>
        <v>0.43888041605863443</v>
      </c>
    </row>
    <row r="676" spans="2:15" ht="13.5" customHeight="1">
      <c r="B676" s="24">
        <v>39</v>
      </c>
      <c r="C676" s="25"/>
      <c r="D676" s="25"/>
      <c r="E676" s="26"/>
      <c r="F676" s="9" t="s">
        <v>40</v>
      </c>
      <c r="G676" s="6">
        <v>20906.37</v>
      </c>
      <c r="H676" s="6">
        <v>3417.98</v>
      </c>
      <c r="I676" s="27">
        <v>7575</v>
      </c>
      <c r="J676" s="27"/>
      <c r="K676" s="27">
        <f t="shared" si="77"/>
        <v>31899.35</v>
      </c>
      <c r="L676" s="39">
        <v>17500</v>
      </c>
      <c r="M676" s="9">
        <f t="shared" si="78"/>
        <v>0.54860052007329307</v>
      </c>
      <c r="N676" s="5">
        <v>1</v>
      </c>
      <c r="O676" s="10">
        <f t="shared" si="79"/>
        <v>0.54860052007329307</v>
      </c>
    </row>
    <row r="677" spans="2:15" ht="13.5" customHeight="1">
      <c r="B677" s="24">
        <v>40</v>
      </c>
      <c r="C677" s="25"/>
      <c r="D677" s="25"/>
      <c r="E677" s="26"/>
      <c r="F677" s="9" t="s">
        <v>40</v>
      </c>
      <c r="G677" s="6">
        <v>20906.37</v>
      </c>
      <c r="H677" s="6">
        <v>3417.98</v>
      </c>
      <c r="I677" s="27">
        <v>7575</v>
      </c>
      <c r="J677" s="27"/>
      <c r="K677" s="27">
        <f t="shared" si="77"/>
        <v>31899.35</v>
      </c>
      <c r="L677" s="39">
        <v>14000</v>
      </c>
      <c r="M677" s="9">
        <f t="shared" si="78"/>
        <v>0.43888041605863443</v>
      </c>
      <c r="N677" s="5">
        <v>1</v>
      </c>
      <c r="O677" s="10">
        <f t="shared" si="79"/>
        <v>0.43888041605863443</v>
      </c>
    </row>
    <row r="678" spans="2:15" ht="13.5" customHeight="1">
      <c r="B678" s="24">
        <v>41</v>
      </c>
      <c r="C678" s="25"/>
      <c r="D678" s="25"/>
      <c r="E678" s="26"/>
      <c r="F678" s="9" t="s">
        <v>40</v>
      </c>
      <c r="G678" s="6">
        <v>20906.37</v>
      </c>
      <c r="H678" s="6">
        <v>3417.98</v>
      </c>
      <c r="I678" s="27">
        <v>7575</v>
      </c>
      <c r="J678" s="27"/>
      <c r="K678" s="27">
        <f t="shared" si="77"/>
        <v>31899.35</v>
      </c>
      <c r="L678" s="39">
        <v>14000</v>
      </c>
      <c r="M678" s="9">
        <f t="shared" si="78"/>
        <v>0.43888041605863443</v>
      </c>
      <c r="N678" s="5">
        <v>1</v>
      </c>
      <c r="O678" s="10">
        <f t="shared" si="79"/>
        <v>0.43888041605863443</v>
      </c>
    </row>
    <row r="679" spans="2:15" ht="13.5" customHeight="1">
      <c r="B679" s="24">
        <v>42</v>
      </c>
      <c r="C679" s="25"/>
      <c r="D679" s="25"/>
      <c r="E679" s="26"/>
      <c r="F679" s="9" t="s">
        <v>40</v>
      </c>
      <c r="G679" s="6">
        <v>20906.37</v>
      </c>
      <c r="H679" s="6">
        <v>3417.98</v>
      </c>
      <c r="I679" s="27">
        <v>7575</v>
      </c>
      <c r="J679" s="27"/>
      <c r="K679" s="27">
        <f t="shared" si="77"/>
        <v>31899.35</v>
      </c>
      <c r="L679" s="39">
        <v>14000</v>
      </c>
      <c r="M679" s="9">
        <f t="shared" si="78"/>
        <v>0.43888041605863443</v>
      </c>
      <c r="N679" s="5">
        <v>1</v>
      </c>
      <c r="O679" s="10">
        <f t="shared" si="79"/>
        <v>0.43888041605863443</v>
      </c>
    </row>
    <row r="680" spans="2:15" ht="13.5" customHeight="1">
      <c r="B680" s="24">
        <v>43</v>
      </c>
      <c r="C680" s="25"/>
      <c r="D680" s="25"/>
      <c r="E680" s="26"/>
      <c r="F680" s="9" t="s">
        <v>40</v>
      </c>
      <c r="G680" s="6">
        <v>20906.37</v>
      </c>
      <c r="H680" s="6">
        <v>3417.98</v>
      </c>
      <c r="I680" s="27">
        <v>7575</v>
      </c>
      <c r="J680" s="27"/>
      <c r="K680" s="27">
        <f t="shared" si="77"/>
        <v>31899.35</v>
      </c>
      <c r="L680" s="39">
        <v>14000</v>
      </c>
      <c r="M680" s="9">
        <f t="shared" si="78"/>
        <v>0.43888041605863443</v>
      </c>
      <c r="N680" s="5">
        <v>1</v>
      </c>
      <c r="O680" s="10">
        <f t="shared" si="79"/>
        <v>0.43888041605863443</v>
      </c>
    </row>
    <row r="681" spans="2:15" ht="13.5" customHeight="1">
      <c r="B681" s="24">
        <v>44</v>
      </c>
      <c r="C681" s="25"/>
      <c r="D681" s="25"/>
      <c r="E681" s="26"/>
      <c r="F681" s="9" t="s">
        <v>40</v>
      </c>
      <c r="G681" s="6">
        <v>20906.37</v>
      </c>
      <c r="H681" s="6">
        <v>3417.98</v>
      </c>
      <c r="I681" s="27">
        <v>7575</v>
      </c>
      <c r="J681" s="27"/>
      <c r="K681" s="27">
        <f t="shared" si="77"/>
        <v>31899.35</v>
      </c>
      <c r="L681" s="39">
        <v>14000</v>
      </c>
      <c r="M681" s="9">
        <f t="shared" si="78"/>
        <v>0.43888041605863443</v>
      </c>
      <c r="N681" s="5">
        <v>1</v>
      </c>
      <c r="O681" s="10">
        <f t="shared" si="79"/>
        <v>0.43888041605863443</v>
      </c>
    </row>
    <row r="682" spans="2:15" ht="13.5" customHeight="1">
      <c r="B682" s="24">
        <v>45</v>
      </c>
      <c r="C682" s="25"/>
      <c r="D682" s="25"/>
      <c r="E682" s="26"/>
      <c r="F682" s="9" t="s">
        <v>40</v>
      </c>
      <c r="G682" s="6">
        <v>20906.37</v>
      </c>
      <c r="H682" s="6">
        <v>3417.98</v>
      </c>
      <c r="I682" s="27">
        <v>7575</v>
      </c>
      <c r="J682" s="27"/>
      <c r="K682" s="27">
        <f t="shared" si="77"/>
        <v>31899.35</v>
      </c>
      <c r="L682" s="39">
        <v>14000</v>
      </c>
      <c r="M682" s="9">
        <f t="shared" si="78"/>
        <v>0.43888041605863443</v>
      </c>
      <c r="N682" s="5">
        <v>1</v>
      </c>
      <c r="O682" s="10">
        <f t="shared" si="79"/>
        <v>0.43888041605863443</v>
      </c>
    </row>
    <row r="683" spans="2:15" ht="13.5" customHeight="1">
      <c r="B683" s="24">
        <v>46</v>
      </c>
      <c r="C683" s="25"/>
      <c r="D683" s="25"/>
      <c r="E683" s="26"/>
      <c r="F683" s="9" t="s">
        <v>40</v>
      </c>
      <c r="G683" s="6">
        <v>20906.37</v>
      </c>
      <c r="H683" s="6">
        <v>3417.98</v>
      </c>
      <c r="I683" s="27">
        <v>7575</v>
      </c>
      <c r="J683" s="27"/>
      <c r="K683" s="27">
        <f t="shared" si="77"/>
        <v>31899.35</v>
      </c>
      <c r="L683" s="39">
        <v>14000</v>
      </c>
      <c r="M683" s="9">
        <f t="shared" si="78"/>
        <v>0.43888041605863443</v>
      </c>
      <c r="N683" s="5">
        <v>1</v>
      </c>
      <c r="O683" s="10">
        <f t="shared" si="79"/>
        <v>0.43888041605863443</v>
      </c>
    </row>
    <row r="684" spans="2:15" ht="13.5" customHeight="1">
      <c r="B684" s="24">
        <v>47</v>
      </c>
      <c r="C684" s="25"/>
      <c r="D684" s="25"/>
      <c r="E684" s="26"/>
      <c r="F684" s="9" t="s">
        <v>40</v>
      </c>
      <c r="G684" s="6">
        <v>20906.37</v>
      </c>
      <c r="H684" s="6">
        <v>3417.98</v>
      </c>
      <c r="I684" s="27">
        <v>7575</v>
      </c>
      <c r="J684" s="27"/>
      <c r="K684" s="27">
        <f t="shared" si="77"/>
        <v>31899.35</v>
      </c>
      <c r="L684" s="39">
        <v>14000</v>
      </c>
      <c r="M684" s="9">
        <f t="shared" si="78"/>
        <v>0.43888041605863443</v>
      </c>
      <c r="N684" s="5">
        <v>1</v>
      </c>
      <c r="O684" s="10">
        <f t="shared" si="79"/>
        <v>0.43888041605863443</v>
      </c>
    </row>
    <row r="685" spans="2:15" ht="13.5" customHeight="1">
      <c r="B685" s="24">
        <v>48</v>
      </c>
      <c r="C685" s="25"/>
      <c r="D685" s="25"/>
      <c r="E685" s="26"/>
      <c r="F685" s="9" t="s">
        <v>40</v>
      </c>
      <c r="G685" s="6">
        <v>20906.37</v>
      </c>
      <c r="H685" s="6">
        <v>3417.98</v>
      </c>
      <c r="I685" s="27">
        <v>7575</v>
      </c>
      <c r="J685" s="27"/>
      <c r="K685" s="27">
        <f t="shared" si="77"/>
        <v>31899.35</v>
      </c>
      <c r="L685" s="39">
        <v>14000</v>
      </c>
      <c r="M685" s="9">
        <f t="shared" si="78"/>
        <v>0.43888041605863443</v>
      </c>
      <c r="N685" s="5">
        <v>1</v>
      </c>
      <c r="O685" s="10">
        <f t="shared" si="79"/>
        <v>0.43888041605863443</v>
      </c>
    </row>
    <row r="686" spans="2:15" ht="13.5" customHeight="1">
      <c r="B686" s="24">
        <v>49</v>
      </c>
      <c r="C686" s="25"/>
      <c r="D686" s="25"/>
      <c r="E686" s="26"/>
      <c r="F686" s="9" t="s">
        <v>40</v>
      </c>
      <c r="G686" s="6">
        <v>20906.37</v>
      </c>
      <c r="H686" s="6">
        <v>3417.98</v>
      </c>
      <c r="I686" s="27">
        <v>7575</v>
      </c>
      <c r="J686" s="27"/>
      <c r="K686" s="27">
        <f t="shared" si="77"/>
        <v>31899.35</v>
      </c>
      <c r="L686" s="39">
        <v>14000</v>
      </c>
      <c r="M686" s="9">
        <f t="shared" si="78"/>
        <v>0.43888041605863443</v>
      </c>
      <c r="N686" s="5">
        <v>1</v>
      </c>
      <c r="O686" s="10">
        <f t="shared" si="79"/>
        <v>0.43888041605863443</v>
      </c>
    </row>
    <row r="687" spans="2:15" ht="13.5" customHeight="1">
      <c r="B687" s="24">
        <v>50</v>
      </c>
      <c r="C687" s="25"/>
      <c r="D687" s="25"/>
      <c r="E687" s="26"/>
      <c r="F687" s="9" t="s">
        <v>40</v>
      </c>
      <c r="G687" s="6">
        <v>20906.37</v>
      </c>
      <c r="H687" s="6">
        <v>3417.98</v>
      </c>
      <c r="I687" s="27">
        <v>7575</v>
      </c>
      <c r="J687" s="27"/>
      <c r="K687" s="27">
        <f t="shared" si="77"/>
        <v>31899.35</v>
      </c>
      <c r="L687" s="39">
        <v>17500</v>
      </c>
      <c r="M687" s="9">
        <f t="shared" si="78"/>
        <v>0.54860052007329307</v>
      </c>
      <c r="N687" s="5">
        <v>1</v>
      </c>
      <c r="O687" s="10">
        <f t="shared" si="79"/>
        <v>0.54860052007329307</v>
      </c>
    </row>
    <row r="688" spans="2:15" ht="13.5" customHeight="1">
      <c r="B688" s="24">
        <v>51</v>
      </c>
      <c r="C688" s="25"/>
      <c r="D688" s="25"/>
      <c r="E688" s="26"/>
      <c r="F688" s="9" t="s">
        <v>40</v>
      </c>
      <c r="G688" s="6">
        <v>20906.37</v>
      </c>
      <c r="H688" s="6">
        <v>3417.98</v>
      </c>
      <c r="I688" s="27">
        <v>7575</v>
      </c>
      <c r="J688" s="27"/>
      <c r="K688" s="27">
        <f t="shared" si="77"/>
        <v>31899.35</v>
      </c>
      <c r="L688" s="39">
        <v>14000</v>
      </c>
      <c r="M688" s="9">
        <f t="shared" si="78"/>
        <v>0.43888041605863443</v>
      </c>
      <c r="N688" s="5">
        <v>1</v>
      </c>
      <c r="O688" s="10">
        <f t="shared" si="79"/>
        <v>0.43888041605863443</v>
      </c>
    </row>
    <row r="689" spans="2:15" ht="13.5" customHeight="1">
      <c r="B689" s="24">
        <v>52</v>
      </c>
      <c r="C689" s="25"/>
      <c r="D689" s="25"/>
      <c r="E689" s="26"/>
      <c r="F689" s="9" t="s">
        <v>40</v>
      </c>
      <c r="G689" s="6">
        <v>20906.37</v>
      </c>
      <c r="H689" s="6">
        <v>3417.98</v>
      </c>
      <c r="I689" s="27">
        <v>7575</v>
      </c>
      <c r="J689" s="27"/>
      <c r="K689" s="27">
        <f t="shared" si="77"/>
        <v>31899.35</v>
      </c>
      <c r="L689" s="39">
        <v>14000</v>
      </c>
      <c r="M689" s="9">
        <f t="shared" si="78"/>
        <v>0.43888041605863443</v>
      </c>
      <c r="N689" s="5">
        <v>1</v>
      </c>
      <c r="O689" s="10">
        <f t="shared" si="79"/>
        <v>0.43888041605863443</v>
      </c>
    </row>
    <row r="690" spans="2:15" ht="13.5" customHeight="1">
      <c r="B690" s="24">
        <v>53</v>
      </c>
      <c r="C690" s="25"/>
      <c r="D690" s="25"/>
      <c r="E690" s="26"/>
      <c r="F690" s="9" t="s">
        <v>40</v>
      </c>
      <c r="G690" s="6">
        <v>20906.37</v>
      </c>
      <c r="H690" s="6">
        <v>3417.98</v>
      </c>
      <c r="I690" s="27">
        <v>7575</v>
      </c>
      <c r="J690" s="27"/>
      <c r="K690" s="27">
        <f t="shared" si="77"/>
        <v>31899.35</v>
      </c>
      <c r="L690" s="39">
        <v>14000</v>
      </c>
      <c r="M690" s="9">
        <f t="shared" si="78"/>
        <v>0.43888041605863443</v>
      </c>
      <c r="N690" s="5">
        <v>1</v>
      </c>
      <c r="O690" s="10">
        <f t="shared" si="79"/>
        <v>0.43888041605863443</v>
      </c>
    </row>
    <row r="691" spans="2:15" ht="13.5" customHeight="1">
      <c r="B691" s="24">
        <v>54</v>
      </c>
      <c r="C691" s="25"/>
      <c r="D691" s="25"/>
      <c r="E691" s="26"/>
      <c r="F691" s="9" t="s">
        <v>40</v>
      </c>
      <c r="G691" s="6">
        <v>20906.37</v>
      </c>
      <c r="H691" s="6">
        <v>3417.98</v>
      </c>
      <c r="I691" s="27">
        <v>7575</v>
      </c>
      <c r="J691" s="27"/>
      <c r="K691" s="27">
        <f t="shared" si="77"/>
        <v>31899.35</v>
      </c>
      <c r="L691" s="39">
        <v>17500</v>
      </c>
      <c r="M691" s="9">
        <f t="shared" si="78"/>
        <v>0.54860052007329307</v>
      </c>
      <c r="N691" s="5">
        <v>1</v>
      </c>
      <c r="O691" s="10">
        <f t="shared" si="79"/>
        <v>0.54860052007329307</v>
      </c>
    </row>
    <row r="692" spans="2:15" ht="13.5" customHeight="1">
      <c r="B692" s="24">
        <v>55</v>
      </c>
      <c r="C692" s="25"/>
      <c r="D692" s="25"/>
      <c r="E692" s="26"/>
      <c r="F692" s="9" t="s">
        <v>40</v>
      </c>
      <c r="G692" s="6">
        <v>20906.37</v>
      </c>
      <c r="H692" s="6">
        <v>3417.98</v>
      </c>
      <c r="I692" s="27">
        <v>7575</v>
      </c>
      <c r="J692" s="27"/>
      <c r="K692" s="27">
        <f t="shared" si="77"/>
        <v>31899.35</v>
      </c>
      <c r="L692" s="39">
        <v>17500</v>
      </c>
      <c r="M692" s="9">
        <f t="shared" si="78"/>
        <v>0.54860052007329307</v>
      </c>
      <c r="N692" s="5">
        <v>1</v>
      </c>
      <c r="O692" s="10">
        <f t="shared" si="79"/>
        <v>0.54860052007329307</v>
      </c>
    </row>
    <row r="693" spans="2:15" ht="13.5" customHeight="1">
      <c r="B693" s="24">
        <v>56</v>
      </c>
      <c r="C693" s="25"/>
      <c r="D693" s="25"/>
      <c r="E693" s="26"/>
      <c r="F693" s="9" t="s">
        <v>40</v>
      </c>
      <c r="G693" s="6">
        <v>20906.37</v>
      </c>
      <c r="H693" s="6">
        <v>3417.98</v>
      </c>
      <c r="I693" s="27">
        <v>7575</v>
      </c>
      <c r="J693" s="27"/>
      <c r="K693" s="27">
        <f t="shared" si="77"/>
        <v>31899.35</v>
      </c>
      <c r="L693" s="39">
        <v>14000</v>
      </c>
      <c r="M693" s="9">
        <f t="shared" si="78"/>
        <v>0.43888041605863443</v>
      </c>
      <c r="N693" s="5">
        <v>1</v>
      </c>
      <c r="O693" s="10">
        <f t="shared" si="79"/>
        <v>0.43888041605863443</v>
      </c>
    </row>
    <row r="694" spans="2:15" ht="13.5" customHeight="1">
      <c r="B694" s="24">
        <v>57</v>
      </c>
      <c r="C694" s="25"/>
      <c r="D694" s="25"/>
      <c r="E694" s="26"/>
      <c r="F694" s="9" t="s">
        <v>40</v>
      </c>
      <c r="G694" s="6">
        <v>20906.37</v>
      </c>
      <c r="H694" s="6">
        <v>3417.98</v>
      </c>
      <c r="I694" s="27">
        <v>7575</v>
      </c>
      <c r="J694" s="27"/>
      <c r="K694" s="27">
        <f t="shared" si="77"/>
        <v>31899.35</v>
      </c>
      <c r="L694" s="39">
        <v>17500</v>
      </c>
      <c r="M694" s="9">
        <f t="shared" si="78"/>
        <v>0.54860052007329307</v>
      </c>
      <c r="N694" s="5">
        <v>1</v>
      </c>
      <c r="O694" s="10">
        <f t="shared" si="79"/>
        <v>0.54860052007329307</v>
      </c>
    </row>
    <row r="695" spans="2:15" ht="13.5" customHeight="1">
      <c r="B695" s="24">
        <v>58</v>
      </c>
      <c r="C695" s="25"/>
      <c r="D695" s="25"/>
      <c r="E695" s="26"/>
      <c r="F695" s="9" t="s">
        <v>40</v>
      </c>
      <c r="G695" s="6">
        <v>20906.37</v>
      </c>
      <c r="H695" s="6">
        <v>3417.98</v>
      </c>
      <c r="I695" s="27">
        <v>7575</v>
      </c>
      <c r="J695" s="27"/>
      <c r="K695" s="27">
        <f t="shared" si="77"/>
        <v>31899.35</v>
      </c>
      <c r="L695" s="39">
        <v>14000</v>
      </c>
      <c r="M695" s="9">
        <f t="shared" si="78"/>
        <v>0.43888041605863443</v>
      </c>
      <c r="N695" s="5">
        <v>1</v>
      </c>
      <c r="O695" s="10">
        <f t="shared" si="79"/>
        <v>0.43888041605863443</v>
      </c>
    </row>
    <row r="696" spans="2:15" ht="13.5" customHeight="1">
      <c r="B696" s="24">
        <v>59</v>
      </c>
      <c r="C696" s="25"/>
      <c r="D696" s="25"/>
      <c r="E696" s="26"/>
      <c r="F696" s="9" t="s">
        <v>40</v>
      </c>
      <c r="G696" s="6">
        <v>20906.37</v>
      </c>
      <c r="H696" s="6">
        <v>3417.98</v>
      </c>
      <c r="I696" s="27">
        <v>7575</v>
      </c>
      <c r="J696" s="27"/>
      <c r="K696" s="27">
        <f t="shared" si="77"/>
        <v>31899.35</v>
      </c>
      <c r="L696" s="39">
        <v>14000</v>
      </c>
      <c r="M696" s="9">
        <f t="shared" si="78"/>
        <v>0.43888041605863443</v>
      </c>
      <c r="N696" s="5">
        <v>1</v>
      </c>
      <c r="O696" s="10">
        <f t="shared" si="79"/>
        <v>0.43888041605863443</v>
      </c>
    </row>
    <row r="697" spans="2:15" ht="13.5" customHeight="1">
      <c r="B697" s="24">
        <v>60</v>
      </c>
      <c r="C697" s="25"/>
      <c r="D697" s="25"/>
      <c r="E697" s="26"/>
      <c r="F697" s="9" t="s">
        <v>40</v>
      </c>
      <c r="G697" s="6">
        <v>20906.37</v>
      </c>
      <c r="H697" s="6">
        <v>3417.98</v>
      </c>
      <c r="I697" s="27">
        <v>7575</v>
      </c>
      <c r="J697" s="27"/>
      <c r="K697" s="27">
        <f t="shared" si="77"/>
        <v>31899.35</v>
      </c>
      <c r="L697" s="39">
        <v>14000</v>
      </c>
      <c r="M697" s="9">
        <f t="shared" si="78"/>
        <v>0.43888041605863443</v>
      </c>
      <c r="N697" s="5">
        <v>1</v>
      </c>
      <c r="O697" s="10">
        <f t="shared" si="79"/>
        <v>0.43888041605863443</v>
      </c>
    </row>
    <row r="698" spans="2:15" ht="13.5" customHeight="1">
      <c r="B698" s="24">
        <v>61</v>
      </c>
      <c r="C698" s="25"/>
      <c r="D698" s="25"/>
      <c r="E698" s="26"/>
      <c r="F698" s="9" t="s">
        <v>40</v>
      </c>
      <c r="G698" s="6">
        <v>20906.37</v>
      </c>
      <c r="H698" s="6">
        <v>3417.98</v>
      </c>
      <c r="I698" s="27">
        <v>7575</v>
      </c>
      <c r="J698" s="27"/>
      <c r="K698" s="27">
        <f t="shared" si="77"/>
        <v>31899.35</v>
      </c>
      <c r="L698" s="39">
        <v>14000</v>
      </c>
      <c r="M698" s="9">
        <f t="shared" si="78"/>
        <v>0.43888041605863443</v>
      </c>
      <c r="N698" s="5">
        <v>1</v>
      </c>
      <c r="O698" s="10">
        <f t="shared" si="79"/>
        <v>0.43888041605863443</v>
      </c>
    </row>
    <row r="699" spans="2:15" ht="13.5" customHeight="1">
      <c r="B699" s="24">
        <v>62</v>
      </c>
      <c r="C699" s="25"/>
      <c r="D699" s="25"/>
      <c r="E699" s="26"/>
      <c r="F699" s="9" t="s">
        <v>40</v>
      </c>
      <c r="G699" s="6">
        <v>20906.37</v>
      </c>
      <c r="H699" s="6">
        <v>3417.98</v>
      </c>
      <c r="I699" s="27">
        <v>7575</v>
      </c>
      <c r="J699" s="27"/>
      <c r="K699" s="27">
        <f t="shared" si="77"/>
        <v>31899.35</v>
      </c>
      <c r="L699" s="39">
        <v>14000</v>
      </c>
      <c r="M699" s="9">
        <f t="shared" si="78"/>
        <v>0.43888041605863443</v>
      </c>
      <c r="N699" s="5">
        <v>1</v>
      </c>
      <c r="O699" s="10">
        <f t="shared" si="79"/>
        <v>0.43888041605863443</v>
      </c>
    </row>
    <row r="700" spans="2:15" ht="13.5" customHeight="1">
      <c r="B700" s="24">
        <v>63</v>
      </c>
      <c r="C700" s="25"/>
      <c r="D700" s="25"/>
      <c r="E700" s="26"/>
      <c r="F700" s="9" t="s">
        <v>40</v>
      </c>
      <c r="G700" s="6">
        <v>20906.37</v>
      </c>
      <c r="H700" s="6">
        <v>3417.98</v>
      </c>
      <c r="I700" s="27">
        <v>7575</v>
      </c>
      <c r="J700" s="27"/>
      <c r="K700" s="27">
        <f t="shared" si="77"/>
        <v>31899.35</v>
      </c>
      <c r="L700" s="39">
        <v>14000</v>
      </c>
      <c r="M700" s="9">
        <f t="shared" si="78"/>
        <v>0.43888041605863443</v>
      </c>
      <c r="N700" s="5">
        <v>1</v>
      </c>
      <c r="O700" s="10">
        <f t="shared" si="79"/>
        <v>0.43888041605863443</v>
      </c>
    </row>
    <row r="701" spans="2:15" ht="13.5" customHeight="1">
      <c r="B701" s="24">
        <v>64</v>
      </c>
      <c r="C701" s="25"/>
      <c r="D701" s="25"/>
      <c r="E701" s="26"/>
      <c r="F701" s="9" t="s">
        <v>40</v>
      </c>
      <c r="G701" s="6">
        <v>20906.37</v>
      </c>
      <c r="H701" s="6">
        <v>3417.98</v>
      </c>
      <c r="I701" s="27">
        <v>7575</v>
      </c>
      <c r="J701" s="27"/>
      <c r="K701" s="27">
        <f t="shared" si="77"/>
        <v>31899.35</v>
      </c>
      <c r="L701" s="39">
        <v>14000</v>
      </c>
      <c r="M701" s="9">
        <f t="shared" si="78"/>
        <v>0.43888041605863443</v>
      </c>
      <c r="N701" s="5">
        <v>1</v>
      </c>
      <c r="O701" s="10">
        <f t="shared" si="79"/>
        <v>0.43888041605863443</v>
      </c>
    </row>
    <row r="702" spans="2:15" ht="13.5" customHeight="1">
      <c r="B702" s="24">
        <v>65</v>
      </c>
      <c r="C702" s="25"/>
      <c r="D702" s="25"/>
      <c r="E702" s="26"/>
      <c r="F702" s="9" t="s">
        <v>40</v>
      </c>
      <c r="G702" s="6">
        <v>20906.37</v>
      </c>
      <c r="H702" s="6">
        <v>3417.98</v>
      </c>
      <c r="I702" s="27">
        <v>7575</v>
      </c>
      <c r="J702" s="27"/>
      <c r="K702" s="27">
        <f t="shared" si="77"/>
        <v>31899.35</v>
      </c>
      <c r="L702" s="39">
        <v>14000</v>
      </c>
      <c r="M702" s="9">
        <f t="shared" si="78"/>
        <v>0.43888041605863443</v>
      </c>
      <c r="N702" s="5">
        <v>1</v>
      </c>
      <c r="O702" s="10">
        <f t="shared" si="79"/>
        <v>0.43888041605863443</v>
      </c>
    </row>
    <row r="703" spans="2:15" ht="13.5" customHeight="1">
      <c r="B703" s="24">
        <v>66</v>
      </c>
      <c r="C703" s="25"/>
      <c r="D703" s="25"/>
      <c r="E703" s="26"/>
      <c r="F703" s="9" t="s">
        <v>40</v>
      </c>
      <c r="G703" s="6">
        <v>20906.37</v>
      </c>
      <c r="H703" s="6">
        <v>3417.98</v>
      </c>
      <c r="I703" s="27">
        <v>7575</v>
      </c>
      <c r="J703" s="27"/>
      <c r="K703" s="27">
        <f t="shared" ref="K703:K766" si="80">SUM(G703:I703)</f>
        <v>31899.35</v>
      </c>
      <c r="L703" s="39">
        <v>14000</v>
      </c>
      <c r="M703" s="9">
        <f t="shared" ref="M703:M766" si="81">L703/K703</f>
        <v>0.43888041605863443</v>
      </c>
      <c r="N703" s="5">
        <v>1</v>
      </c>
      <c r="O703" s="10">
        <f t="shared" ref="O703:O766" si="82">N703*M703</f>
        <v>0.43888041605863443</v>
      </c>
    </row>
    <row r="704" spans="2:15" ht="13.5" customHeight="1">
      <c r="B704" s="24">
        <v>67</v>
      </c>
      <c r="C704" s="25"/>
      <c r="D704" s="25"/>
      <c r="E704" s="26"/>
      <c r="F704" s="9" t="s">
        <v>40</v>
      </c>
      <c r="G704" s="6">
        <v>20906.37</v>
      </c>
      <c r="H704" s="6">
        <v>3417.98</v>
      </c>
      <c r="I704" s="27">
        <v>7575</v>
      </c>
      <c r="J704" s="27"/>
      <c r="K704" s="27">
        <f t="shared" si="80"/>
        <v>31899.35</v>
      </c>
      <c r="L704" s="39">
        <v>17500</v>
      </c>
      <c r="M704" s="9">
        <f t="shared" si="81"/>
        <v>0.54860052007329307</v>
      </c>
      <c r="N704" s="5">
        <v>1</v>
      </c>
      <c r="O704" s="10">
        <f t="shared" si="82"/>
        <v>0.54860052007329307</v>
      </c>
    </row>
    <row r="705" spans="2:15" ht="13.5" customHeight="1">
      <c r="B705" s="24">
        <v>68</v>
      </c>
      <c r="C705" s="25"/>
      <c r="D705" s="25"/>
      <c r="E705" s="26"/>
      <c r="F705" s="9" t="s">
        <v>40</v>
      </c>
      <c r="G705" s="6">
        <v>20906.37</v>
      </c>
      <c r="H705" s="6">
        <v>3417.98</v>
      </c>
      <c r="I705" s="27">
        <v>7575</v>
      </c>
      <c r="J705" s="27"/>
      <c r="K705" s="27">
        <f t="shared" si="80"/>
        <v>31899.35</v>
      </c>
      <c r="L705" s="39">
        <v>14000</v>
      </c>
      <c r="M705" s="9">
        <f t="shared" si="81"/>
        <v>0.43888041605863443</v>
      </c>
      <c r="N705" s="5">
        <v>1</v>
      </c>
      <c r="O705" s="10">
        <f t="shared" si="82"/>
        <v>0.43888041605863443</v>
      </c>
    </row>
    <row r="706" spans="2:15" ht="13.5" customHeight="1">
      <c r="B706" s="24">
        <v>69</v>
      </c>
      <c r="C706" s="25"/>
      <c r="D706" s="25"/>
      <c r="E706" s="26"/>
      <c r="F706" s="9" t="s">
        <v>40</v>
      </c>
      <c r="G706" s="6">
        <v>20906.37</v>
      </c>
      <c r="H706" s="6">
        <v>3417.98</v>
      </c>
      <c r="I706" s="27">
        <v>7575</v>
      </c>
      <c r="J706" s="27"/>
      <c r="K706" s="27">
        <f t="shared" si="80"/>
        <v>31899.35</v>
      </c>
      <c r="L706" s="39">
        <v>14000</v>
      </c>
      <c r="M706" s="9">
        <f t="shared" si="81"/>
        <v>0.43888041605863443</v>
      </c>
      <c r="N706" s="5">
        <v>1</v>
      </c>
      <c r="O706" s="10">
        <f t="shared" si="82"/>
        <v>0.43888041605863443</v>
      </c>
    </row>
    <row r="707" spans="2:15" ht="13.5" customHeight="1">
      <c r="B707" s="24">
        <v>70</v>
      </c>
      <c r="C707" s="25"/>
      <c r="D707" s="25"/>
      <c r="E707" s="26"/>
      <c r="F707" s="9" t="s">
        <v>40</v>
      </c>
      <c r="G707" s="6">
        <v>20906.37</v>
      </c>
      <c r="H707" s="6">
        <v>3417.98</v>
      </c>
      <c r="I707" s="27">
        <v>7575</v>
      </c>
      <c r="J707" s="27"/>
      <c r="K707" s="27">
        <f t="shared" si="80"/>
        <v>31899.35</v>
      </c>
      <c r="L707" s="39">
        <v>14000</v>
      </c>
      <c r="M707" s="9">
        <f t="shared" si="81"/>
        <v>0.43888041605863443</v>
      </c>
      <c r="N707" s="5">
        <v>1</v>
      </c>
      <c r="O707" s="10">
        <f t="shared" si="82"/>
        <v>0.43888041605863443</v>
      </c>
    </row>
    <row r="708" spans="2:15" ht="13.5" customHeight="1">
      <c r="B708" s="24">
        <v>71</v>
      </c>
      <c r="C708" s="25"/>
      <c r="D708" s="25"/>
      <c r="E708" s="26"/>
      <c r="F708" s="9" t="s">
        <v>40</v>
      </c>
      <c r="G708" s="6">
        <v>20906.37</v>
      </c>
      <c r="H708" s="6">
        <v>3417.98</v>
      </c>
      <c r="I708" s="27">
        <v>7575</v>
      </c>
      <c r="J708" s="27"/>
      <c r="K708" s="27">
        <f t="shared" si="80"/>
        <v>31899.35</v>
      </c>
      <c r="L708" s="39">
        <v>14000</v>
      </c>
      <c r="M708" s="9">
        <f t="shared" si="81"/>
        <v>0.43888041605863443</v>
      </c>
      <c r="N708" s="5">
        <v>1</v>
      </c>
      <c r="O708" s="10">
        <f t="shared" si="82"/>
        <v>0.43888041605863443</v>
      </c>
    </row>
    <row r="709" spans="2:15" ht="13.5" customHeight="1">
      <c r="B709" s="24">
        <v>72</v>
      </c>
      <c r="C709" s="25"/>
      <c r="D709" s="25"/>
      <c r="E709" s="26"/>
      <c r="F709" s="9" t="s">
        <v>40</v>
      </c>
      <c r="G709" s="6">
        <v>20906.37</v>
      </c>
      <c r="H709" s="6">
        <v>3417.98</v>
      </c>
      <c r="I709" s="27">
        <v>7575</v>
      </c>
      <c r="J709" s="27"/>
      <c r="K709" s="27">
        <f t="shared" si="80"/>
        <v>31899.35</v>
      </c>
      <c r="L709" s="39">
        <v>14000</v>
      </c>
      <c r="M709" s="9">
        <f t="shared" si="81"/>
        <v>0.43888041605863443</v>
      </c>
      <c r="N709" s="5">
        <v>1</v>
      </c>
      <c r="O709" s="10">
        <f t="shared" si="82"/>
        <v>0.43888041605863443</v>
      </c>
    </row>
    <row r="710" spans="2:15" ht="13.5" customHeight="1">
      <c r="B710" s="24">
        <v>73</v>
      </c>
      <c r="C710" s="25"/>
      <c r="D710" s="25"/>
      <c r="E710" s="26"/>
      <c r="F710" s="9" t="s">
        <v>40</v>
      </c>
      <c r="G710" s="6">
        <v>20906.37</v>
      </c>
      <c r="H710" s="6">
        <v>3417.98</v>
      </c>
      <c r="I710" s="27">
        <v>7575</v>
      </c>
      <c r="J710" s="27"/>
      <c r="K710" s="27">
        <f t="shared" si="80"/>
        <v>31899.35</v>
      </c>
      <c r="L710" s="39">
        <v>14000</v>
      </c>
      <c r="M710" s="9">
        <f t="shared" si="81"/>
        <v>0.43888041605863443</v>
      </c>
      <c r="N710" s="5">
        <v>1</v>
      </c>
      <c r="O710" s="10">
        <f t="shared" si="82"/>
        <v>0.43888041605863443</v>
      </c>
    </row>
    <row r="711" spans="2:15" ht="13.5" customHeight="1">
      <c r="B711" s="24">
        <v>74</v>
      </c>
      <c r="C711" s="25"/>
      <c r="D711" s="25"/>
      <c r="E711" s="26"/>
      <c r="F711" s="9" t="s">
        <v>40</v>
      </c>
      <c r="G711" s="6">
        <v>20906.37</v>
      </c>
      <c r="H711" s="6">
        <v>3417.98</v>
      </c>
      <c r="I711" s="27">
        <v>7575</v>
      </c>
      <c r="J711" s="27"/>
      <c r="K711" s="27">
        <f t="shared" si="80"/>
        <v>31899.35</v>
      </c>
      <c r="L711" s="39">
        <v>14000</v>
      </c>
      <c r="M711" s="9">
        <f t="shared" si="81"/>
        <v>0.43888041605863443</v>
      </c>
      <c r="N711" s="5">
        <v>1</v>
      </c>
      <c r="O711" s="10">
        <f t="shared" si="82"/>
        <v>0.43888041605863443</v>
      </c>
    </row>
    <row r="712" spans="2:15" ht="13.5" customHeight="1">
      <c r="B712" s="24">
        <v>75</v>
      </c>
      <c r="C712" s="25"/>
      <c r="D712" s="25"/>
      <c r="E712" s="26"/>
      <c r="F712" s="9" t="s">
        <v>40</v>
      </c>
      <c r="G712" s="6">
        <v>20906.37</v>
      </c>
      <c r="H712" s="6">
        <v>3417.98</v>
      </c>
      <c r="I712" s="27">
        <v>7575</v>
      </c>
      <c r="J712" s="27"/>
      <c r="K712" s="27">
        <f t="shared" si="80"/>
        <v>31899.35</v>
      </c>
      <c r="L712" s="39">
        <v>14000</v>
      </c>
      <c r="M712" s="9">
        <f t="shared" si="81"/>
        <v>0.43888041605863443</v>
      </c>
      <c r="N712" s="5">
        <v>1</v>
      </c>
      <c r="O712" s="10">
        <f t="shared" si="82"/>
        <v>0.43888041605863443</v>
      </c>
    </row>
    <row r="713" spans="2:15" ht="13.5" customHeight="1">
      <c r="B713" s="24">
        <v>76</v>
      </c>
      <c r="C713" s="25"/>
      <c r="D713" s="25"/>
      <c r="E713" s="26"/>
      <c r="F713" s="9" t="s">
        <v>40</v>
      </c>
      <c r="G713" s="6">
        <v>20906.37</v>
      </c>
      <c r="H713" s="6">
        <v>3417.98</v>
      </c>
      <c r="I713" s="27">
        <v>7575</v>
      </c>
      <c r="J713" s="27"/>
      <c r="K713" s="27">
        <f t="shared" si="80"/>
        <v>31899.35</v>
      </c>
      <c r="L713" s="39">
        <v>14000</v>
      </c>
      <c r="M713" s="9">
        <f t="shared" si="81"/>
        <v>0.43888041605863443</v>
      </c>
      <c r="N713" s="5">
        <v>1</v>
      </c>
      <c r="O713" s="10">
        <f t="shared" si="82"/>
        <v>0.43888041605863443</v>
      </c>
    </row>
    <row r="714" spans="2:15" ht="13.5" customHeight="1">
      <c r="B714" s="24">
        <v>77</v>
      </c>
      <c r="C714" s="25"/>
      <c r="D714" s="25"/>
      <c r="E714" s="26"/>
      <c r="F714" s="9" t="s">
        <v>40</v>
      </c>
      <c r="G714" s="6">
        <v>20906.37</v>
      </c>
      <c r="H714" s="6">
        <v>3417.98</v>
      </c>
      <c r="I714" s="27">
        <v>7575</v>
      </c>
      <c r="J714" s="27"/>
      <c r="K714" s="27">
        <f t="shared" si="80"/>
        <v>31899.35</v>
      </c>
      <c r="L714" s="39">
        <v>14000</v>
      </c>
      <c r="M714" s="9">
        <f t="shared" si="81"/>
        <v>0.43888041605863443</v>
      </c>
      <c r="N714" s="5">
        <v>1</v>
      </c>
      <c r="O714" s="10">
        <f t="shared" si="82"/>
        <v>0.43888041605863443</v>
      </c>
    </row>
    <row r="715" spans="2:15" ht="13.5" customHeight="1">
      <c r="B715" s="24">
        <v>78</v>
      </c>
      <c r="C715" s="25"/>
      <c r="D715" s="25"/>
      <c r="E715" s="26"/>
      <c r="F715" s="9" t="s">
        <v>40</v>
      </c>
      <c r="G715" s="6">
        <v>20906.37</v>
      </c>
      <c r="H715" s="6">
        <v>3417.98</v>
      </c>
      <c r="I715" s="27">
        <v>7575</v>
      </c>
      <c r="J715" s="27"/>
      <c r="K715" s="27">
        <f t="shared" si="80"/>
        <v>31899.35</v>
      </c>
      <c r="L715" s="39">
        <v>14000</v>
      </c>
      <c r="M715" s="9">
        <f t="shared" si="81"/>
        <v>0.43888041605863443</v>
      </c>
      <c r="N715" s="5">
        <v>1</v>
      </c>
      <c r="O715" s="10">
        <f t="shared" si="82"/>
        <v>0.43888041605863443</v>
      </c>
    </row>
    <row r="716" spans="2:15" ht="13.5" customHeight="1">
      <c r="B716" s="24">
        <v>79</v>
      </c>
      <c r="C716" s="25"/>
      <c r="D716" s="25"/>
      <c r="E716" s="26"/>
      <c r="F716" s="9" t="s">
        <v>40</v>
      </c>
      <c r="G716" s="6">
        <v>20906.37</v>
      </c>
      <c r="H716" s="6">
        <v>3417.98</v>
      </c>
      <c r="I716" s="27">
        <v>7575</v>
      </c>
      <c r="J716" s="27"/>
      <c r="K716" s="27">
        <f t="shared" si="80"/>
        <v>31899.35</v>
      </c>
      <c r="L716" s="39">
        <v>14000</v>
      </c>
      <c r="M716" s="9">
        <f t="shared" si="81"/>
        <v>0.43888041605863443</v>
      </c>
      <c r="N716" s="5">
        <v>1</v>
      </c>
      <c r="O716" s="10">
        <f t="shared" si="82"/>
        <v>0.43888041605863443</v>
      </c>
    </row>
    <row r="717" spans="2:15" ht="13.5" customHeight="1">
      <c r="B717" s="24">
        <v>80</v>
      </c>
      <c r="C717" s="25"/>
      <c r="D717" s="25"/>
      <c r="E717" s="26"/>
      <c r="F717" s="9" t="s">
        <v>40</v>
      </c>
      <c r="G717" s="6">
        <v>20906.37</v>
      </c>
      <c r="H717" s="6">
        <v>3417.98</v>
      </c>
      <c r="I717" s="27">
        <v>7575</v>
      </c>
      <c r="J717" s="27"/>
      <c r="K717" s="27">
        <f t="shared" si="80"/>
        <v>31899.35</v>
      </c>
      <c r="L717" s="39">
        <v>14000</v>
      </c>
      <c r="M717" s="9">
        <f t="shared" si="81"/>
        <v>0.43888041605863443</v>
      </c>
      <c r="N717" s="5">
        <v>1</v>
      </c>
      <c r="O717" s="10">
        <f t="shared" si="82"/>
        <v>0.43888041605863443</v>
      </c>
    </row>
    <row r="718" spans="2:15" ht="13.5" customHeight="1">
      <c r="B718" s="24">
        <v>81</v>
      </c>
      <c r="C718" s="25"/>
      <c r="D718" s="25"/>
      <c r="E718" s="26"/>
      <c r="F718" s="9" t="s">
        <v>40</v>
      </c>
      <c r="G718" s="6">
        <v>20906.37</v>
      </c>
      <c r="H718" s="6">
        <v>3417.98</v>
      </c>
      <c r="I718" s="27">
        <v>7575</v>
      </c>
      <c r="J718" s="27"/>
      <c r="K718" s="27">
        <f t="shared" si="80"/>
        <v>31899.35</v>
      </c>
      <c r="L718" s="39">
        <v>14000</v>
      </c>
      <c r="M718" s="9">
        <f t="shared" si="81"/>
        <v>0.43888041605863443</v>
      </c>
      <c r="N718" s="5">
        <v>1</v>
      </c>
      <c r="O718" s="10">
        <f t="shared" si="82"/>
        <v>0.43888041605863443</v>
      </c>
    </row>
    <row r="719" spans="2:15" ht="13.5" customHeight="1">
      <c r="B719" s="24">
        <v>82</v>
      </c>
      <c r="C719" s="25"/>
      <c r="D719" s="25"/>
      <c r="E719" s="26"/>
      <c r="F719" s="9" t="s">
        <v>40</v>
      </c>
      <c r="G719" s="6">
        <v>20906.37</v>
      </c>
      <c r="H719" s="6">
        <v>3417.98</v>
      </c>
      <c r="I719" s="27">
        <v>7575</v>
      </c>
      <c r="J719" s="27"/>
      <c r="K719" s="27">
        <f t="shared" si="80"/>
        <v>31899.35</v>
      </c>
      <c r="L719" s="39">
        <v>17500</v>
      </c>
      <c r="M719" s="9">
        <f t="shared" si="81"/>
        <v>0.54860052007329307</v>
      </c>
      <c r="N719" s="5">
        <v>1</v>
      </c>
      <c r="O719" s="10">
        <f t="shared" si="82"/>
        <v>0.54860052007329307</v>
      </c>
    </row>
    <row r="720" spans="2:15" ht="13.5" customHeight="1">
      <c r="B720" s="24">
        <v>83</v>
      </c>
      <c r="C720" s="25"/>
      <c r="D720" s="25"/>
      <c r="E720" s="26"/>
      <c r="F720" s="9" t="s">
        <v>40</v>
      </c>
      <c r="G720" s="6">
        <v>20906.37</v>
      </c>
      <c r="H720" s="6">
        <v>3417.98</v>
      </c>
      <c r="I720" s="27">
        <v>7575</v>
      </c>
      <c r="J720" s="27"/>
      <c r="K720" s="27">
        <f t="shared" si="80"/>
        <v>31899.35</v>
      </c>
      <c r="L720" s="39">
        <v>14000</v>
      </c>
      <c r="M720" s="9">
        <f t="shared" si="81"/>
        <v>0.43888041605863443</v>
      </c>
      <c r="N720" s="5">
        <v>1</v>
      </c>
      <c r="O720" s="10">
        <f t="shared" si="82"/>
        <v>0.43888041605863443</v>
      </c>
    </row>
    <row r="721" spans="2:15" ht="13.5" customHeight="1">
      <c r="B721" s="24">
        <v>84</v>
      </c>
      <c r="C721" s="25"/>
      <c r="D721" s="25"/>
      <c r="E721" s="26"/>
      <c r="F721" s="9" t="s">
        <v>40</v>
      </c>
      <c r="G721" s="6">
        <v>20906.37</v>
      </c>
      <c r="H721" s="6">
        <v>3417.98</v>
      </c>
      <c r="I721" s="27">
        <v>7575</v>
      </c>
      <c r="J721" s="27"/>
      <c r="K721" s="27">
        <f t="shared" si="80"/>
        <v>31899.35</v>
      </c>
      <c r="L721" s="39">
        <v>14000</v>
      </c>
      <c r="M721" s="9">
        <f t="shared" si="81"/>
        <v>0.43888041605863443</v>
      </c>
      <c r="N721" s="5">
        <v>1</v>
      </c>
      <c r="O721" s="10">
        <f t="shared" si="82"/>
        <v>0.43888041605863443</v>
      </c>
    </row>
    <row r="722" spans="2:15" ht="13.5" customHeight="1">
      <c r="B722" s="24">
        <v>85</v>
      </c>
      <c r="C722" s="25"/>
      <c r="D722" s="25"/>
      <c r="E722" s="26"/>
      <c r="F722" s="9" t="s">
        <v>40</v>
      </c>
      <c r="G722" s="6">
        <v>20906.37</v>
      </c>
      <c r="H722" s="6">
        <v>3417.98</v>
      </c>
      <c r="I722" s="27">
        <v>7575</v>
      </c>
      <c r="J722" s="27"/>
      <c r="K722" s="27">
        <f t="shared" si="80"/>
        <v>31899.35</v>
      </c>
      <c r="L722" s="39">
        <v>14000</v>
      </c>
      <c r="M722" s="9">
        <f t="shared" si="81"/>
        <v>0.43888041605863443</v>
      </c>
      <c r="N722" s="5">
        <v>1</v>
      </c>
      <c r="O722" s="10">
        <f t="shared" si="82"/>
        <v>0.43888041605863443</v>
      </c>
    </row>
    <row r="723" spans="2:15" ht="13.5" customHeight="1">
      <c r="B723" s="24">
        <v>86</v>
      </c>
      <c r="C723" s="25"/>
      <c r="D723" s="25"/>
      <c r="E723" s="26"/>
      <c r="F723" s="9" t="s">
        <v>40</v>
      </c>
      <c r="G723" s="6">
        <v>20906.37</v>
      </c>
      <c r="H723" s="6">
        <v>3417.98</v>
      </c>
      <c r="I723" s="27">
        <v>7575</v>
      </c>
      <c r="J723" s="27"/>
      <c r="K723" s="27">
        <f t="shared" si="80"/>
        <v>31899.35</v>
      </c>
      <c r="L723" s="39">
        <v>14000</v>
      </c>
      <c r="M723" s="9">
        <f t="shared" si="81"/>
        <v>0.43888041605863443</v>
      </c>
      <c r="N723" s="5">
        <v>1</v>
      </c>
      <c r="O723" s="10">
        <f t="shared" si="82"/>
        <v>0.43888041605863443</v>
      </c>
    </row>
    <row r="724" spans="2:15" ht="13.5" customHeight="1">
      <c r="B724" s="24">
        <v>87</v>
      </c>
      <c r="C724" s="25"/>
      <c r="D724" s="25"/>
      <c r="E724" s="26"/>
      <c r="F724" s="9" t="s">
        <v>40</v>
      </c>
      <c r="G724" s="6">
        <v>20906.37</v>
      </c>
      <c r="H724" s="6">
        <v>3417.98</v>
      </c>
      <c r="I724" s="27">
        <v>7575</v>
      </c>
      <c r="J724" s="27"/>
      <c r="K724" s="27">
        <f t="shared" si="80"/>
        <v>31899.35</v>
      </c>
      <c r="L724" s="39">
        <v>14000</v>
      </c>
      <c r="M724" s="9">
        <f t="shared" si="81"/>
        <v>0.43888041605863443</v>
      </c>
      <c r="N724" s="5">
        <v>1</v>
      </c>
      <c r="O724" s="10">
        <f t="shared" si="82"/>
        <v>0.43888041605863443</v>
      </c>
    </row>
    <row r="725" spans="2:15" ht="13.5" customHeight="1">
      <c r="B725" s="24">
        <v>88</v>
      </c>
      <c r="C725" s="25"/>
      <c r="D725" s="25"/>
      <c r="E725" s="26"/>
      <c r="F725" s="9" t="s">
        <v>40</v>
      </c>
      <c r="G725" s="6">
        <v>20906.37</v>
      </c>
      <c r="H725" s="6">
        <v>3417.98</v>
      </c>
      <c r="I725" s="27">
        <v>7575</v>
      </c>
      <c r="J725" s="27"/>
      <c r="K725" s="27">
        <f t="shared" si="80"/>
        <v>31899.35</v>
      </c>
      <c r="L725" s="39">
        <v>14000</v>
      </c>
      <c r="M725" s="9">
        <f t="shared" si="81"/>
        <v>0.43888041605863443</v>
      </c>
      <c r="N725" s="5">
        <v>1</v>
      </c>
      <c r="O725" s="10">
        <f t="shared" si="82"/>
        <v>0.43888041605863443</v>
      </c>
    </row>
    <row r="726" spans="2:15" ht="13.5" customHeight="1">
      <c r="B726" s="24">
        <v>89</v>
      </c>
      <c r="C726" s="25"/>
      <c r="D726" s="25"/>
      <c r="E726" s="26"/>
      <c r="F726" s="9" t="s">
        <v>40</v>
      </c>
      <c r="G726" s="6">
        <v>20906.37</v>
      </c>
      <c r="H726" s="6">
        <v>3417.98</v>
      </c>
      <c r="I726" s="27">
        <v>7575</v>
      </c>
      <c r="J726" s="27"/>
      <c r="K726" s="27">
        <f t="shared" si="80"/>
        <v>31899.35</v>
      </c>
      <c r="L726" s="39">
        <v>14000</v>
      </c>
      <c r="M726" s="9">
        <f t="shared" si="81"/>
        <v>0.43888041605863443</v>
      </c>
      <c r="N726" s="5">
        <v>1</v>
      </c>
      <c r="O726" s="10">
        <f t="shared" si="82"/>
        <v>0.43888041605863443</v>
      </c>
    </row>
    <row r="727" spans="2:15" ht="13.5" customHeight="1">
      <c r="B727" s="24">
        <v>90</v>
      </c>
      <c r="C727" s="25"/>
      <c r="D727" s="25"/>
      <c r="E727" s="26"/>
      <c r="F727" s="9" t="s">
        <v>40</v>
      </c>
      <c r="G727" s="6">
        <v>20906.37</v>
      </c>
      <c r="H727" s="6">
        <v>3417.98</v>
      </c>
      <c r="I727" s="27">
        <v>7575</v>
      </c>
      <c r="J727" s="27"/>
      <c r="K727" s="27">
        <f t="shared" si="80"/>
        <v>31899.35</v>
      </c>
      <c r="L727" s="39">
        <v>14000</v>
      </c>
      <c r="M727" s="9">
        <f t="shared" si="81"/>
        <v>0.43888041605863443</v>
      </c>
      <c r="N727" s="5">
        <v>1</v>
      </c>
      <c r="O727" s="10">
        <f t="shared" si="82"/>
        <v>0.43888041605863443</v>
      </c>
    </row>
    <row r="728" spans="2:15" ht="13.5" customHeight="1">
      <c r="B728" s="24">
        <v>91</v>
      </c>
      <c r="C728" s="25"/>
      <c r="D728" s="25"/>
      <c r="E728" s="26"/>
      <c r="F728" s="9" t="s">
        <v>40</v>
      </c>
      <c r="G728" s="6">
        <v>20906.37</v>
      </c>
      <c r="H728" s="6">
        <v>3417.98</v>
      </c>
      <c r="I728" s="27">
        <v>7575</v>
      </c>
      <c r="J728" s="27"/>
      <c r="K728" s="27">
        <f t="shared" si="80"/>
        <v>31899.35</v>
      </c>
      <c r="L728" s="39">
        <v>14000</v>
      </c>
      <c r="M728" s="9">
        <f t="shared" si="81"/>
        <v>0.43888041605863443</v>
      </c>
      <c r="N728" s="5">
        <v>1</v>
      </c>
      <c r="O728" s="10">
        <f t="shared" si="82"/>
        <v>0.43888041605863443</v>
      </c>
    </row>
    <row r="729" spans="2:15" ht="13.5" customHeight="1">
      <c r="B729" s="24">
        <v>92</v>
      </c>
      <c r="C729" s="25"/>
      <c r="D729" s="25"/>
      <c r="E729" s="26"/>
      <c r="F729" s="9" t="s">
        <v>40</v>
      </c>
      <c r="G729" s="6">
        <v>20906.37</v>
      </c>
      <c r="H729" s="6">
        <v>3417.98</v>
      </c>
      <c r="I729" s="27">
        <v>7575</v>
      </c>
      <c r="J729" s="27"/>
      <c r="K729" s="27">
        <f t="shared" si="80"/>
        <v>31899.35</v>
      </c>
      <c r="L729" s="39">
        <v>14000</v>
      </c>
      <c r="M729" s="9">
        <f t="shared" si="81"/>
        <v>0.43888041605863443</v>
      </c>
      <c r="N729" s="5">
        <v>1</v>
      </c>
      <c r="O729" s="10">
        <f t="shared" si="82"/>
        <v>0.43888041605863443</v>
      </c>
    </row>
    <row r="730" spans="2:15" ht="13.5" customHeight="1">
      <c r="B730" s="24">
        <v>93</v>
      </c>
      <c r="C730" s="25"/>
      <c r="E730" s="26"/>
      <c r="F730" s="9" t="s">
        <v>40</v>
      </c>
      <c r="G730" s="6">
        <v>20906.37</v>
      </c>
      <c r="H730" s="6">
        <v>3417.98</v>
      </c>
      <c r="I730" s="27">
        <v>7575</v>
      </c>
      <c r="J730" s="27"/>
      <c r="K730" s="27">
        <f t="shared" si="80"/>
        <v>31899.35</v>
      </c>
      <c r="L730" s="39">
        <v>17500</v>
      </c>
      <c r="M730" s="9">
        <f t="shared" si="81"/>
        <v>0.54860052007329307</v>
      </c>
      <c r="N730" s="5">
        <v>1</v>
      </c>
      <c r="O730" s="10">
        <f t="shared" si="82"/>
        <v>0.54860052007329307</v>
      </c>
    </row>
    <row r="731" spans="2:15" ht="13.5" customHeight="1">
      <c r="B731" s="24">
        <v>94</v>
      </c>
      <c r="C731" s="25"/>
      <c r="D731" s="25"/>
      <c r="E731" s="26"/>
      <c r="F731" s="9" t="s">
        <v>40</v>
      </c>
      <c r="G731" s="6">
        <v>20906.37</v>
      </c>
      <c r="H731" s="6">
        <v>3417.98</v>
      </c>
      <c r="I731" s="27">
        <v>7575</v>
      </c>
      <c r="J731" s="27"/>
      <c r="K731" s="27">
        <f t="shared" si="80"/>
        <v>31899.35</v>
      </c>
      <c r="L731" s="39">
        <v>14000</v>
      </c>
      <c r="M731" s="9">
        <f t="shared" si="81"/>
        <v>0.43888041605863443</v>
      </c>
      <c r="N731" s="5">
        <v>1</v>
      </c>
      <c r="O731" s="10">
        <f t="shared" si="82"/>
        <v>0.43888041605863443</v>
      </c>
    </row>
    <row r="732" spans="2:15" ht="13.5" customHeight="1">
      <c r="B732" s="24">
        <v>95</v>
      </c>
      <c r="C732" s="25"/>
      <c r="D732" s="25"/>
      <c r="E732" s="26"/>
      <c r="F732" s="9" t="s">
        <v>40</v>
      </c>
      <c r="G732" s="6">
        <v>20906.37</v>
      </c>
      <c r="H732" s="6">
        <v>3417.98</v>
      </c>
      <c r="I732" s="27">
        <v>7575</v>
      </c>
      <c r="J732" s="27"/>
      <c r="K732" s="27">
        <f t="shared" si="80"/>
        <v>31899.35</v>
      </c>
      <c r="L732" s="39">
        <v>14000</v>
      </c>
      <c r="M732" s="9">
        <f t="shared" si="81"/>
        <v>0.43888041605863443</v>
      </c>
      <c r="N732" s="5">
        <v>1</v>
      </c>
      <c r="O732" s="10">
        <f t="shared" si="82"/>
        <v>0.43888041605863443</v>
      </c>
    </row>
    <row r="733" spans="2:15" ht="13.5" customHeight="1">
      <c r="B733" s="24">
        <v>96</v>
      </c>
      <c r="C733" s="25"/>
      <c r="D733" s="25"/>
      <c r="E733" s="26"/>
      <c r="F733" s="9" t="s">
        <v>40</v>
      </c>
      <c r="G733" s="6">
        <v>20906.37</v>
      </c>
      <c r="H733" s="6">
        <v>3417.98</v>
      </c>
      <c r="I733" s="27">
        <v>7575</v>
      </c>
      <c r="J733" s="27"/>
      <c r="K733" s="27">
        <f t="shared" si="80"/>
        <v>31899.35</v>
      </c>
      <c r="L733" s="39">
        <v>14000</v>
      </c>
      <c r="M733" s="9">
        <f t="shared" si="81"/>
        <v>0.43888041605863443</v>
      </c>
      <c r="N733" s="5">
        <v>1</v>
      </c>
      <c r="O733" s="10">
        <f t="shared" si="82"/>
        <v>0.43888041605863443</v>
      </c>
    </row>
    <row r="734" spans="2:15" ht="13.5" customHeight="1">
      <c r="B734" s="24">
        <v>97</v>
      </c>
      <c r="C734" s="25"/>
      <c r="D734" s="25"/>
      <c r="E734" s="26"/>
      <c r="F734" s="9" t="s">
        <v>40</v>
      </c>
      <c r="G734" s="6">
        <v>20906.37</v>
      </c>
      <c r="H734" s="6">
        <v>3417.98</v>
      </c>
      <c r="I734" s="27">
        <v>7575</v>
      </c>
      <c r="J734" s="27"/>
      <c r="K734" s="27">
        <f t="shared" si="80"/>
        <v>31899.35</v>
      </c>
      <c r="L734" s="39">
        <v>17500</v>
      </c>
      <c r="M734" s="9">
        <f t="shared" si="81"/>
        <v>0.54860052007329307</v>
      </c>
      <c r="N734" s="5">
        <v>1</v>
      </c>
      <c r="O734" s="10">
        <f t="shared" si="82"/>
        <v>0.54860052007329307</v>
      </c>
    </row>
    <row r="735" spans="2:15" ht="13.5" customHeight="1">
      <c r="B735" s="24">
        <v>98</v>
      </c>
      <c r="C735" s="25"/>
      <c r="D735" s="25"/>
      <c r="E735" s="26"/>
      <c r="F735" s="9" t="s">
        <v>40</v>
      </c>
      <c r="G735" s="6">
        <v>20906.37</v>
      </c>
      <c r="H735" s="6">
        <v>3417.98</v>
      </c>
      <c r="I735" s="27">
        <v>7575</v>
      </c>
      <c r="J735" s="27"/>
      <c r="K735" s="27">
        <f t="shared" si="80"/>
        <v>31899.35</v>
      </c>
      <c r="L735" s="39">
        <v>14000</v>
      </c>
      <c r="M735" s="9">
        <f t="shared" si="81"/>
        <v>0.43888041605863443</v>
      </c>
      <c r="N735" s="5">
        <v>1</v>
      </c>
      <c r="O735" s="10">
        <f t="shared" si="82"/>
        <v>0.43888041605863443</v>
      </c>
    </row>
    <row r="736" spans="2:15" ht="13.5" customHeight="1">
      <c r="B736" s="24">
        <v>99</v>
      </c>
      <c r="C736" s="25"/>
      <c r="D736" s="25"/>
      <c r="E736" s="26"/>
      <c r="F736" s="9" t="s">
        <v>40</v>
      </c>
      <c r="G736" s="6">
        <v>20906.37</v>
      </c>
      <c r="H736" s="6">
        <v>3417.98</v>
      </c>
      <c r="I736" s="27">
        <v>7575</v>
      </c>
      <c r="J736" s="27"/>
      <c r="K736" s="27">
        <f t="shared" si="80"/>
        <v>31899.35</v>
      </c>
      <c r="L736" s="39">
        <v>14000</v>
      </c>
      <c r="M736" s="9">
        <f t="shared" si="81"/>
        <v>0.43888041605863443</v>
      </c>
      <c r="N736" s="5">
        <v>1</v>
      </c>
      <c r="O736" s="10">
        <f t="shared" si="82"/>
        <v>0.43888041605863443</v>
      </c>
    </row>
    <row r="737" spans="2:15" ht="13.5" customHeight="1">
      <c r="B737" s="24">
        <v>100</v>
      </c>
      <c r="C737" s="25"/>
      <c r="D737" s="25"/>
      <c r="E737" s="26"/>
      <c r="F737" s="9" t="s">
        <v>40</v>
      </c>
      <c r="G737" s="6">
        <v>20906.37</v>
      </c>
      <c r="H737" s="6">
        <v>3417.98</v>
      </c>
      <c r="I737" s="27">
        <v>7575</v>
      </c>
      <c r="J737" s="27"/>
      <c r="K737" s="27">
        <f t="shared" si="80"/>
        <v>31899.35</v>
      </c>
      <c r="L737" s="39">
        <v>14000</v>
      </c>
      <c r="M737" s="9">
        <f t="shared" si="81"/>
        <v>0.43888041605863443</v>
      </c>
      <c r="N737" s="5">
        <v>1</v>
      </c>
      <c r="O737" s="10">
        <f t="shared" si="82"/>
        <v>0.43888041605863443</v>
      </c>
    </row>
    <row r="738" spans="2:15" ht="13.5" customHeight="1">
      <c r="B738" s="24">
        <v>101</v>
      </c>
      <c r="C738" s="25"/>
      <c r="D738" s="25"/>
      <c r="E738" s="26"/>
      <c r="F738" s="9" t="s">
        <v>40</v>
      </c>
      <c r="G738" s="6">
        <v>20906.37</v>
      </c>
      <c r="H738" s="6">
        <v>3417.98</v>
      </c>
      <c r="I738" s="27">
        <v>7575</v>
      </c>
      <c r="J738" s="27"/>
      <c r="K738" s="27">
        <f t="shared" si="80"/>
        <v>31899.35</v>
      </c>
      <c r="L738" s="39">
        <v>14000</v>
      </c>
      <c r="M738" s="9">
        <f t="shared" si="81"/>
        <v>0.43888041605863443</v>
      </c>
      <c r="N738" s="5">
        <v>1</v>
      </c>
      <c r="O738" s="10">
        <f t="shared" si="82"/>
        <v>0.43888041605863443</v>
      </c>
    </row>
    <row r="739" spans="2:15" ht="13.5" customHeight="1">
      <c r="B739" s="24">
        <v>102</v>
      </c>
      <c r="C739" s="25"/>
      <c r="D739" s="25"/>
      <c r="E739" s="26"/>
      <c r="F739" s="9" t="s">
        <v>40</v>
      </c>
      <c r="G739" s="6">
        <v>20906.37</v>
      </c>
      <c r="H739" s="6">
        <v>3417.98</v>
      </c>
      <c r="I739" s="27">
        <v>7575</v>
      </c>
      <c r="J739" s="27"/>
      <c r="K739" s="27">
        <f t="shared" si="80"/>
        <v>31899.35</v>
      </c>
      <c r="L739" s="39">
        <v>17500</v>
      </c>
      <c r="M739" s="9">
        <f t="shared" si="81"/>
        <v>0.54860052007329307</v>
      </c>
      <c r="N739" s="5">
        <v>1</v>
      </c>
      <c r="O739" s="10">
        <f t="shared" si="82"/>
        <v>0.54860052007329307</v>
      </c>
    </row>
    <row r="740" spans="2:15" ht="13.5" customHeight="1">
      <c r="B740" s="24">
        <v>103</v>
      </c>
      <c r="C740" s="25"/>
      <c r="D740" s="25"/>
      <c r="E740" s="26"/>
      <c r="F740" s="9" t="s">
        <v>40</v>
      </c>
      <c r="G740" s="6">
        <v>20906.37</v>
      </c>
      <c r="H740" s="6">
        <v>3417.98</v>
      </c>
      <c r="I740" s="27">
        <v>7575</v>
      </c>
      <c r="J740" s="27"/>
      <c r="K740" s="27">
        <f t="shared" si="80"/>
        <v>31899.35</v>
      </c>
      <c r="L740" s="39">
        <v>14000</v>
      </c>
      <c r="M740" s="9">
        <f t="shared" si="81"/>
        <v>0.43888041605863443</v>
      </c>
      <c r="N740" s="5">
        <v>1</v>
      </c>
      <c r="O740" s="10">
        <f t="shared" si="82"/>
        <v>0.43888041605863443</v>
      </c>
    </row>
    <row r="741" spans="2:15" ht="13.5" customHeight="1">
      <c r="B741" s="24">
        <v>104</v>
      </c>
      <c r="C741" s="25"/>
      <c r="D741" s="25"/>
      <c r="E741" s="26"/>
      <c r="F741" s="9" t="s">
        <v>40</v>
      </c>
      <c r="G741" s="6">
        <v>20906.37</v>
      </c>
      <c r="H741" s="6">
        <v>3417.98</v>
      </c>
      <c r="I741" s="27">
        <v>7575</v>
      </c>
      <c r="J741" s="27"/>
      <c r="K741" s="27">
        <f t="shared" si="80"/>
        <v>31899.35</v>
      </c>
      <c r="L741" s="39">
        <v>17500</v>
      </c>
      <c r="M741" s="9">
        <f t="shared" si="81"/>
        <v>0.54860052007329307</v>
      </c>
      <c r="N741" s="5">
        <v>1</v>
      </c>
      <c r="O741" s="10">
        <f t="shared" si="82"/>
        <v>0.54860052007329307</v>
      </c>
    </row>
    <row r="742" spans="2:15" ht="13.5" customHeight="1">
      <c r="B742" s="24">
        <v>105</v>
      </c>
      <c r="C742" s="25"/>
      <c r="D742" s="25"/>
      <c r="E742" s="26"/>
      <c r="F742" s="9" t="s">
        <v>40</v>
      </c>
      <c r="G742" s="6">
        <v>20906.37</v>
      </c>
      <c r="H742" s="6">
        <v>3417.98</v>
      </c>
      <c r="I742" s="27">
        <v>7575</v>
      </c>
      <c r="J742" s="27"/>
      <c r="K742" s="27">
        <f t="shared" si="80"/>
        <v>31899.35</v>
      </c>
      <c r="L742" s="39">
        <v>17500</v>
      </c>
      <c r="M742" s="9">
        <f t="shared" si="81"/>
        <v>0.54860052007329307</v>
      </c>
      <c r="N742" s="5">
        <v>1</v>
      </c>
      <c r="O742" s="10">
        <f t="shared" si="82"/>
        <v>0.54860052007329307</v>
      </c>
    </row>
    <row r="743" spans="2:15" ht="13.5" customHeight="1">
      <c r="B743" s="24">
        <v>106</v>
      </c>
      <c r="C743" s="25"/>
      <c r="D743" s="25"/>
      <c r="E743" s="26"/>
      <c r="F743" s="9" t="s">
        <v>40</v>
      </c>
      <c r="G743" s="6">
        <v>20906.37</v>
      </c>
      <c r="H743" s="6">
        <v>3417.98</v>
      </c>
      <c r="I743" s="27">
        <v>7575</v>
      </c>
      <c r="J743" s="27"/>
      <c r="K743" s="27">
        <f t="shared" si="80"/>
        <v>31899.35</v>
      </c>
      <c r="L743" s="39">
        <v>17500</v>
      </c>
      <c r="M743" s="9">
        <f t="shared" si="81"/>
        <v>0.54860052007329307</v>
      </c>
      <c r="N743" s="5">
        <v>1</v>
      </c>
      <c r="O743" s="10">
        <f t="shared" si="82"/>
        <v>0.54860052007329307</v>
      </c>
    </row>
    <row r="744" spans="2:15" ht="13.5" customHeight="1">
      <c r="B744" s="24">
        <v>107</v>
      </c>
      <c r="C744" s="25"/>
      <c r="D744" s="25"/>
      <c r="E744" s="26"/>
      <c r="F744" s="9" t="s">
        <v>40</v>
      </c>
      <c r="G744" s="6">
        <v>20906.37</v>
      </c>
      <c r="H744" s="6">
        <v>3417.98</v>
      </c>
      <c r="I744" s="27">
        <v>7575</v>
      </c>
      <c r="J744" s="27"/>
      <c r="K744" s="27">
        <f t="shared" si="80"/>
        <v>31899.35</v>
      </c>
      <c r="L744" s="39">
        <v>14000</v>
      </c>
      <c r="M744" s="9">
        <f t="shared" si="81"/>
        <v>0.43888041605863443</v>
      </c>
      <c r="N744" s="5">
        <v>1</v>
      </c>
      <c r="O744" s="10">
        <f t="shared" si="82"/>
        <v>0.43888041605863443</v>
      </c>
    </row>
    <row r="745" spans="2:15" ht="13.5" customHeight="1">
      <c r="B745" s="24">
        <v>108</v>
      </c>
      <c r="C745" s="25"/>
      <c r="D745" s="25"/>
      <c r="E745" s="26"/>
      <c r="F745" s="9" t="s">
        <v>40</v>
      </c>
      <c r="G745" s="6">
        <v>20906.37</v>
      </c>
      <c r="H745" s="6">
        <v>3417.98</v>
      </c>
      <c r="I745" s="27">
        <v>7575</v>
      </c>
      <c r="J745" s="27"/>
      <c r="K745" s="27">
        <f t="shared" si="80"/>
        <v>31899.35</v>
      </c>
      <c r="L745" s="39">
        <v>17500</v>
      </c>
      <c r="M745" s="9">
        <f t="shared" si="81"/>
        <v>0.54860052007329307</v>
      </c>
      <c r="N745" s="5">
        <v>1</v>
      </c>
      <c r="O745" s="10">
        <f t="shared" si="82"/>
        <v>0.54860052007329307</v>
      </c>
    </row>
    <row r="746" spans="2:15" ht="13.5" customHeight="1">
      <c r="B746" s="24">
        <v>109</v>
      </c>
      <c r="C746" s="25"/>
      <c r="D746" s="25"/>
      <c r="E746" s="26"/>
      <c r="F746" s="9" t="s">
        <v>40</v>
      </c>
      <c r="G746" s="6">
        <v>20906.37</v>
      </c>
      <c r="H746" s="6">
        <v>3417.98</v>
      </c>
      <c r="I746" s="27">
        <v>7575</v>
      </c>
      <c r="J746" s="27"/>
      <c r="K746" s="27">
        <f t="shared" si="80"/>
        <v>31899.35</v>
      </c>
      <c r="L746" s="39">
        <v>14000</v>
      </c>
      <c r="M746" s="9">
        <f t="shared" si="81"/>
        <v>0.43888041605863443</v>
      </c>
      <c r="N746" s="5">
        <v>1</v>
      </c>
      <c r="O746" s="10">
        <f t="shared" si="82"/>
        <v>0.43888041605863443</v>
      </c>
    </row>
    <row r="747" spans="2:15" ht="13.5" customHeight="1">
      <c r="B747" s="24">
        <v>110</v>
      </c>
      <c r="C747" s="25"/>
      <c r="D747" s="25"/>
      <c r="E747" s="26"/>
      <c r="F747" s="9" t="s">
        <v>40</v>
      </c>
      <c r="G747" s="6">
        <v>20906.37</v>
      </c>
      <c r="H747" s="6">
        <v>3417.98</v>
      </c>
      <c r="I747" s="27">
        <v>7575</v>
      </c>
      <c r="J747" s="27"/>
      <c r="K747" s="27">
        <f t="shared" si="80"/>
        <v>31899.35</v>
      </c>
      <c r="L747" s="39">
        <v>14000</v>
      </c>
      <c r="M747" s="9">
        <f t="shared" si="81"/>
        <v>0.43888041605863443</v>
      </c>
      <c r="N747" s="5">
        <v>1</v>
      </c>
      <c r="O747" s="10">
        <f t="shared" si="82"/>
        <v>0.43888041605863443</v>
      </c>
    </row>
    <row r="748" spans="2:15" ht="13.5" customHeight="1">
      <c r="B748" s="24">
        <v>111</v>
      </c>
      <c r="C748" s="25"/>
      <c r="D748" s="25"/>
      <c r="E748" s="26"/>
      <c r="F748" s="9" t="s">
        <v>40</v>
      </c>
      <c r="G748" s="6">
        <v>20906.37</v>
      </c>
      <c r="H748" s="6">
        <v>3417.98</v>
      </c>
      <c r="I748" s="27">
        <v>7575</v>
      </c>
      <c r="J748" s="27"/>
      <c r="K748" s="27">
        <f t="shared" si="80"/>
        <v>31899.35</v>
      </c>
      <c r="L748" s="39">
        <v>17500</v>
      </c>
      <c r="M748" s="9">
        <f t="shared" si="81"/>
        <v>0.54860052007329307</v>
      </c>
      <c r="N748" s="5">
        <v>1</v>
      </c>
      <c r="O748" s="10">
        <f t="shared" si="82"/>
        <v>0.54860052007329307</v>
      </c>
    </row>
    <row r="749" spans="2:15" ht="13.5" customHeight="1">
      <c r="B749" s="24">
        <v>112</v>
      </c>
      <c r="C749" s="25"/>
      <c r="D749" s="25"/>
      <c r="E749" s="26"/>
      <c r="F749" s="9" t="s">
        <v>40</v>
      </c>
      <c r="G749" s="6">
        <v>20906.37</v>
      </c>
      <c r="H749" s="6">
        <v>3417.98</v>
      </c>
      <c r="I749" s="27">
        <v>7575</v>
      </c>
      <c r="J749" s="27"/>
      <c r="K749" s="27">
        <f t="shared" si="80"/>
        <v>31899.35</v>
      </c>
      <c r="L749" s="39">
        <v>14000</v>
      </c>
      <c r="M749" s="9">
        <f t="shared" si="81"/>
        <v>0.43888041605863443</v>
      </c>
      <c r="N749" s="5">
        <v>1</v>
      </c>
      <c r="O749" s="10">
        <f t="shared" si="82"/>
        <v>0.43888041605863443</v>
      </c>
    </row>
    <row r="750" spans="2:15" ht="13.5" customHeight="1">
      <c r="B750" s="24">
        <v>113</v>
      </c>
      <c r="C750" s="25"/>
      <c r="D750" s="25"/>
      <c r="E750" s="26"/>
      <c r="F750" s="9" t="s">
        <v>40</v>
      </c>
      <c r="G750" s="6">
        <v>20906.37</v>
      </c>
      <c r="H750" s="6">
        <v>3417.98</v>
      </c>
      <c r="I750" s="27">
        <v>7575</v>
      </c>
      <c r="J750" s="27"/>
      <c r="K750" s="27">
        <f t="shared" si="80"/>
        <v>31899.35</v>
      </c>
      <c r="L750" s="39">
        <v>14000</v>
      </c>
      <c r="M750" s="9">
        <f t="shared" si="81"/>
        <v>0.43888041605863443</v>
      </c>
      <c r="N750" s="5">
        <v>1</v>
      </c>
      <c r="O750" s="10">
        <f t="shared" si="82"/>
        <v>0.43888041605863443</v>
      </c>
    </row>
    <row r="751" spans="2:15" ht="13.5" customHeight="1">
      <c r="B751" s="24">
        <v>114</v>
      </c>
      <c r="C751" s="25"/>
      <c r="D751" s="25"/>
      <c r="E751" s="26"/>
      <c r="F751" s="9" t="s">
        <v>40</v>
      </c>
      <c r="G751" s="6">
        <v>20906.37</v>
      </c>
      <c r="H751" s="6">
        <v>3417.98</v>
      </c>
      <c r="I751" s="27">
        <v>7575</v>
      </c>
      <c r="J751" s="27"/>
      <c r="K751" s="27">
        <f t="shared" si="80"/>
        <v>31899.35</v>
      </c>
      <c r="L751" s="39">
        <v>17500</v>
      </c>
      <c r="M751" s="9">
        <f t="shared" si="81"/>
        <v>0.54860052007329307</v>
      </c>
      <c r="N751" s="5">
        <v>1</v>
      </c>
      <c r="O751" s="10">
        <f t="shared" si="82"/>
        <v>0.54860052007329307</v>
      </c>
    </row>
    <row r="752" spans="2:15" ht="13.5" customHeight="1">
      <c r="B752" s="24">
        <v>115</v>
      </c>
      <c r="C752" s="25"/>
      <c r="D752" s="25"/>
      <c r="E752" s="26"/>
      <c r="F752" s="9" t="s">
        <v>40</v>
      </c>
      <c r="G752" s="6">
        <v>20906.37</v>
      </c>
      <c r="H752" s="6">
        <v>3417.98</v>
      </c>
      <c r="I752" s="27">
        <v>7575</v>
      </c>
      <c r="J752" s="27"/>
      <c r="K752" s="27">
        <f t="shared" si="80"/>
        <v>31899.35</v>
      </c>
      <c r="L752" s="39">
        <v>14000</v>
      </c>
      <c r="M752" s="9">
        <f t="shared" si="81"/>
        <v>0.43888041605863443</v>
      </c>
      <c r="N752" s="5">
        <v>1</v>
      </c>
      <c r="O752" s="10">
        <f t="shared" si="82"/>
        <v>0.43888041605863443</v>
      </c>
    </row>
    <row r="753" spans="2:15" ht="13.5" customHeight="1">
      <c r="B753" s="24">
        <v>116</v>
      </c>
      <c r="C753" s="25"/>
      <c r="D753" s="25"/>
      <c r="E753" s="26"/>
      <c r="F753" s="9" t="s">
        <v>40</v>
      </c>
      <c r="G753" s="6">
        <v>20906.37</v>
      </c>
      <c r="H753" s="6">
        <v>3417.98</v>
      </c>
      <c r="I753" s="27">
        <v>7575</v>
      </c>
      <c r="J753" s="27"/>
      <c r="K753" s="27">
        <f t="shared" si="80"/>
        <v>31899.35</v>
      </c>
      <c r="L753" s="39">
        <v>14000</v>
      </c>
      <c r="M753" s="9">
        <f t="shared" si="81"/>
        <v>0.43888041605863443</v>
      </c>
      <c r="N753" s="5">
        <v>1</v>
      </c>
      <c r="O753" s="10">
        <f t="shared" si="82"/>
        <v>0.43888041605863443</v>
      </c>
    </row>
    <row r="754" spans="2:15" ht="13.5" customHeight="1">
      <c r="B754" s="24">
        <v>117</v>
      </c>
      <c r="C754" s="25"/>
      <c r="D754" s="25"/>
      <c r="E754" s="26"/>
      <c r="F754" s="9" t="s">
        <v>40</v>
      </c>
      <c r="G754" s="6">
        <v>20906.37</v>
      </c>
      <c r="H754" s="6">
        <v>3417.98</v>
      </c>
      <c r="I754" s="27">
        <v>7575</v>
      </c>
      <c r="J754" s="27"/>
      <c r="K754" s="27">
        <f t="shared" si="80"/>
        <v>31899.35</v>
      </c>
      <c r="L754" s="39">
        <v>14000</v>
      </c>
      <c r="M754" s="9">
        <f t="shared" si="81"/>
        <v>0.43888041605863443</v>
      </c>
      <c r="N754" s="5">
        <v>1</v>
      </c>
      <c r="O754" s="10">
        <f t="shared" si="82"/>
        <v>0.43888041605863443</v>
      </c>
    </row>
    <row r="755" spans="2:15" ht="13.5" customHeight="1">
      <c r="B755" s="24">
        <v>118</v>
      </c>
      <c r="C755" s="25"/>
      <c r="D755" s="25"/>
      <c r="E755" s="26"/>
      <c r="F755" s="9" t="s">
        <v>40</v>
      </c>
      <c r="G755" s="6">
        <v>20906.37</v>
      </c>
      <c r="H755" s="6">
        <v>3417.98</v>
      </c>
      <c r="I755" s="27">
        <v>7575</v>
      </c>
      <c r="J755" s="27"/>
      <c r="K755" s="27">
        <f t="shared" si="80"/>
        <v>31899.35</v>
      </c>
      <c r="L755" s="39">
        <v>14000</v>
      </c>
      <c r="M755" s="9">
        <f t="shared" si="81"/>
        <v>0.43888041605863443</v>
      </c>
      <c r="N755" s="5">
        <v>1</v>
      </c>
      <c r="O755" s="10">
        <f t="shared" si="82"/>
        <v>0.43888041605863443</v>
      </c>
    </row>
    <row r="756" spans="2:15" ht="13.5" customHeight="1">
      <c r="B756" s="24">
        <v>119</v>
      </c>
      <c r="C756" s="25"/>
      <c r="D756" s="25"/>
      <c r="E756" s="26"/>
      <c r="F756" s="9" t="s">
        <v>40</v>
      </c>
      <c r="G756" s="6">
        <v>20906.37</v>
      </c>
      <c r="H756" s="6">
        <v>3417.98</v>
      </c>
      <c r="I756" s="27">
        <v>7575</v>
      </c>
      <c r="J756" s="27"/>
      <c r="K756" s="27">
        <f t="shared" si="80"/>
        <v>31899.35</v>
      </c>
      <c r="L756" s="39">
        <v>14000</v>
      </c>
      <c r="M756" s="9">
        <f t="shared" si="81"/>
        <v>0.43888041605863443</v>
      </c>
      <c r="N756" s="5">
        <v>1</v>
      </c>
      <c r="O756" s="10">
        <f t="shared" si="82"/>
        <v>0.43888041605863443</v>
      </c>
    </row>
    <row r="757" spans="2:15" ht="13.5" customHeight="1">
      <c r="B757" s="24">
        <v>120</v>
      </c>
      <c r="C757" s="25"/>
      <c r="D757" s="25"/>
      <c r="E757" s="26"/>
      <c r="F757" s="9" t="s">
        <v>40</v>
      </c>
      <c r="G757" s="6">
        <v>20906.37</v>
      </c>
      <c r="H757" s="6">
        <v>3417.98</v>
      </c>
      <c r="I757" s="27">
        <v>7575</v>
      </c>
      <c r="J757" s="27"/>
      <c r="K757" s="27">
        <f t="shared" si="80"/>
        <v>31899.35</v>
      </c>
      <c r="L757" s="39">
        <v>17500</v>
      </c>
      <c r="M757" s="9">
        <f t="shared" si="81"/>
        <v>0.54860052007329307</v>
      </c>
      <c r="N757" s="5">
        <v>1</v>
      </c>
      <c r="O757" s="10">
        <f t="shared" si="82"/>
        <v>0.54860052007329307</v>
      </c>
    </row>
    <row r="758" spans="2:15" ht="13.5" customHeight="1">
      <c r="B758" s="24">
        <v>121</v>
      </c>
      <c r="C758" s="25"/>
      <c r="D758" s="25"/>
      <c r="E758" s="26"/>
      <c r="F758" s="9" t="s">
        <v>40</v>
      </c>
      <c r="G758" s="6">
        <v>20906.37</v>
      </c>
      <c r="H758" s="6">
        <v>3417.98</v>
      </c>
      <c r="I758" s="27">
        <v>7575</v>
      </c>
      <c r="J758" s="27"/>
      <c r="K758" s="27">
        <f t="shared" si="80"/>
        <v>31899.35</v>
      </c>
      <c r="L758" s="39">
        <v>17500</v>
      </c>
      <c r="M758" s="9">
        <f t="shared" si="81"/>
        <v>0.54860052007329307</v>
      </c>
      <c r="N758" s="5">
        <v>1</v>
      </c>
      <c r="O758" s="10">
        <f t="shared" si="82"/>
        <v>0.54860052007329307</v>
      </c>
    </row>
    <row r="759" spans="2:15" ht="13.5" customHeight="1">
      <c r="B759" s="24">
        <v>122</v>
      </c>
      <c r="C759" s="25"/>
      <c r="D759" s="25"/>
      <c r="E759" s="26"/>
      <c r="F759" s="9" t="s">
        <v>40</v>
      </c>
      <c r="G759" s="6">
        <v>20906.37</v>
      </c>
      <c r="H759" s="6">
        <v>3417.98</v>
      </c>
      <c r="I759" s="27">
        <v>7575</v>
      </c>
      <c r="J759" s="27"/>
      <c r="K759" s="27">
        <f t="shared" si="80"/>
        <v>31899.35</v>
      </c>
      <c r="L759" s="39">
        <v>14000</v>
      </c>
      <c r="M759" s="9">
        <f t="shared" si="81"/>
        <v>0.43888041605863443</v>
      </c>
      <c r="N759" s="5">
        <v>1</v>
      </c>
      <c r="O759" s="10">
        <f t="shared" si="82"/>
        <v>0.43888041605863443</v>
      </c>
    </row>
    <row r="760" spans="2:15" ht="13.5" customHeight="1">
      <c r="B760" s="24">
        <v>123</v>
      </c>
      <c r="C760" s="25"/>
      <c r="D760" s="25"/>
      <c r="E760" s="26"/>
      <c r="F760" s="9" t="s">
        <v>40</v>
      </c>
      <c r="G760" s="6">
        <v>20906.37</v>
      </c>
      <c r="H760" s="6">
        <v>3417.98</v>
      </c>
      <c r="I760" s="27">
        <v>7575</v>
      </c>
      <c r="J760" s="27"/>
      <c r="K760" s="27">
        <f t="shared" si="80"/>
        <v>31899.35</v>
      </c>
      <c r="L760" s="39">
        <v>17500</v>
      </c>
      <c r="M760" s="9">
        <f t="shared" si="81"/>
        <v>0.54860052007329307</v>
      </c>
      <c r="N760" s="5">
        <v>1</v>
      </c>
      <c r="O760" s="10">
        <f t="shared" si="82"/>
        <v>0.54860052007329307</v>
      </c>
    </row>
    <row r="761" spans="2:15" ht="13.5" customHeight="1">
      <c r="B761" s="24">
        <v>124</v>
      </c>
      <c r="C761" s="25"/>
      <c r="D761" s="25"/>
      <c r="E761" s="26"/>
      <c r="F761" s="9" t="s">
        <v>40</v>
      </c>
      <c r="G761" s="6">
        <v>20906.37</v>
      </c>
      <c r="H761" s="6">
        <v>3417.98</v>
      </c>
      <c r="I761" s="27">
        <v>7575</v>
      </c>
      <c r="J761" s="27"/>
      <c r="K761" s="27">
        <f t="shared" si="80"/>
        <v>31899.35</v>
      </c>
      <c r="L761" s="39">
        <v>17500</v>
      </c>
      <c r="M761" s="9">
        <f t="shared" si="81"/>
        <v>0.54860052007329307</v>
      </c>
      <c r="N761" s="5">
        <v>1</v>
      </c>
      <c r="O761" s="10">
        <f t="shared" si="82"/>
        <v>0.54860052007329307</v>
      </c>
    </row>
    <row r="762" spans="2:15" ht="13.5" customHeight="1">
      <c r="B762" s="24">
        <v>125</v>
      </c>
      <c r="C762" s="25"/>
      <c r="D762" s="25"/>
      <c r="E762" s="26"/>
      <c r="F762" s="9" t="s">
        <v>40</v>
      </c>
      <c r="G762" s="6">
        <v>20906.37</v>
      </c>
      <c r="H762" s="6">
        <v>3417.98</v>
      </c>
      <c r="I762" s="27">
        <v>7575</v>
      </c>
      <c r="J762" s="27"/>
      <c r="K762" s="27">
        <f t="shared" si="80"/>
        <v>31899.35</v>
      </c>
      <c r="L762" s="39">
        <v>14000</v>
      </c>
      <c r="M762" s="9">
        <f t="shared" si="81"/>
        <v>0.43888041605863443</v>
      </c>
      <c r="N762" s="5">
        <v>1</v>
      </c>
      <c r="O762" s="10">
        <f t="shared" si="82"/>
        <v>0.43888041605863443</v>
      </c>
    </row>
    <row r="763" spans="2:15" ht="13.5" customHeight="1">
      <c r="B763" s="24">
        <v>126</v>
      </c>
      <c r="C763" s="25"/>
      <c r="D763" s="25"/>
      <c r="E763" s="26"/>
      <c r="F763" s="9" t="s">
        <v>40</v>
      </c>
      <c r="G763" s="6">
        <v>20906.37</v>
      </c>
      <c r="H763" s="6">
        <v>3417.98</v>
      </c>
      <c r="I763" s="27">
        <v>7575</v>
      </c>
      <c r="J763" s="27"/>
      <c r="K763" s="27">
        <f t="shared" si="80"/>
        <v>31899.35</v>
      </c>
      <c r="L763" s="39">
        <v>14000</v>
      </c>
      <c r="M763" s="9">
        <f t="shared" si="81"/>
        <v>0.43888041605863443</v>
      </c>
      <c r="N763" s="5">
        <v>1</v>
      </c>
      <c r="O763" s="10">
        <f t="shared" si="82"/>
        <v>0.43888041605863443</v>
      </c>
    </row>
    <row r="764" spans="2:15" ht="13.5" customHeight="1">
      <c r="B764" s="24">
        <v>127</v>
      </c>
      <c r="C764" s="25"/>
      <c r="D764" s="25"/>
      <c r="E764" s="26"/>
      <c r="F764" s="9" t="s">
        <v>40</v>
      </c>
      <c r="G764" s="6">
        <v>20906.37</v>
      </c>
      <c r="H764" s="6">
        <v>3417.98</v>
      </c>
      <c r="I764" s="27">
        <v>7575</v>
      </c>
      <c r="J764" s="27"/>
      <c r="K764" s="27">
        <f t="shared" si="80"/>
        <v>31899.35</v>
      </c>
      <c r="L764" s="39">
        <v>14000</v>
      </c>
      <c r="M764" s="9">
        <f t="shared" si="81"/>
        <v>0.43888041605863443</v>
      </c>
      <c r="N764" s="5">
        <v>1</v>
      </c>
      <c r="O764" s="10">
        <f t="shared" si="82"/>
        <v>0.43888041605863443</v>
      </c>
    </row>
    <row r="765" spans="2:15" ht="13.5" customHeight="1">
      <c r="B765" s="24">
        <v>128</v>
      </c>
      <c r="C765" s="25"/>
      <c r="D765" s="25"/>
      <c r="E765" s="26"/>
      <c r="F765" s="9" t="s">
        <v>40</v>
      </c>
      <c r="G765" s="6">
        <v>20906.37</v>
      </c>
      <c r="H765" s="6">
        <v>3417.98</v>
      </c>
      <c r="I765" s="27">
        <v>7575</v>
      </c>
      <c r="J765" s="27"/>
      <c r="K765" s="27">
        <f t="shared" si="80"/>
        <v>31899.35</v>
      </c>
      <c r="L765" s="39">
        <v>14000</v>
      </c>
      <c r="M765" s="9">
        <f t="shared" si="81"/>
        <v>0.43888041605863443</v>
      </c>
      <c r="N765" s="5">
        <v>1</v>
      </c>
      <c r="O765" s="10">
        <f t="shared" si="82"/>
        <v>0.43888041605863443</v>
      </c>
    </row>
    <row r="766" spans="2:15" ht="13.5" customHeight="1">
      <c r="B766" s="24">
        <v>129</v>
      </c>
      <c r="C766" s="25"/>
      <c r="D766" s="25"/>
      <c r="E766" s="26"/>
      <c r="F766" s="9" t="s">
        <v>40</v>
      </c>
      <c r="G766" s="6">
        <v>20906.37</v>
      </c>
      <c r="H766" s="6">
        <v>3417.98</v>
      </c>
      <c r="I766" s="27">
        <v>7575</v>
      </c>
      <c r="J766" s="27"/>
      <c r="K766" s="27">
        <f t="shared" si="80"/>
        <v>31899.35</v>
      </c>
      <c r="L766" s="39">
        <v>14000</v>
      </c>
      <c r="M766" s="9">
        <f t="shared" si="81"/>
        <v>0.43888041605863443</v>
      </c>
      <c r="N766" s="5">
        <v>1</v>
      </c>
      <c r="O766" s="10">
        <f t="shared" si="82"/>
        <v>0.43888041605863443</v>
      </c>
    </row>
    <row r="767" spans="2:15" ht="13.5" customHeight="1">
      <c r="B767" s="24">
        <v>130</v>
      </c>
      <c r="C767" s="25"/>
      <c r="D767" s="25"/>
      <c r="E767" s="26"/>
      <c r="F767" s="9" t="s">
        <v>40</v>
      </c>
      <c r="G767" s="6">
        <v>20906.37</v>
      </c>
      <c r="H767" s="6">
        <v>3417.98</v>
      </c>
      <c r="I767" s="27">
        <v>7575</v>
      </c>
      <c r="J767" s="27"/>
      <c r="K767" s="27">
        <f t="shared" ref="K767:K830" si="83">SUM(G767:I767)</f>
        <v>31899.35</v>
      </c>
      <c r="L767" s="39">
        <v>17500</v>
      </c>
      <c r="M767" s="9">
        <f t="shared" ref="M767:M830" si="84">L767/K767</f>
        <v>0.54860052007329307</v>
      </c>
      <c r="N767" s="5">
        <v>1</v>
      </c>
      <c r="O767" s="10">
        <f t="shared" ref="O767:O830" si="85">N767*M767</f>
        <v>0.54860052007329307</v>
      </c>
    </row>
    <row r="768" spans="2:15" ht="13.5" customHeight="1">
      <c r="B768" s="24">
        <v>131</v>
      </c>
      <c r="C768" s="25"/>
      <c r="D768" s="25"/>
      <c r="E768" s="26"/>
      <c r="F768" s="9" t="s">
        <v>40</v>
      </c>
      <c r="G768" s="6">
        <v>20906.37</v>
      </c>
      <c r="H768" s="6">
        <v>3417.98</v>
      </c>
      <c r="I768" s="27">
        <v>7575</v>
      </c>
      <c r="J768" s="27"/>
      <c r="K768" s="27">
        <f t="shared" si="83"/>
        <v>31899.35</v>
      </c>
      <c r="L768" s="39">
        <v>14000</v>
      </c>
      <c r="M768" s="9">
        <f t="shared" si="84"/>
        <v>0.43888041605863443</v>
      </c>
      <c r="N768" s="5">
        <v>1</v>
      </c>
      <c r="O768" s="10">
        <f t="shared" si="85"/>
        <v>0.43888041605863443</v>
      </c>
    </row>
    <row r="769" spans="2:15" ht="13.5" customHeight="1">
      <c r="B769" s="24">
        <v>132</v>
      </c>
      <c r="C769" s="25"/>
      <c r="D769" s="25"/>
      <c r="E769" s="26"/>
      <c r="F769" s="9" t="s">
        <v>40</v>
      </c>
      <c r="G769" s="6">
        <v>20906.37</v>
      </c>
      <c r="H769" s="6">
        <v>3417.98</v>
      </c>
      <c r="I769" s="27">
        <v>7575</v>
      </c>
      <c r="J769" s="27"/>
      <c r="K769" s="27">
        <f t="shared" si="83"/>
        <v>31899.35</v>
      </c>
      <c r="L769" s="39">
        <v>17500</v>
      </c>
      <c r="M769" s="9">
        <f t="shared" si="84"/>
        <v>0.54860052007329307</v>
      </c>
      <c r="N769" s="5">
        <v>1</v>
      </c>
      <c r="O769" s="10">
        <f t="shared" si="85"/>
        <v>0.54860052007329307</v>
      </c>
    </row>
    <row r="770" spans="2:15" ht="13.5" customHeight="1">
      <c r="B770" s="24">
        <v>133</v>
      </c>
      <c r="C770" s="25"/>
      <c r="D770" s="25"/>
      <c r="E770" s="26"/>
      <c r="F770" s="9" t="s">
        <v>40</v>
      </c>
      <c r="G770" s="6">
        <v>20906.37</v>
      </c>
      <c r="H770" s="6">
        <v>3417.98</v>
      </c>
      <c r="I770" s="27">
        <v>7575</v>
      </c>
      <c r="J770" s="27"/>
      <c r="K770" s="27">
        <f t="shared" si="83"/>
        <v>31899.35</v>
      </c>
      <c r="L770" s="39">
        <v>14000</v>
      </c>
      <c r="M770" s="9">
        <f t="shared" si="84"/>
        <v>0.43888041605863443</v>
      </c>
      <c r="N770" s="5">
        <v>1</v>
      </c>
      <c r="O770" s="10">
        <f t="shared" si="85"/>
        <v>0.43888041605863443</v>
      </c>
    </row>
    <row r="771" spans="2:15" ht="13.5" customHeight="1">
      <c r="B771" s="24">
        <v>134</v>
      </c>
      <c r="C771" s="25"/>
      <c r="D771" s="25"/>
      <c r="E771" s="26"/>
      <c r="F771" s="9" t="s">
        <v>40</v>
      </c>
      <c r="G771" s="6">
        <v>20906.37</v>
      </c>
      <c r="H771" s="6">
        <v>3417.98</v>
      </c>
      <c r="I771" s="27">
        <v>7575</v>
      </c>
      <c r="J771" s="27"/>
      <c r="K771" s="27">
        <f t="shared" si="83"/>
        <v>31899.35</v>
      </c>
      <c r="L771" s="39">
        <v>14000</v>
      </c>
      <c r="M771" s="9">
        <f t="shared" si="84"/>
        <v>0.43888041605863443</v>
      </c>
      <c r="N771" s="5">
        <v>1</v>
      </c>
      <c r="O771" s="10">
        <f t="shared" si="85"/>
        <v>0.43888041605863443</v>
      </c>
    </row>
    <row r="772" spans="2:15" ht="13.5" customHeight="1">
      <c r="B772" s="24">
        <v>135</v>
      </c>
      <c r="C772" s="25"/>
      <c r="D772" s="25"/>
      <c r="E772" s="26"/>
      <c r="F772" s="9" t="s">
        <v>40</v>
      </c>
      <c r="G772" s="6">
        <v>20906.37</v>
      </c>
      <c r="H772" s="6">
        <v>3417.98</v>
      </c>
      <c r="I772" s="27">
        <v>7575</v>
      </c>
      <c r="J772" s="27"/>
      <c r="K772" s="27">
        <f t="shared" si="83"/>
        <v>31899.35</v>
      </c>
      <c r="L772" s="39">
        <v>14000</v>
      </c>
      <c r="M772" s="9">
        <f t="shared" si="84"/>
        <v>0.43888041605863443</v>
      </c>
      <c r="N772" s="5">
        <v>1</v>
      </c>
      <c r="O772" s="10">
        <f t="shared" si="85"/>
        <v>0.43888041605863443</v>
      </c>
    </row>
    <row r="773" spans="2:15" ht="13.5" customHeight="1">
      <c r="B773" s="24">
        <v>136</v>
      </c>
      <c r="C773" s="25"/>
      <c r="D773" s="25"/>
      <c r="E773" s="26"/>
      <c r="F773" s="9" t="s">
        <v>40</v>
      </c>
      <c r="G773" s="6">
        <v>20906.37</v>
      </c>
      <c r="H773" s="6">
        <v>3417.98</v>
      </c>
      <c r="I773" s="27">
        <v>7575</v>
      </c>
      <c r="J773" s="27"/>
      <c r="K773" s="27">
        <f t="shared" si="83"/>
        <v>31899.35</v>
      </c>
      <c r="L773" s="39">
        <v>17500</v>
      </c>
      <c r="M773" s="9">
        <f t="shared" si="84"/>
        <v>0.54860052007329307</v>
      </c>
      <c r="N773" s="5">
        <v>1</v>
      </c>
      <c r="O773" s="10">
        <f t="shared" si="85"/>
        <v>0.54860052007329307</v>
      </c>
    </row>
    <row r="774" spans="2:15" ht="13.5" customHeight="1">
      <c r="B774" s="24">
        <v>137</v>
      </c>
      <c r="C774" s="25"/>
      <c r="D774" s="25"/>
      <c r="E774" s="26"/>
      <c r="F774" s="9" t="s">
        <v>40</v>
      </c>
      <c r="G774" s="6">
        <v>20906.37</v>
      </c>
      <c r="H774" s="6">
        <v>3417.98</v>
      </c>
      <c r="I774" s="27">
        <v>7575</v>
      </c>
      <c r="J774" s="27"/>
      <c r="K774" s="27">
        <f t="shared" si="83"/>
        <v>31899.35</v>
      </c>
      <c r="L774" s="39">
        <v>14000</v>
      </c>
      <c r="M774" s="9">
        <f t="shared" si="84"/>
        <v>0.43888041605863443</v>
      </c>
      <c r="N774" s="5">
        <v>1</v>
      </c>
      <c r="O774" s="10">
        <f t="shared" si="85"/>
        <v>0.43888041605863443</v>
      </c>
    </row>
    <row r="775" spans="2:15" ht="13.5" customHeight="1">
      <c r="B775" s="24">
        <v>138</v>
      </c>
      <c r="C775" s="25"/>
      <c r="D775" s="25"/>
      <c r="E775" s="26"/>
      <c r="F775" s="9" t="s">
        <v>40</v>
      </c>
      <c r="G775" s="6">
        <v>20906.37</v>
      </c>
      <c r="H775" s="6">
        <v>3417.98</v>
      </c>
      <c r="I775" s="27">
        <v>7575</v>
      </c>
      <c r="J775" s="27"/>
      <c r="K775" s="27">
        <f t="shared" si="83"/>
        <v>31899.35</v>
      </c>
      <c r="L775" s="39">
        <v>14000</v>
      </c>
      <c r="M775" s="9">
        <f t="shared" si="84"/>
        <v>0.43888041605863443</v>
      </c>
      <c r="N775" s="5">
        <v>1</v>
      </c>
      <c r="O775" s="10">
        <f t="shared" si="85"/>
        <v>0.43888041605863443</v>
      </c>
    </row>
    <row r="776" spans="2:15" ht="13.5" customHeight="1">
      <c r="B776" s="24">
        <v>139</v>
      </c>
      <c r="C776" s="25"/>
      <c r="D776" s="25"/>
      <c r="E776" s="26"/>
      <c r="F776" s="9" t="s">
        <v>40</v>
      </c>
      <c r="G776" s="6">
        <v>20906.37</v>
      </c>
      <c r="H776" s="6">
        <v>3417.98</v>
      </c>
      <c r="I776" s="27">
        <v>7575</v>
      </c>
      <c r="J776" s="27"/>
      <c r="K776" s="27">
        <f t="shared" si="83"/>
        <v>31899.35</v>
      </c>
      <c r="L776" s="39">
        <v>14000</v>
      </c>
      <c r="M776" s="9">
        <f t="shared" si="84"/>
        <v>0.43888041605863443</v>
      </c>
      <c r="N776" s="5">
        <v>1</v>
      </c>
      <c r="O776" s="10">
        <f t="shared" si="85"/>
        <v>0.43888041605863443</v>
      </c>
    </row>
    <row r="777" spans="2:15" ht="13.5" customHeight="1">
      <c r="B777" s="24">
        <v>140</v>
      </c>
      <c r="C777" s="25"/>
      <c r="D777" s="25"/>
      <c r="E777" s="26"/>
      <c r="F777" s="9" t="s">
        <v>40</v>
      </c>
      <c r="G777" s="6">
        <v>20906.37</v>
      </c>
      <c r="H777" s="6">
        <v>3417.98</v>
      </c>
      <c r="I777" s="27">
        <v>7575</v>
      </c>
      <c r="J777" s="27"/>
      <c r="K777" s="27">
        <f t="shared" si="83"/>
        <v>31899.35</v>
      </c>
      <c r="L777" s="39">
        <v>17500</v>
      </c>
      <c r="M777" s="9">
        <f t="shared" si="84"/>
        <v>0.54860052007329307</v>
      </c>
      <c r="N777" s="5">
        <v>1</v>
      </c>
      <c r="O777" s="10">
        <f t="shared" si="85"/>
        <v>0.54860052007329307</v>
      </c>
    </row>
    <row r="778" spans="2:15" ht="13.5" customHeight="1">
      <c r="B778" s="24">
        <v>141</v>
      </c>
      <c r="C778" s="25"/>
      <c r="D778" s="25"/>
      <c r="E778" s="26"/>
      <c r="F778" s="9" t="s">
        <v>40</v>
      </c>
      <c r="G778" s="6">
        <v>20906.37</v>
      </c>
      <c r="H778" s="6">
        <v>3417.98</v>
      </c>
      <c r="I778" s="27">
        <v>7575</v>
      </c>
      <c r="J778" s="27"/>
      <c r="K778" s="27">
        <f t="shared" si="83"/>
        <v>31899.35</v>
      </c>
      <c r="L778" s="39">
        <v>14000</v>
      </c>
      <c r="M778" s="9">
        <f t="shared" si="84"/>
        <v>0.43888041605863443</v>
      </c>
      <c r="N778" s="5">
        <v>1</v>
      </c>
      <c r="O778" s="10">
        <f t="shared" si="85"/>
        <v>0.43888041605863443</v>
      </c>
    </row>
    <row r="779" spans="2:15" ht="13.5" customHeight="1">
      <c r="B779" s="24">
        <v>142</v>
      </c>
      <c r="C779" s="25"/>
      <c r="D779" s="25"/>
      <c r="E779" s="26"/>
      <c r="F779" s="9" t="s">
        <v>40</v>
      </c>
      <c r="G779" s="6">
        <v>20906.37</v>
      </c>
      <c r="H779" s="6">
        <v>3417.98</v>
      </c>
      <c r="I779" s="27">
        <v>7575</v>
      </c>
      <c r="J779" s="27"/>
      <c r="K779" s="27">
        <f t="shared" si="83"/>
        <v>31899.35</v>
      </c>
      <c r="L779" s="39">
        <v>14000</v>
      </c>
      <c r="M779" s="9">
        <f t="shared" si="84"/>
        <v>0.43888041605863443</v>
      </c>
      <c r="N779" s="5">
        <v>1</v>
      </c>
      <c r="O779" s="10">
        <f t="shared" si="85"/>
        <v>0.43888041605863443</v>
      </c>
    </row>
    <row r="780" spans="2:15" ht="13.5" customHeight="1">
      <c r="B780" s="24">
        <v>143</v>
      </c>
      <c r="C780" s="25"/>
      <c r="D780" s="25"/>
      <c r="E780" s="26"/>
      <c r="F780" s="9" t="s">
        <v>40</v>
      </c>
      <c r="G780" s="6">
        <v>20906.37</v>
      </c>
      <c r="H780" s="6">
        <v>3417.98</v>
      </c>
      <c r="I780" s="27">
        <v>7575</v>
      </c>
      <c r="J780" s="27"/>
      <c r="K780" s="27">
        <f t="shared" si="83"/>
        <v>31899.35</v>
      </c>
      <c r="L780" s="39">
        <v>14000</v>
      </c>
      <c r="M780" s="9">
        <f t="shared" si="84"/>
        <v>0.43888041605863443</v>
      </c>
      <c r="N780" s="5">
        <v>1</v>
      </c>
      <c r="O780" s="10">
        <f t="shared" si="85"/>
        <v>0.43888041605863443</v>
      </c>
    </row>
    <row r="781" spans="2:15" ht="13.5" customHeight="1">
      <c r="B781" s="24">
        <v>144</v>
      </c>
      <c r="C781" s="25"/>
      <c r="D781" s="25"/>
      <c r="E781" s="26"/>
      <c r="F781" s="9" t="s">
        <v>40</v>
      </c>
      <c r="G781" s="6">
        <v>20906.37</v>
      </c>
      <c r="H781" s="6">
        <v>3417.98</v>
      </c>
      <c r="I781" s="27">
        <v>7575</v>
      </c>
      <c r="J781" s="27"/>
      <c r="K781" s="27">
        <f t="shared" si="83"/>
        <v>31899.35</v>
      </c>
      <c r="L781" s="39">
        <v>14000</v>
      </c>
      <c r="M781" s="9">
        <f t="shared" si="84"/>
        <v>0.43888041605863443</v>
      </c>
      <c r="N781" s="5">
        <v>1</v>
      </c>
      <c r="O781" s="10">
        <f t="shared" si="85"/>
        <v>0.43888041605863443</v>
      </c>
    </row>
    <row r="782" spans="2:15" ht="13.5" customHeight="1">
      <c r="B782" s="24">
        <v>145</v>
      </c>
      <c r="C782" s="25"/>
      <c r="D782" s="25"/>
      <c r="E782" s="26"/>
      <c r="F782" s="9" t="s">
        <v>40</v>
      </c>
      <c r="G782" s="6">
        <v>20906.37</v>
      </c>
      <c r="H782" s="6">
        <v>3417.98</v>
      </c>
      <c r="I782" s="27">
        <v>7575</v>
      </c>
      <c r="J782" s="27"/>
      <c r="K782" s="27">
        <f t="shared" si="83"/>
        <v>31899.35</v>
      </c>
      <c r="L782" s="39">
        <v>14000</v>
      </c>
      <c r="M782" s="9">
        <f t="shared" si="84"/>
        <v>0.43888041605863443</v>
      </c>
      <c r="N782" s="5">
        <v>1</v>
      </c>
      <c r="O782" s="10">
        <f t="shared" si="85"/>
        <v>0.43888041605863443</v>
      </c>
    </row>
    <row r="783" spans="2:15" ht="13.5" customHeight="1">
      <c r="B783" s="24">
        <v>146</v>
      </c>
      <c r="C783" s="25"/>
      <c r="D783" s="25"/>
      <c r="E783" s="26"/>
      <c r="F783" s="9" t="s">
        <v>40</v>
      </c>
      <c r="G783" s="6">
        <v>20906.37</v>
      </c>
      <c r="H783" s="6">
        <v>3417.98</v>
      </c>
      <c r="I783" s="27">
        <v>7575</v>
      </c>
      <c r="J783" s="27"/>
      <c r="K783" s="27">
        <f t="shared" si="83"/>
        <v>31899.35</v>
      </c>
      <c r="L783" s="39">
        <v>14000</v>
      </c>
      <c r="M783" s="9">
        <f t="shared" si="84"/>
        <v>0.43888041605863443</v>
      </c>
      <c r="N783" s="5">
        <v>1</v>
      </c>
      <c r="O783" s="10">
        <f t="shared" si="85"/>
        <v>0.43888041605863443</v>
      </c>
    </row>
    <row r="784" spans="2:15" ht="13.5" customHeight="1">
      <c r="B784" s="24">
        <v>147</v>
      </c>
      <c r="C784" s="25"/>
      <c r="D784" s="25"/>
      <c r="E784" s="26"/>
      <c r="F784" s="9" t="s">
        <v>40</v>
      </c>
      <c r="G784" s="6">
        <v>20906.37</v>
      </c>
      <c r="H784" s="6">
        <v>3417.98</v>
      </c>
      <c r="I784" s="27">
        <v>7575</v>
      </c>
      <c r="J784" s="27"/>
      <c r="K784" s="27">
        <f t="shared" si="83"/>
        <v>31899.35</v>
      </c>
      <c r="L784" s="39">
        <v>14000</v>
      </c>
      <c r="M784" s="9">
        <f t="shared" si="84"/>
        <v>0.43888041605863443</v>
      </c>
      <c r="N784" s="5">
        <v>1</v>
      </c>
      <c r="O784" s="10">
        <f t="shared" si="85"/>
        <v>0.43888041605863443</v>
      </c>
    </row>
    <row r="785" spans="2:15" ht="13.5" customHeight="1">
      <c r="B785" s="24">
        <v>148</v>
      </c>
      <c r="C785" s="25"/>
      <c r="D785" s="25"/>
      <c r="E785" s="26"/>
      <c r="F785" s="9" t="s">
        <v>40</v>
      </c>
      <c r="G785" s="6">
        <v>20906.37</v>
      </c>
      <c r="H785" s="6">
        <v>3417.98</v>
      </c>
      <c r="I785" s="27">
        <v>7575</v>
      </c>
      <c r="J785" s="27"/>
      <c r="K785" s="27">
        <f t="shared" si="83"/>
        <v>31899.35</v>
      </c>
      <c r="L785" s="39">
        <v>14000</v>
      </c>
      <c r="M785" s="9">
        <f t="shared" si="84"/>
        <v>0.43888041605863443</v>
      </c>
      <c r="N785" s="5">
        <v>1</v>
      </c>
      <c r="O785" s="10">
        <f t="shared" si="85"/>
        <v>0.43888041605863443</v>
      </c>
    </row>
    <row r="786" spans="2:15" ht="13.5" customHeight="1">
      <c r="B786" s="24">
        <v>149</v>
      </c>
      <c r="C786" s="25"/>
      <c r="D786" s="25"/>
      <c r="E786" s="26"/>
      <c r="F786" s="9" t="s">
        <v>40</v>
      </c>
      <c r="G786" s="6">
        <v>20906.37</v>
      </c>
      <c r="H786" s="6">
        <v>3417.98</v>
      </c>
      <c r="I786" s="27">
        <v>7575</v>
      </c>
      <c r="J786" s="27"/>
      <c r="K786" s="27">
        <f t="shared" si="83"/>
        <v>31899.35</v>
      </c>
      <c r="L786" s="39">
        <v>14000</v>
      </c>
      <c r="M786" s="9">
        <f t="shared" si="84"/>
        <v>0.43888041605863443</v>
      </c>
      <c r="N786" s="5">
        <v>1</v>
      </c>
      <c r="O786" s="10">
        <f t="shared" si="85"/>
        <v>0.43888041605863443</v>
      </c>
    </row>
    <row r="787" spans="2:15" ht="13.5" customHeight="1">
      <c r="B787" s="24">
        <v>150</v>
      </c>
      <c r="C787" s="25"/>
      <c r="D787" s="25"/>
      <c r="E787" s="26"/>
      <c r="F787" s="9" t="s">
        <v>40</v>
      </c>
      <c r="G787" s="6">
        <v>20906.37</v>
      </c>
      <c r="H787" s="6">
        <v>3417.98</v>
      </c>
      <c r="I787" s="27">
        <v>7575</v>
      </c>
      <c r="J787" s="27"/>
      <c r="K787" s="27">
        <f t="shared" si="83"/>
        <v>31899.35</v>
      </c>
      <c r="L787" s="39">
        <v>14000</v>
      </c>
      <c r="M787" s="9">
        <f t="shared" si="84"/>
        <v>0.43888041605863443</v>
      </c>
      <c r="N787" s="5">
        <v>1</v>
      </c>
      <c r="O787" s="10">
        <f t="shared" si="85"/>
        <v>0.43888041605863443</v>
      </c>
    </row>
    <row r="788" spans="2:15" ht="13.5" customHeight="1">
      <c r="B788" s="24">
        <v>151</v>
      </c>
      <c r="C788" s="25"/>
      <c r="D788" s="25"/>
      <c r="E788" s="26"/>
      <c r="F788" s="9" t="s">
        <v>40</v>
      </c>
      <c r="G788" s="6">
        <v>20906.37</v>
      </c>
      <c r="H788" s="6">
        <v>3417.98</v>
      </c>
      <c r="I788" s="27">
        <v>7575</v>
      </c>
      <c r="J788" s="27"/>
      <c r="K788" s="27">
        <f t="shared" si="83"/>
        <v>31899.35</v>
      </c>
      <c r="L788" s="39">
        <v>14000</v>
      </c>
      <c r="M788" s="9">
        <f t="shared" si="84"/>
        <v>0.43888041605863443</v>
      </c>
      <c r="N788" s="5">
        <v>1</v>
      </c>
      <c r="O788" s="10">
        <f t="shared" si="85"/>
        <v>0.43888041605863443</v>
      </c>
    </row>
    <row r="789" spans="2:15" ht="13.5" customHeight="1">
      <c r="B789" s="24">
        <v>152</v>
      </c>
      <c r="C789" s="25"/>
      <c r="D789" s="25"/>
      <c r="E789" s="26"/>
      <c r="F789" s="9" t="s">
        <v>40</v>
      </c>
      <c r="G789" s="6">
        <v>20906.37</v>
      </c>
      <c r="H789" s="6">
        <v>3417.98</v>
      </c>
      <c r="I789" s="27">
        <v>7575</v>
      </c>
      <c r="J789" s="27"/>
      <c r="K789" s="27">
        <f t="shared" si="83"/>
        <v>31899.35</v>
      </c>
      <c r="L789" s="39">
        <v>17500</v>
      </c>
      <c r="M789" s="9">
        <f t="shared" si="84"/>
        <v>0.54860052007329307</v>
      </c>
      <c r="N789" s="5">
        <v>1</v>
      </c>
      <c r="O789" s="10">
        <f t="shared" si="85"/>
        <v>0.54860052007329307</v>
      </c>
    </row>
    <row r="790" spans="2:15" ht="13.5" customHeight="1">
      <c r="B790" s="24">
        <v>153</v>
      </c>
      <c r="C790" s="25"/>
      <c r="D790" s="25"/>
      <c r="E790" s="26"/>
      <c r="F790" s="9" t="s">
        <v>40</v>
      </c>
      <c r="G790" s="6">
        <v>20906.37</v>
      </c>
      <c r="H790" s="6">
        <v>3417.98</v>
      </c>
      <c r="I790" s="27">
        <v>7575</v>
      </c>
      <c r="J790" s="27"/>
      <c r="K790" s="27">
        <f t="shared" si="83"/>
        <v>31899.35</v>
      </c>
      <c r="L790" s="39">
        <v>17500</v>
      </c>
      <c r="M790" s="9">
        <f t="shared" si="84"/>
        <v>0.54860052007329307</v>
      </c>
      <c r="N790" s="5">
        <v>1</v>
      </c>
      <c r="O790" s="10">
        <f t="shared" si="85"/>
        <v>0.54860052007329307</v>
      </c>
    </row>
    <row r="791" spans="2:15" ht="13.5" customHeight="1">
      <c r="B791" s="24">
        <v>154</v>
      </c>
      <c r="C791" s="25"/>
      <c r="D791" s="25"/>
      <c r="E791" s="26"/>
      <c r="F791" s="9" t="s">
        <v>40</v>
      </c>
      <c r="G791" s="6">
        <v>20906.37</v>
      </c>
      <c r="H791" s="6">
        <v>3417.98</v>
      </c>
      <c r="I791" s="27">
        <v>7575</v>
      </c>
      <c r="J791" s="27"/>
      <c r="K791" s="27">
        <f t="shared" si="83"/>
        <v>31899.35</v>
      </c>
      <c r="L791" s="39">
        <v>14000</v>
      </c>
      <c r="M791" s="9">
        <f t="shared" si="84"/>
        <v>0.43888041605863443</v>
      </c>
      <c r="N791" s="5">
        <v>1</v>
      </c>
      <c r="O791" s="10">
        <f t="shared" si="85"/>
        <v>0.43888041605863443</v>
      </c>
    </row>
    <row r="792" spans="2:15" ht="13.5" customHeight="1">
      <c r="B792" s="24">
        <v>155</v>
      </c>
      <c r="C792" s="25"/>
      <c r="D792" s="25"/>
      <c r="E792" s="26"/>
      <c r="F792" s="9" t="s">
        <v>40</v>
      </c>
      <c r="G792" s="6">
        <v>20906.37</v>
      </c>
      <c r="H792" s="6">
        <v>3417.98</v>
      </c>
      <c r="I792" s="27">
        <v>7575</v>
      </c>
      <c r="J792" s="27"/>
      <c r="K792" s="27">
        <f t="shared" si="83"/>
        <v>31899.35</v>
      </c>
      <c r="L792" s="39">
        <v>14000</v>
      </c>
      <c r="M792" s="9">
        <f t="shared" si="84"/>
        <v>0.43888041605863443</v>
      </c>
      <c r="N792" s="5">
        <v>1</v>
      </c>
      <c r="O792" s="10">
        <f t="shared" si="85"/>
        <v>0.43888041605863443</v>
      </c>
    </row>
    <row r="793" spans="2:15" ht="13.5" customHeight="1">
      <c r="B793" s="24">
        <v>156</v>
      </c>
      <c r="C793" s="25"/>
      <c r="D793" s="25"/>
      <c r="E793" s="26"/>
      <c r="F793" s="9" t="s">
        <v>40</v>
      </c>
      <c r="G793" s="6">
        <v>20906.37</v>
      </c>
      <c r="H793" s="6">
        <v>3417.98</v>
      </c>
      <c r="I793" s="27">
        <v>7575</v>
      </c>
      <c r="J793" s="27"/>
      <c r="K793" s="27">
        <f t="shared" si="83"/>
        <v>31899.35</v>
      </c>
      <c r="L793" s="39">
        <v>17500</v>
      </c>
      <c r="M793" s="9">
        <f t="shared" si="84"/>
        <v>0.54860052007329307</v>
      </c>
      <c r="N793" s="5">
        <v>1</v>
      </c>
      <c r="O793" s="10">
        <f t="shared" si="85"/>
        <v>0.54860052007329307</v>
      </c>
    </row>
    <row r="794" spans="2:15" ht="13.5" customHeight="1">
      <c r="B794" s="24">
        <v>157</v>
      </c>
      <c r="C794" s="25"/>
      <c r="D794" s="25"/>
      <c r="E794" s="26"/>
      <c r="F794" s="9" t="s">
        <v>40</v>
      </c>
      <c r="G794" s="6">
        <v>20906.37</v>
      </c>
      <c r="H794" s="6">
        <v>3417.98</v>
      </c>
      <c r="I794" s="27">
        <v>7575</v>
      </c>
      <c r="J794" s="27"/>
      <c r="K794" s="27">
        <f t="shared" si="83"/>
        <v>31899.35</v>
      </c>
      <c r="L794" s="39">
        <v>14000</v>
      </c>
      <c r="M794" s="9">
        <f t="shared" si="84"/>
        <v>0.43888041605863443</v>
      </c>
      <c r="N794" s="5">
        <v>1</v>
      </c>
      <c r="O794" s="10">
        <f t="shared" si="85"/>
        <v>0.43888041605863443</v>
      </c>
    </row>
    <row r="795" spans="2:15" ht="13.5" customHeight="1">
      <c r="B795" s="24">
        <v>158</v>
      </c>
      <c r="C795" s="25"/>
      <c r="D795" s="25"/>
      <c r="E795" s="26"/>
      <c r="F795" s="9" t="s">
        <v>40</v>
      </c>
      <c r="G795" s="6">
        <v>20906.37</v>
      </c>
      <c r="H795" s="6">
        <v>3417.98</v>
      </c>
      <c r="I795" s="27">
        <v>7575</v>
      </c>
      <c r="J795" s="27"/>
      <c r="K795" s="27">
        <f t="shared" si="83"/>
        <v>31899.35</v>
      </c>
      <c r="L795" s="39">
        <v>14000</v>
      </c>
      <c r="M795" s="9">
        <f t="shared" si="84"/>
        <v>0.43888041605863443</v>
      </c>
      <c r="N795" s="5">
        <v>1</v>
      </c>
      <c r="O795" s="10">
        <f t="shared" si="85"/>
        <v>0.43888041605863443</v>
      </c>
    </row>
    <row r="796" spans="2:15" ht="13.5" customHeight="1">
      <c r="B796" s="24">
        <v>159</v>
      </c>
      <c r="C796" s="25"/>
      <c r="D796" s="25"/>
      <c r="E796" s="26"/>
      <c r="F796" s="9" t="s">
        <v>40</v>
      </c>
      <c r="G796" s="6">
        <v>20906.37</v>
      </c>
      <c r="H796" s="6">
        <v>3417.98</v>
      </c>
      <c r="I796" s="27">
        <v>7575</v>
      </c>
      <c r="J796" s="27"/>
      <c r="K796" s="27">
        <f t="shared" si="83"/>
        <v>31899.35</v>
      </c>
      <c r="L796" s="39">
        <v>14000</v>
      </c>
      <c r="M796" s="9">
        <f t="shared" si="84"/>
        <v>0.43888041605863443</v>
      </c>
      <c r="N796" s="5">
        <v>1</v>
      </c>
      <c r="O796" s="10">
        <f t="shared" si="85"/>
        <v>0.43888041605863443</v>
      </c>
    </row>
    <row r="797" spans="2:15" ht="13.5" customHeight="1">
      <c r="B797" s="24">
        <v>160</v>
      </c>
      <c r="C797" s="25"/>
      <c r="D797" s="25"/>
      <c r="E797" s="26"/>
      <c r="F797" s="9" t="s">
        <v>40</v>
      </c>
      <c r="G797" s="6">
        <v>20906.37</v>
      </c>
      <c r="H797" s="6">
        <v>3417.98</v>
      </c>
      <c r="I797" s="27">
        <v>7575</v>
      </c>
      <c r="J797" s="27"/>
      <c r="K797" s="27">
        <f t="shared" si="83"/>
        <v>31899.35</v>
      </c>
      <c r="L797" s="39">
        <v>17500</v>
      </c>
      <c r="M797" s="9">
        <f t="shared" si="84"/>
        <v>0.54860052007329307</v>
      </c>
      <c r="N797" s="5">
        <v>1</v>
      </c>
      <c r="O797" s="10">
        <f t="shared" si="85"/>
        <v>0.54860052007329307</v>
      </c>
    </row>
    <row r="798" spans="2:15" ht="13.5" customHeight="1">
      <c r="B798" s="24">
        <v>161</v>
      </c>
      <c r="C798" s="25"/>
      <c r="D798" s="25"/>
      <c r="E798" s="26"/>
      <c r="F798" s="9" t="s">
        <v>40</v>
      </c>
      <c r="G798" s="6">
        <v>20906.37</v>
      </c>
      <c r="H798" s="6">
        <v>3417.98</v>
      </c>
      <c r="I798" s="27">
        <v>7575</v>
      </c>
      <c r="J798" s="27"/>
      <c r="K798" s="27">
        <f t="shared" si="83"/>
        <v>31899.35</v>
      </c>
      <c r="L798" s="39">
        <v>14000</v>
      </c>
      <c r="M798" s="9">
        <f t="shared" si="84"/>
        <v>0.43888041605863443</v>
      </c>
      <c r="N798" s="5">
        <v>1</v>
      </c>
      <c r="O798" s="10">
        <f t="shared" si="85"/>
        <v>0.43888041605863443</v>
      </c>
    </row>
    <row r="799" spans="2:15" ht="13.5" customHeight="1">
      <c r="B799" s="24">
        <v>162</v>
      </c>
      <c r="C799" s="25"/>
      <c r="D799" s="25"/>
      <c r="E799" s="26"/>
      <c r="F799" s="9" t="s">
        <v>40</v>
      </c>
      <c r="G799" s="6">
        <v>20906.37</v>
      </c>
      <c r="H799" s="6">
        <v>3417.98</v>
      </c>
      <c r="I799" s="27">
        <v>7575</v>
      </c>
      <c r="J799" s="27"/>
      <c r="K799" s="27">
        <f t="shared" si="83"/>
        <v>31899.35</v>
      </c>
      <c r="L799" s="39">
        <v>14000</v>
      </c>
      <c r="M799" s="9">
        <f t="shared" si="84"/>
        <v>0.43888041605863443</v>
      </c>
      <c r="N799" s="5">
        <v>1</v>
      </c>
      <c r="O799" s="10">
        <f t="shared" si="85"/>
        <v>0.43888041605863443</v>
      </c>
    </row>
    <row r="800" spans="2:15" ht="13.5" customHeight="1">
      <c r="B800" s="24">
        <v>163</v>
      </c>
      <c r="C800" s="25"/>
      <c r="D800" s="25"/>
      <c r="E800" s="26"/>
      <c r="F800" s="9" t="s">
        <v>40</v>
      </c>
      <c r="G800" s="6">
        <v>20906.37</v>
      </c>
      <c r="H800" s="6">
        <v>3417.98</v>
      </c>
      <c r="I800" s="27">
        <v>7575</v>
      </c>
      <c r="J800" s="27"/>
      <c r="K800" s="27">
        <f t="shared" si="83"/>
        <v>31899.35</v>
      </c>
      <c r="L800" s="39">
        <v>14000</v>
      </c>
      <c r="M800" s="9">
        <f t="shared" si="84"/>
        <v>0.43888041605863443</v>
      </c>
      <c r="N800" s="5">
        <v>1</v>
      </c>
      <c r="O800" s="10">
        <f t="shared" si="85"/>
        <v>0.43888041605863443</v>
      </c>
    </row>
    <row r="801" spans="2:15" ht="13.5" customHeight="1">
      <c r="B801" s="24">
        <v>164</v>
      </c>
      <c r="C801" s="25"/>
      <c r="D801" s="25"/>
      <c r="E801" s="26"/>
      <c r="F801" s="9" t="s">
        <v>40</v>
      </c>
      <c r="G801" s="6">
        <v>20906.37</v>
      </c>
      <c r="H801" s="6">
        <v>3417.98</v>
      </c>
      <c r="I801" s="27">
        <v>7575</v>
      </c>
      <c r="J801" s="27"/>
      <c r="K801" s="27">
        <f t="shared" si="83"/>
        <v>31899.35</v>
      </c>
      <c r="L801" s="39">
        <v>14000</v>
      </c>
      <c r="M801" s="9">
        <f t="shared" si="84"/>
        <v>0.43888041605863443</v>
      </c>
      <c r="N801" s="5">
        <v>1</v>
      </c>
      <c r="O801" s="10">
        <f t="shared" si="85"/>
        <v>0.43888041605863443</v>
      </c>
    </row>
    <row r="802" spans="2:15" ht="13.5" customHeight="1">
      <c r="B802" s="24">
        <v>165</v>
      </c>
      <c r="C802" s="25"/>
      <c r="D802" s="25"/>
      <c r="E802" s="26"/>
      <c r="F802" s="9" t="s">
        <v>40</v>
      </c>
      <c r="G802" s="6">
        <v>20906.37</v>
      </c>
      <c r="H802" s="6">
        <v>3417.98</v>
      </c>
      <c r="I802" s="27">
        <v>7575</v>
      </c>
      <c r="J802" s="27"/>
      <c r="K802" s="27">
        <f t="shared" si="83"/>
        <v>31899.35</v>
      </c>
      <c r="L802" s="39">
        <v>14000</v>
      </c>
      <c r="M802" s="9">
        <f t="shared" si="84"/>
        <v>0.43888041605863443</v>
      </c>
      <c r="N802" s="5">
        <v>1</v>
      </c>
      <c r="O802" s="10">
        <f t="shared" si="85"/>
        <v>0.43888041605863443</v>
      </c>
    </row>
    <row r="803" spans="2:15" ht="13.5" customHeight="1">
      <c r="B803" s="24">
        <v>166</v>
      </c>
      <c r="C803" s="25"/>
      <c r="D803" s="25"/>
      <c r="E803" s="26"/>
      <c r="F803" s="9" t="s">
        <v>40</v>
      </c>
      <c r="G803" s="6">
        <v>20906.37</v>
      </c>
      <c r="H803" s="6">
        <v>3417.98</v>
      </c>
      <c r="I803" s="27">
        <v>7575</v>
      </c>
      <c r="J803" s="27"/>
      <c r="K803" s="27">
        <f t="shared" si="83"/>
        <v>31899.35</v>
      </c>
      <c r="L803" s="39">
        <v>17500</v>
      </c>
      <c r="M803" s="9">
        <f t="shared" si="84"/>
        <v>0.54860052007329307</v>
      </c>
      <c r="N803" s="5">
        <v>1</v>
      </c>
      <c r="O803" s="10">
        <f t="shared" si="85"/>
        <v>0.54860052007329307</v>
      </c>
    </row>
    <row r="804" spans="2:15" ht="13.5" customHeight="1">
      <c r="B804" s="24">
        <v>167</v>
      </c>
      <c r="C804" s="25"/>
      <c r="D804" s="25"/>
      <c r="E804" s="26"/>
      <c r="F804" s="9" t="s">
        <v>40</v>
      </c>
      <c r="G804" s="6">
        <v>20906.37</v>
      </c>
      <c r="H804" s="6">
        <v>3417.98</v>
      </c>
      <c r="I804" s="27">
        <v>7575</v>
      </c>
      <c r="J804" s="27"/>
      <c r="K804" s="27">
        <f t="shared" si="83"/>
        <v>31899.35</v>
      </c>
      <c r="L804" s="39">
        <v>14000</v>
      </c>
      <c r="M804" s="9">
        <f t="shared" si="84"/>
        <v>0.43888041605863443</v>
      </c>
      <c r="N804" s="5">
        <v>1</v>
      </c>
      <c r="O804" s="10">
        <f t="shared" si="85"/>
        <v>0.43888041605863443</v>
      </c>
    </row>
    <row r="805" spans="2:15" ht="13.5" customHeight="1">
      <c r="B805" s="24">
        <v>168</v>
      </c>
      <c r="C805" s="25"/>
      <c r="D805" s="25"/>
      <c r="E805" s="26"/>
      <c r="F805" s="9" t="s">
        <v>40</v>
      </c>
      <c r="G805" s="6">
        <v>20906.37</v>
      </c>
      <c r="H805" s="6">
        <v>3417.98</v>
      </c>
      <c r="I805" s="27">
        <v>7575</v>
      </c>
      <c r="J805" s="27"/>
      <c r="K805" s="27">
        <f t="shared" si="83"/>
        <v>31899.35</v>
      </c>
      <c r="L805" s="39">
        <v>14000</v>
      </c>
      <c r="M805" s="9">
        <f t="shared" si="84"/>
        <v>0.43888041605863443</v>
      </c>
      <c r="N805" s="5">
        <v>1</v>
      </c>
      <c r="O805" s="10">
        <f t="shared" si="85"/>
        <v>0.43888041605863443</v>
      </c>
    </row>
    <row r="806" spans="2:15" ht="13.5" customHeight="1">
      <c r="B806" s="24">
        <v>169</v>
      </c>
      <c r="C806" s="25"/>
      <c r="D806" s="25"/>
      <c r="E806" s="26"/>
      <c r="F806" s="9" t="s">
        <v>40</v>
      </c>
      <c r="G806" s="6">
        <v>20906.37</v>
      </c>
      <c r="H806" s="6">
        <v>3417.98</v>
      </c>
      <c r="I806" s="27">
        <v>7575</v>
      </c>
      <c r="J806" s="27"/>
      <c r="K806" s="27">
        <f t="shared" si="83"/>
        <v>31899.35</v>
      </c>
      <c r="L806" s="39">
        <v>14000</v>
      </c>
      <c r="M806" s="9">
        <f t="shared" si="84"/>
        <v>0.43888041605863443</v>
      </c>
      <c r="N806" s="5">
        <v>1</v>
      </c>
      <c r="O806" s="10">
        <f t="shared" si="85"/>
        <v>0.43888041605863443</v>
      </c>
    </row>
    <row r="807" spans="2:15" ht="13.5" customHeight="1">
      <c r="B807" s="24">
        <v>170</v>
      </c>
      <c r="C807" s="25"/>
      <c r="D807" s="25"/>
      <c r="E807" s="26"/>
      <c r="F807" s="9" t="s">
        <v>40</v>
      </c>
      <c r="G807" s="6">
        <v>20906.37</v>
      </c>
      <c r="H807" s="6">
        <v>3417.98</v>
      </c>
      <c r="I807" s="27">
        <v>7575</v>
      </c>
      <c r="J807" s="27"/>
      <c r="K807" s="27">
        <f t="shared" si="83"/>
        <v>31899.35</v>
      </c>
      <c r="L807" s="39">
        <v>14000</v>
      </c>
      <c r="M807" s="9">
        <f t="shared" si="84"/>
        <v>0.43888041605863443</v>
      </c>
      <c r="N807" s="5">
        <v>1</v>
      </c>
      <c r="O807" s="10">
        <f t="shared" si="85"/>
        <v>0.43888041605863443</v>
      </c>
    </row>
    <row r="808" spans="2:15" ht="13.5" customHeight="1">
      <c r="B808" s="24">
        <v>171</v>
      </c>
      <c r="C808" s="25"/>
      <c r="D808" s="25"/>
      <c r="E808" s="26"/>
      <c r="F808" s="9" t="s">
        <v>40</v>
      </c>
      <c r="G808" s="6">
        <v>20906.37</v>
      </c>
      <c r="H808" s="6">
        <v>3417.98</v>
      </c>
      <c r="I808" s="27">
        <v>7575</v>
      </c>
      <c r="J808" s="27"/>
      <c r="K808" s="27">
        <f t="shared" si="83"/>
        <v>31899.35</v>
      </c>
      <c r="L808" s="39">
        <v>14000</v>
      </c>
      <c r="M808" s="9">
        <f t="shared" si="84"/>
        <v>0.43888041605863443</v>
      </c>
      <c r="N808" s="5">
        <v>1</v>
      </c>
      <c r="O808" s="10">
        <f t="shared" si="85"/>
        <v>0.43888041605863443</v>
      </c>
    </row>
    <row r="809" spans="2:15" ht="13.5" customHeight="1">
      <c r="B809" s="24">
        <v>172</v>
      </c>
      <c r="C809" s="25"/>
      <c r="D809" s="25"/>
      <c r="E809" s="26"/>
      <c r="F809" s="9" t="s">
        <v>40</v>
      </c>
      <c r="G809" s="6">
        <v>20906.37</v>
      </c>
      <c r="H809" s="6">
        <v>3417.98</v>
      </c>
      <c r="I809" s="27">
        <v>7575</v>
      </c>
      <c r="J809" s="27"/>
      <c r="K809" s="27">
        <f t="shared" si="83"/>
        <v>31899.35</v>
      </c>
      <c r="L809" s="39">
        <v>17500</v>
      </c>
      <c r="M809" s="9">
        <f t="shared" si="84"/>
        <v>0.54860052007329307</v>
      </c>
      <c r="N809" s="5">
        <v>1</v>
      </c>
      <c r="O809" s="10">
        <f t="shared" si="85"/>
        <v>0.54860052007329307</v>
      </c>
    </row>
    <row r="810" spans="2:15" ht="13.5" customHeight="1">
      <c r="B810" s="24">
        <v>173</v>
      </c>
      <c r="C810" s="25"/>
      <c r="D810" s="25"/>
      <c r="E810" s="26"/>
      <c r="F810" s="9" t="s">
        <v>40</v>
      </c>
      <c r="G810" s="6">
        <v>20906.37</v>
      </c>
      <c r="H810" s="6">
        <v>3417.98</v>
      </c>
      <c r="I810" s="27">
        <v>7575</v>
      </c>
      <c r="J810" s="27"/>
      <c r="K810" s="27">
        <f t="shared" si="83"/>
        <v>31899.35</v>
      </c>
      <c r="L810" s="39">
        <v>14000</v>
      </c>
      <c r="M810" s="9">
        <f t="shared" si="84"/>
        <v>0.43888041605863443</v>
      </c>
      <c r="N810" s="5">
        <v>1</v>
      </c>
      <c r="O810" s="10">
        <f t="shared" si="85"/>
        <v>0.43888041605863443</v>
      </c>
    </row>
    <row r="811" spans="2:15" ht="13.5" customHeight="1">
      <c r="B811" s="24">
        <v>174</v>
      </c>
      <c r="C811" s="25"/>
      <c r="D811" s="25"/>
      <c r="E811" s="26"/>
      <c r="F811" s="9" t="s">
        <v>40</v>
      </c>
      <c r="G811" s="6">
        <v>20906.37</v>
      </c>
      <c r="H811" s="6">
        <v>3417.98</v>
      </c>
      <c r="I811" s="27">
        <v>7575</v>
      </c>
      <c r="J811" s="27"/>
      <c r="K811" s="27">
        <f t="shared" si="83"/>
        <v>31899.35</v>
      </c>
      <c r="L811" s="39">
        <v>14000</v>
      </c>
      <c r="M811" s="9">
        <f t="shared" si="84"/>
        <v>0.43888041605863443</v>
      </c>
      <c r="N811" s="5">
        <v>1</v>
      </c>
      <c r="O811" s="10">
        <f t="shared" si="85"/>
        <v>0.43888041605863443</v>
      </c>
    </row>
    <row r="812" spans="2:15" ht="13.5" customHeight="1">
      <c r="B812" s="24">
        <v>175</v>
      </c>
      <c r="C812" s="25"/>
      <c r="D812" s="25"/>
      <c r="E812" s="26"/>
      <c r="F812" s="9" t="s">
        <v>40</v>
      </c>
      <c r="G812" s="6">
        <v>20906.37</v>
      </c>
      <c r="H812" s="6">
        <v>3417.98</v>
      </c>
      <c r="I812" s="27">
        <v>7575</v>
      </c>
      <c r="J812" s="27"/>
      <c r="K812" s="27">
        <f t="shared" si="83"/>
        <v>31899.35</v>
      </c>
      <c r="L812" s="39">
        <v>17500</v>
      </c>
      <c r="M812" s="9">
        <f t="shared" si="84"/>
        <v>0.54860052007329307</v>
      </c>
      <c r="N812" s="5">
        <v>1</v>
      </c>
      <c r="O812" s="10">
        <f t="shared" si="85"/>
        <v>0.54860052007329307</v>
      </c>
    </row>
    <row r="813" spans="2:15" ht="13.5" customHeight="1">
      <c r="B813" s="24">
        <v>176</v>
      </c>
      <c r="C813" s="25"/>
      <c r="D813" s="25"/>
      <c r="E813" s="26"/>
      <c r="F813" s="9" t="s">
        <v>40</v>
      </c>
      <c r="G813" s="6">
        <v>20906.37</v>
      </c>
      <c r="H813" s="6">
        <v>3417.98</v>
      </c>
      <c r="I813" s="27">
        <v>7575</v>
      </c>
      <c r="J813" s="27"/>
      <c r="K813" s="27">
        <f t="shared" si="83"/>
        <v>31899.35</v>
      </c>
      <c r="L813" s="39">
        <v>14000</v>
      </c>
      <c r="M813" s="9">
        <f t="shared" si="84"/>
        <v>0.43888041605863443</v>
      </c>
      <c r="N813" s="5">
        <v>1</v>
      </c>
      <c r="O813" s="10">
        <f t="shared" si="85"/>
        <v>0.43888041605863443</v>
      </c>
    </row>
    <row r="814" spans="2:15" ht="13.5" customHeight="1">
      <c r="B814" s="24">
        <v>177</v>
      </c>
      <c r="C814" s="25"/>
      <c r="D814" s="25"/>
      <c r="E814" s="26"/>
      <c r="F814" s="9" t="s">
        <v>40</v>
      </c>
      <c r="G814" s="6">
        <v>20906.37</v>
      </c>
      <c r="H814" s="6">
        <v>3417.98</v>
      </c>
      <c r="I814" s="27">
        <v>7575</v>
      </c>
      <c r="J814" s="27"/>
      <c r="K814" s="27">
        <f t="shared" si="83"/>
        <v>31899.35</v>
      </c>
      <c r="L814" s="39">
        <v>14000</v>
      </c>
      <c r="M814" s="9">
        <f t="shared" si="84"/>
        <v>0.43888041605863443</v>
      </c>
      <c r="N814" s="5">
        <v>1</v>
      </c>
      <c r="O814" s="10">
        <f t="shared" si="85"/>
        <v>0.43888041605863443</v>
      </c>
    </row>
    <row r="815" spans="2:15" ht="13.5" customHeight="1">
      <c r="B815" s="24">
        <v>178</v>
      </c>
      <c r="C815" s="25"/>
      <c r="D815" s="25"/>
      <c r="E815" s="26"/>
      <c r="F815" s="9" t="s">
        <v>40</v>
      </c>
      <c r="G815" s="6">
        <v>20906.37</v>
      </c>
      <c r="H815" s="6">
        <v>3417.98</v>
      </c>
      <c r="I815" s="27">
        <v>7575</v>
      </c>
      <c r="J815" s="27"/>
      <c r="K815" s="27">
        <f t="shared" si="83"/>
        <v>31899.35</v>
      </c>
      <c r="L815" s="39">
        <v>14000</v>
      </c>
      <c r="M815" s="9">
        <f t="shared" si="84"/>
        <v>0.43888041605863443</v>
      </c>
      <c r="N815" s="5">
        <v>1</v>
      </c>
      <c r="O815" s="10">
        <f t="shared" si="85"/>
        <v>0.43888041605863443</v>
      </c>
    </row>
    <row r="816" spans="2:15" ht="13.5" customHeight="1">
      <c r="B816" s="24">
        <v>179</v>
      </c>
      <c r="C816" s="25"/>
      <c r="D816" s="25"/>
      <c r="E816" s="26"/>
      <c r="F816" s="9" t="s">
        <v>40</v>
      </c>
      <c r="G816" s="6">
        <v>20906.37</v>
      </c>
      <c r="H816" s="6">
        <v>3417.98</v>
      </c>
      <c r="I816" s="27">
        <v>7575</v>
      </c>
      <c r="J816" s="27"/>
      <c r="K816" s="27">
        <f t="shared" si="83"/>
        <v>31899.35</v>
      </c>
      <c r="L816" s="39">
        <v>14000</v>
      </c>
      <c r="M816" s="9">
        <f t="shared" si="84"/>
        <v>0.43888041605863443</v>
      </c>
      <c r="N816" s="5">
        <v>1</v>
      </c>
      <c r="O816" s="10">
        <f t="shared" si="85"/>
        <v>0.43888041605863443</v>
      </c>
    </row>
    <row r="817" spans="2:15" ht="13.5" customHeight="1">
      <c r="B817" s="24">
        <v>180</v>
      </c>
      <c r="C817" s="25"/>
      <c r="D817" s="25"/>
      <c r="E817" s="26"/>
      <c r="F817" s="9" t="s">
        <v>40</v>
      </c>
      <c r="G817" s="6">
        <v>20906.37</v>
      </c>
      <c r="H817" s="6">
        <v>3417.98</v>
      </c>
      <c r="I817" s="27">
        <v>7575</v>
      </c>
      <c r="J817" s="27"/>
      <c r="K817" s="27">
        <f t="shared" si="83"/>
        <v>31899.35</v>
      </c>
      <c r="L817" s="39">
        <v>14000</v>
      </c>
      <c r="M817" s="9">
        <f t="shared" si="84"/>
        <v>0.43888041605863443</v>
      </c>
      <c r="N817" s="5">
        <v>1</v>
      </c>
      <c r="O817" s="10">
        <f t="shared" si="85"/>
        <v>0.43888041605863443</v>
      </c>
    </row>
    <row r="818" spans="2:15" ht="13.5" customHeight="1">
      <c r="B818" s="24">
        <v>181</v>
      </c>
      <c r="C818" s="25"/>
      <c r="D818" s="25"/>
      <c r="E818" s="26"/>
      <c r="F818" s="9" t="s">
        <v>40</v>
      </c>
      <c r="G818" s="6">
        <v>20906.37</v>
      </c>
      <c r="H818" s="6">
        <v>3417.98</v>
      </c>
      <c r="I818" s="27">
        <v>7575</v>
      </c>
      <c r="J818" s="27"/>
      <c r="K818" s="27">
        <f t="shared" si="83"/>
        <v>31899.35</v>
      </c>
      <c r="L818" s="39">
        <v>14000</v>
      </c>
      <c r="M818" s="9">
        <f t="shared" si="84"/>
        <v>0.43888041605863443</v>
      </c>
      <c r="N818" s="5">
        <v>1</v>
      </c>
      <c r="O818" s="10">
        <f t="shared" si="85"/>
        <v>0.43888041605863443</v>
      </c>
    </row>
    <row r="819" spans="2:15" ht="13.5" customHeight="1">
      <c r="B819" s="24">
        <v>182</v>
      </c>
      <c r="C819" s="25"/>
      <c r="D819" s="25"/>
      <c r="E819" s="26"/>
      <c r="F819" s="9" t="s">
        <v>40</v>
      </c>
      <c r="G819" s="6">
        <v>20906.37</v>
      </c>
      <c r="H819" s="6">
        <v>3417.98</v>
      </c>
      <c r="I819" s="27">
        <v>7575</v>
      </c>
      <c r="J819" s="27"/>
      <c r="K819" s="27">
        <f t="shared" si="83"/>
        <v>31899.35</v>
      </c>
      <c r="L819" s="39">
        <v>14000</v>
      </c>
      <c r="M819" s="9">
        <f t="shared" si="84"/>
        <v>0.43888041605863443</v>
      </c>
      <c r="N819" s="5">
        <v>1</v>
      </c>
      <c r="O819" s="10">
        <f t="shared" si="85"/>
        <v>0.43888041605863443</v>
      </c>
    </row>
    <row r="820" spans="2:15" ht="13.5" customHeight="1">
      <c r="B820" s="24">
        <v>183</v>
      </c>
      <c r="C820" s="25"/>
      <c r="D820" s="25"/>
      <c r="E820" s="26"/>
      <c r="F820" s="9" t="s">
        <v>40</v>
      </c>
      <c r="G820" s="6">
        <v>20906.37</v>
      </c>
      <c r="H820" s="6">
        <v>3417.98</v>
      </c>
      <c r="I820" s="27">
        <v>7575</v>
      </c>
      <c r="J820" s="27"/>
      <c r="K820" s="27">
        <f t="shared" si="83"/>
        <v>31899.35</v>
      </c>
      <c r="L820" s="39">
        <v>14000</v>
      </c>
      <c r="M820" s="9">
        <f t="shared" si="84"/>
        <v>0.43888041605863443</v>
      </c>
      <c r="N820" s="5">
        <v>1</v>
      </c>
      <c r="O820" s="10">
        <f t="shared" si="85"/>
        <v>0.43888041605863443</v>
      </c>
    </row>
    <row r="821" spans="2:15" ht="13.5" customHeight="1">
      <c r="B821" s="24">
        <v>184</v>
      </c>
      <c r="C821" s="25"/>
      <c r="D821" s="25"/>
      <c r="E821" s="26"/>
      <c r="F821" s="9" t="s">
        <v>40</v>
      </c>
      <c r="G821" s="6">
        <v>20906.37</v>
      </c>
      <c r="H821" s="6">
        <v>3417.98</v>
      </c>
      <c r="I821" s="27">
        <v>7575</v>
      </c>
      <c r="J821" s="27"/>
      <c r="K821" s="27">
        <f t="shared" si="83"/>
        <v>31899.35</v>
      </c>
      <c r="L821" s="39">
        <v>14000</v>
      </c>
      <c r="M821" s="9">
        <f t="shared" si="84"/>
        <v>0.43888041605863443</v>
      </c>
      <c r="N821" s="5">
        <v>1</v>
      </c>
      <c r="O821" s="10">
        <f t="shared" si="85"/>
        <v>0.43888041605863443</v>
      </c>
    </row>
    <row r="822" spans="2:15" ht="13.5" customHeight="1">
      <c r="B822" s="24">
        <v>185</v>
      </c>
      <c r="C822" s="25"/>
      <c r="D822" s="25"/>
      <c r="E822" s="26"/>
      <c r="F822" s="9" t="s">
        <v>40</v>
      </c>
      <c r="G822" s="6">
        <v>20906.37</v>
      </c>
      <c r="H822" s="6">
        <v>3417.98</v>
      </c>
      <c r="I822" s="27">
        <v>7575</v>
      </c>
      <c r="J822" s="27"/>
      <c r="K822" s="27">
        <f t="shared" si="83"/>
        <v>31899.35</v>
      </c>
      <c r="L822" s="39">
        <v>14000</v>
      </c>
      <c r="M822" s="9">
        <f t="shared" si="84"/>
        <v>0.43888041605863443</v>
      </c>
      <c r="N822" s="5">
        <v>1</v>
      </c>
      <c r="O822" s="10">
        <f t="shared" si="85"/>
        <v>0.43888041605863443</v>
      </c>
    </row>
    <row r="823" spans="2:15" ht="13.5" customHeight="1">
      <c r="B823" s="24">
        <v>186</v>
      </c>
      <c r="C823" s="25"/>
      <c r="D823" s="25"/>
      <c r="E823" s="26"/>
      <c r="F823" s="9" t="s">
        <v>40</v>
      </c>
      <c r="G823" s="6">
        <v>20906.37</v>
      </c>
      <c r="H823" s="6">
        <v>3417.98</v>
      </c>
      <c r="I823" s="27">
        <v>7575</v>
      </c>
      <c r="J823" s="27"/>
      <c r="K823" s="27">
        <f t="shared" si="83"/>
        <v>31899.35</v>
      </c>
      <c r="L823" s="39">
        <v>17500</v>
      </c>
      <c r="M823" s="9">
        <f t="shared" si="84"/>
        <v>0.54860052007329307</v>
      </c>
      <c r="N823" s="5">
        <v>1</v>
      </c>
      <c r="O823" s="10">
        <f t="shared" si="85"/>
        <v>0.54860052007329307</v>
      </c>
    </row>
    <row r="824" spans="2:15" ht="13.5" customHeight="1">
      <c r="B824" s="24">
        <v>187</v>
      </c>
      <c r="C824" s="25"/>
      <c r="D824" s="25"/>
      <c r="E824" s="26"/>
      <c r="F824" s="9" t="s">
        <v>40</v>
      </c>
      <c r="G824" s="6">
        <v>20906.37</v>
      </c>
      <c r="H824" s="6">
        <v>3417.98</v>
      </c>
      <c r="I824" s="27">
        <v>7575</v>
      </c>
      <c r="J824" s="27"/>
      <c r="K824" s="27">
        <f t="shared" si="83"/>
        <v>31899.35</v>
      </c>
      <c r="L824" s="39">
        <v>14000</v>
      </c>
      <c r="M824" s="9">
        <f t="shared" si="84"/>
        <v>0.43888041605863443</v>
      </c>
      <c r="N824" s="5">
        <v>1</v>
      </c>
      <c r="O824" s="10">
        <f t="shared" si="85"/>
        <v>0.43888041605863443</v>
      </c>
    </row>
    <row r="825" spans="2:15" ht="13.5" customHeight="1">
      <c r="B825" s="24">
        <v>188</v>
      </c>
      <c r="C825" s="25"/>
      <c r="D825" s="25"/>
      <c r="E825" s="26"/>
      <c r="F825" s="9" t="s">
        <v>40</v>
      </c>
      <c r="G825" s="6">
        <v>20906.37</v>
      </c>
      <c r="H825" s="6">
        <v>3417.98</v>
      </c>
      <c r="I825" s="27">
        <v>7575</v>
      </c>
      <c r="J825" s="27"/>
      <c r="K825" s="27">
        <f t="shared" si="83"/>
        <v>31899.35</v>
      </c>
      <c r="L825" s="39">
        <v>14000</v>
      </c>
      <c r="M825" s="9">
        <f t="shared" si="84"/>
        <v>0.43888041605863443</v>
      </c>
      <c r="N825" s="5">
        <v>1</v>
      </c>
      <c r="O825" s="10">
        <f t="shared" si="85"/>
        <v>0.43888041605863443</v>
      </c>
    </row>
    <row r="826" spans="2:15" ht="13.5" customHeight="1">
      <c r="B826" s="24">
        <v>189</v>
      </c>
      <c r="C826" s="25"/>
      <c r="D826" s="25"/>
      <c r="E826" s="26"/>
      <c r="F826" s="9" t="s">
        <v>40</v>
      </c>
      <c r="G826" s="6">
        <v>20906.37</v>
      </c>
      <c r="H826" s="6">
        <v>3417.98</v>
      </c>
      <c r="I826" s="27">
        <v>7575</v>
      </c>
      <c r="J826" s="27"/>
      <c r="K826" s="27">
        <f t="shared" si="83"/>
        <v>31899.35</v>
      </c>
      <c r="L826" s="39">
        <v>14000</v>
      </c>
      <c r="M826" s="9">
        <f t="shared" si="84"/>
        <v>0.43888041605863443</v>
      </c>
      <c r="N826" s="5">
        <v>1</v>
      </c>
      <c r="O826" s="10">
        <f t="shared" si="85"/>
        <v>0.43888041605863443</v>
      </c>
    </row>
    <row r="827" spans="2:15" ht="13.5" customHeight="1">
      <c r="B827" s="24">
        <v>190</v>
      </c>
      <c r="C827" s="25"/>
      <c r="D827" s="25"/>
      <c r="E827" s="26"/>
      <c r="F827" s="9" t="s">
        <v>40</v>
      </c>
      <c r="G827" s="6">
        <v>20906.37</v>
      </c>
      <c r="H827" s="6">
        <v>3417.98</v>
      </c>
      <c r="I827" s="27">
        <v>7575</v>
      </c>
      <c r="J827" s="27"/>
      <c r="K827" s="27">
        <f t="shared" si="83"/>
        <v>31899.35</v>
      </c>
      <c r="L827" s="39">
        <v>17500</v>
      </c>
      <c r="M827" s="9">
        <f t="shared" si="84"/>
        <v>0.54860052007329307</v>
      </c>
      <c r="N827" s="5">
        <v>1</v>
      </c>
      <c r="O827" s="10">
        <f t="shared" si="85"/>
        <v>0.54860052007329307</v>
      </c>
    </row>
    <row r="828" spans="2:15" ht="13.5" customHeight="1">
      <c r="B828" s="24">
        <v>191</v>
      </c>
      <c r="C828" s="25"/>
      <c r="D828" s="25"/>
      <c r="E828" s="26"/>
      <c r="F828" s="9" t="s">
        <v>40</v>
      </c>
      <c r="G828" s="6">
        <v>20906.37</v>
      </c>
      <c r="H828" s="6">
        <v>3417.98</v>
      </c>
      <c r="I828" s="27">
        <v>7575</v>
      </c>
      <c r="J828" s="27"/>
      <c r="K828" s="27">
        <f t="shared" si="83"/>
        <v>31899.35</v>
      </c>
      <c r="L828" s="39">
        <v>14000</v>
      </c>
      <c r="M828" s="9">
        <f t="shared" si="84"/>
        <v>0.43888041605863443</v>
      </c>
      <c r="N828" s="5">
        <v>1</v>
      </c>
      <c r="O828" s="10">
        <f t="shared" si="85"/>
        <v>0.43888041605863443</v>
      </c>
    </row>
    <row r="829" spans="2:15" ht="13.5" customHeight="1">
      <c r="B829" s="24">
        <v>192</v>
      </c>
      <c r="C829" s="25"/>
      <c r="D829" s="25"/>
      <c r="E829" s="26"/>
      <c r="F829" s="9" t="s">
        <v>40</v>
      </c>
      <c r="G829" s="6">
        <v>20906.37</v>
      </c>
      <c r="H829" s="6">
        <v>3417.98</v>
      </c>
      <c r="I829" s="27">
        <v>7575</v>
      </c>
      <c r="J829" s="27"/>
      <c r="K829" s="27">
        <f t="shared" si="83"/>
        <v>31899.35</v>
      </c>
      <c r="L829" s="39">
        <v>14000</v>
      </c>
      <c r="M829" s="9">
        <f t="shared" si="84"/>
        <v>0.43888041605863443</v>
      </c>
      <c r="N829" s="5">
        <v>1</v>
      </c>
      <c r="O829" s="10">
        <f t="shared" si="85"/>
        <v>0.43888041605863443</v>
      </c>
    </row>
    <row r="830" spans="2:15" ht="13.5" customHeight="1">
      <c r="B830" s="24">
        <v>193</v>
      </c>
      <c r="C830" s="25"/>
      <c r="D830" s="25"/>
      <c r="E830" s="26"/>
      <c r="F830" s="9" t="s">
        <v>40</v>
      </c>
      <c r="G830" s="6">
        <v>20906.37</v>
      </c>
      <c r="H830" s="6">
        <v>3417.98</v>
      </c>
      <c r="I830" s="27">
        <v>7575</v>
      </c>
      <c r="J830" s="27"/>
      <c r="K830" s="27">
        <f t="shared" si="83"/>
        <v>31899.35</v>
      </c>
      <c r="L830" s="39">
        <v>14000</v>
      </c>
      <c r="M830" s="9">
        <f t="shared" si="84"/>
        <v>0.43888041605863443</v>
      </c>
      <c r="N830" s="5">
        <v>1</v>
      </c>
      <c r="O830" s="10">
        <f t="shared" si="85"/>
        <v>0.43888041605863443</v>
      </c>
    </row>
    <row r="831" spans="2:15" ht="13.5" customHeight="1">
      <c r="B831" s="24">
        <v>194</v>
      </c>
      <c r="C831" s="25"/>
      <c r="D831" s="25"/>
      <c r="E831" s="26"/>
      <c r="F831" s="9" t="s">
        <v>40</v>
      </c>
      <c r="G831" s="6">
        <v>20906.37</v>
      </c>
      <c r="H831" s="6">
        <v>3417.98</v>
      </c>
      <c r="I831" s="27">
        <v>7575</v>
      </c>
      <c r="J831" s="27"/>
      <c r="K831" s="27">
        <f t="shared" ref="K831" si="86">SUM(G831:I831)</f>
        <v>31899.35</v>
      </c>
      <c r="L831" s="39">
        <v>14000</v>
      </c>
      <c r="M831" s="9">
        <f t="shared" ref="M831:M893" si="87">L831/K831</f>
        <v>0.43888041605863443</v>
      </c>
      <c r="N831" s="5">
        <v>1</v>
      </c>
      <c r="O831" s="10">
        <f t="shared" ref="O831:O893" si="88">N831*M831</f>
        <v>0.43888041605863443</v>
      </c>
    </row>
    <row r="832" spans="2:15" ht="13.5" customHeight="1">
      <c r="B832" s="24">
        <v>1</v>
      </c>
      <c r="C832" s="25"/>
      <c r="D832" s="25"/>
      <c r="E832" s="26"/>
      <c r="F832" s="9" t="s">
        <v>15</v>
      </c>
      <c r="G832" s="6">
        <v>20906.37</v>
      </c>
      <c r="H832" s="6">
        <v>3417.98</v>
      </c>
      <c r="I832" s="27">
        <v>11905</v>
      </c>
      <c r="J832" s="27"/>
      <c r="K832" s="27">
        <f t="shared" ref="K832" si="89">SUM(G832:I832)</f>
        <v>36229.35</v>
      </c>
      <c r="L832" s="39">
        <v>14000</v>
      </c>
      <c r="M832" s="9">
        <f t="shared" si="87"/>
        <v>0.38642702670624784</v>
      </c>
      <c r="N832" s="5">
        <v>1</v>
      </c>
      <c r="O832" s="10">
        <f t="shared" si="88"/>
        <v>0.38642702670624784</v>
      </c>
    </row>
    <row r="833" spans="2:15" ht="13.5" customHeight="1">
      <c r="B833" s="24">
        <v>2</v>
      </c>
      <c r="C833" s="25"/>
      <c r="D833" s="25"/>
      <c r="E833" s="26"/>
      <c r="F833" s="9" t="s">
        <v>15</v>
      </c>
      <c r="G833" s="6">
        <v>20906.37</v>
      </c>
      <c r="H833" s="6">
        <v>3417.98</v>
      </c>
      <c r="I833" s="27">
        <v>11905</v>
      </c>
      <c r="J833" s="27"/>
      <c r="K833" s="27">
        <f t="shared" ref="K833:K895" si="90">SUM(G833:I833)</f>
        <v>36229.35</v>
      </c>
      <c r="L833" s="39">
        <v>14000</v>
      </c>
      <c r="M833" s="9">
        <f t="shared" si="87"/>
        <v>0.38642702670624784</v>
      </c>
      <c r="N833" s="5">
        <v>1</v>
      </c>
      <c r="O833" s="10">
        <f t="shared" si="88"/>
        <v>0.38642702670624784</v>
      </c>
    </row>
    <row r="834" spans="2:15" ht="13.5" customHeight="1">
      <c r="B834" s="24">
        <v>3</v>
      </c>
      <c r="C834" s="25"/>
      <c r="D834" s="25"/>
      <c r="E834" s="26"/>
      <c r="F834" s="9" t="s">
        <v>15</v>
      </c>
      <c r="G834" s="6">
        <v>20906.37</v>
      </c>
      <c r="H834" s="6">
        <v>3417.98</v>
      </c>
      <c r="I834" s="27">
        <v>11905</v>
      </c>
      <c r="J834" s="27"/>
      <c r="K834" s="27">
        <f t="shared" si="90"/>
        <v>36229.35</v>
      </c>
      <c r="L834" s="39">
        <v>17500</v>
      </c>
      <c r="M834" s="9">
        <f t="shared" si="87"/>
        <v>0.48303378338280983</v>
      </c>
      <c r="N834" s="5">
        <v>1</v>
      </c>
      <c r="O834" s="10">
        <f t="shared" si="88"/>
        <v>0.48303378338280983</v>
      </c>
    </row>
    <row r="835" spans="2:15" ht="13.5" customHeight="1">
      <c r="B835" s="24">
        <v>4</v>
      </c>
      <c r="C835" s="25"/>
      <c r="D835" s="25"/>
      <c r="E835" s="26"/>
      <c r="F835" s="9" t="s">
        <v>15</v>
      </c>
      <c r="G835" s="6">
        <v>20906.37</v>
      </c>
      <c r="H835" s="6">
        <v>3417.98</v>
      </c>
      <c r="I835" s="27">
        <v>11905</v>
      </c>
      <c r="J835" s="27"/>
      <c r="K835" s="27">
        <f t="shared" si="90"/>
        <v>36229.35</v>
      </c>
      <c r="L835" s="39">
        <v>14000</v>
      </c>
      <c r="M835" s="9">
        <f t="shared" si="87"/>
        <v>0.38642702670624784</v>
      </c>
      <c r="N835" s="5">
        <v>1</v>
      </c>
      <c r="O835" s="10">
        <f t="shared" si="88"/>
        <v>0.38642702670624784</v>
      </c>
    </row>
    <row r="836" spans="2:15" ht="13.5" customHeight="1">
      <c r="B836" s="24">
        <v>5</v>
      </c>
      <c r="C836" s="25"/>
      <c r="D836" s="25"/>
      <c r="E836" s="26"/>
      <c r="F836" s="9" t="s">
        <v>15</v>
      </c>
      <c r="G836" s="6">
        <v>20906.37</v>
      </c>
      <c r="H836" s="6">
        <v>3417.98</v>
      </c>
      <c r="I836" s="27">
        <v>11905</v>
      </c>
      <c r="J836" s="27"/>
      <c r="K836" s="27">
        <f t="shared" si="90"/>
        <v>36229.35</v>
      </c>
      <c r="L836" s="39">
        <v>14000</v>
      </c>
      <c r="M836" s="9">
        <f t="shared" si="87"/>
        <v>0.38642702670624784</v>
      </c>
      <c r="N836" s="5">
        <v>1</v>
      </c>
      <c r="O836" s="10">
        <f t="shared" si="88"/>
        <v>0.38642702670624784</v>
      </c>
    </row>
    <row r="837" spans="2:15" ht="13.5" customHeight="1">
      <c r="B837" s="24">
        <v>6</v>
      </c>
      <c r="C837" s="25"/>
      <c r="D837" s="25"/>
      <c r="E837" s="26"/>
      <c r="F837" s="9" t="s">
        <v>15</v>
      </c>
      <c r="G837" s="6">
        <v>20906.37</v>
      </c>
      <c r="H837" s="6">
        <v>3417.98</v>
      </c>
      <c r="I837" s="27">
        <v>11905</v>
      </c>
      <c r="J837" s="27"/>
      <c r="K837" s="27">
        <f t="shared" si="90"/>
        <v>36229.35</v>
      </c>
      <c r="L837" s="39">
        <v>17500</v>
      </c>
      <c r="M837" s="9">
        <f t="shared" si="87"/>
        <v>0.48303378338280983</v>
      </c>
      <c r="N837" s="5">
        <v>1</v>
      </c>
      <c r="O837" s="10">
        <f t="shared" si="88"/>
        <v>0.48303378338280983</v>
      </c>
    </row>
    <row r="838" spans="2:15" ht="13.5" customHeight="1">
      <c r="B838" s="24">
        <v>7</v>
      </c>
      <c r="C838" s="25"/>
      <c r="D838" s="25"/>
      <c r="E838" s="26"/>
      <c r="F838" s="9" t="s">
        <v>15</v>
      </c>
      <c r="G838" s="6">
        <v>20906.37</v>
      </c>
      <c r="H838" s="6">
        <v>3417.98</v>
      </c>
      <c r="I838" s="27">
        <v>11905</v>
      </c>
      <c r="J838" s="27"/>
      <c r="K838" s="27">
        <f t="shared" si="90"/>
        <v>36229.35</v>
      </c>
      <c r="L838" s="39">
        <v>14000</v>
      </c>
      <c r="M838" s="9">
        <f t="shared" si="87"/>
        <v>0.38642702670624784</v>
      </c>
      <c r="N838" s="5">
        <v>1</v>
      </c>
      <c r="O838" s="10">
        <f t="shared" si="88"/>
        <v>0.38642702670624784</v>
      </c>
    </row>
    <row r="839" spans="2:15" ht="13.5" customHeight="1">
      <c r="B839" s="24">
        <v>8</v>
      </c>
      <c r="C839" s="25"/>
      <c r="D839" s="25"/>
      <c r="E839" s="26"/>
      <c r="F839" s="9" t="s">
        <v>15</v>
      </c>
      <c r="G839" s="6">
        <v>20906.37</v>
      </c>
      <c r="H839" s="6">
        <v>3417.98</v>
      </c>
      <c r="I839" s="27">
        <v>11905</v>
      </c>
      <c r="J839" s="27"/>
      <c r="K839" s="27">
        <f t="shared" si="90"/>
        <v>36229.35</v>
      </c>
      <c r="L839" s="39">
        <v>14000</v>
      </c>
      <c r="M839" s="9">
        <f t="shared" si="87"/>
        <v>0.38642702670624784</v>
      </c>
      <c r="N839" s="5">
        <v>1</v>
      </c>
      <c r="O839" s="10">
        <f t="shared" si="88"/>
        <v>0.38642702670624784</v>
      </c>
    </row>
    <row r="840" spans="2:15" ht="13.5" customHeight="1">
      <c r="B840" s="24">
        <v>9</v>
      </c>
      <c r="C840" s="25"/>
      <c r="D840" s="25"/>
      <c r="E840" s="26"/>
      <c r="F840" s="9" t="s">
        <v>15</v>
      </c>
      <c r="G840" s="6">
        <v>20906.37</v>
      </c>
      <c r="H840" s="6">
        <v>3417.98</v>
      </c>
      <c r="I840" s="27">
        <v>11905</v>
      </c>
      <c r="J840" s="27"/>
      <c r="K840" s="27">
        <f t="shared" si="90"/>
        <v>36229.35</v>
      </c>
      <c r="L840" s="39">
        <v>14000</v>
      </c>
      <c r="M840" s="9">
        <f t="shared" si="87"/>
        <v>0.38642702670624784</v>
      </c>
      <c r="N840" s="5">
        <v>1</v>
      </c>
      <c r="O840" s="10">
        <f t="shared" si="88"/>
        <v>0.38642702670624784</v>
      </c>
    </row>
    <row r="841" spans="2:15" ht="13.5" customHeight="1">
      <c r="B841" s="24">
        <v>10</v>
      </c>
      <c r="C841" s="25"/>
      <c r="D841" s="25"/>
      <c r="E841" s="26"/>
      <c r="F841" s="9" t="s">
        <v>15</v>
      </c>
      <c r="G841" s="6">
        <v>20906.37</v>
      </c>
      <c r="H841" s="6">
        <v>3417.98</v>
      </c>
      <c r="I841" s="27">
        <v>11905</v>
      </c>
      <c r="J841" s="27"/>
      <c r="K841" s="27">
        <f t="shared" si="90"/>
        <v>36229.35</v>
      </c>
      <c r="L841" s="39">
        <v>14000</v>
      </c>
      <c r="M841" s="9">
        <f t="shared" si="87"/>
        <v>0.38642702670624784</v>
      </c>
      <c r="N841" s="5">
        <v>1</v>
      </c>
      <c r="O841" s="10">
        <f t="shared" si="88"/>
        <v>0.38642702670624784</v>
      </c>
    </row>
    <row r="842" spans="2:15" ht="13.5" customHeight="1">
      <c r="B842" s="24">
        <v>11</v>
      </c>
      <c r="C842" s="25"/>
      <c r="D842" s="25"/>
      <c r="E842" s="26"/>
      <c r="F842" s="9" t="s">
        <v>15</v>
      </c>
      <c r="G842" s="6">
        <v>20906.37</v>
      </c>
      <c r="H842" s="6">
        <v>3417.98</v>
      </c>
      <c r="I842" s="27">
        <v>11905</v>
      </c>
      <c r="J842" s="27"/>
      <c r="K842" s="27">
        <f t="shared" si="90"/>
        <v>36229.35</v>
      </c>
      <c r="L842" s="39">
        <v>14000</v>
      </c>
      <c r="M842" s="9">
        <f t="shared" si="87"/>
        <v>0.38642702670624784</v>
      </c>
      <c r="N842" s="5">
        <v>1</v>
      </c>
      <c r="O842" s="10">
        <f t="shared" si="88"/>
        <v>0.38642702670624784</v>
      </c>
    </row>
    <row r="843" spans="2:15" ht="13.5" customHeight="1">
      <c r="B843" s="24">
        <v>12</v>
      </c>
      <c r="C843" s="25"/>
      <c r="D843" s="25"/>
      <c r="E843" s="26"/>
      <c r="F843" s="9" t="s">
        <v>15</v>
      </c>
      <c r="G843" s="6">
        <v>20906.37</v>
      </c>
      <c r="H843" s="6">
        <v>3417.98</v>
      </c>
      <c r="I843" s="27">
        <v>11905</v>
      </c>
      <c r="J843" s="27"/>
      <c r="K843" s="27">
        <f t="shared" si="90"/>
        <v>36229.35</v>
      </c>
      <c r="L843" s="39">
        <v>17500</v>
      </c>
      <c r="M843" s="9">
        <f t="shared" si="87"/>
        <v>0.48303378338280983</v>
      </c>
      <c r="N843" s="5">
        <v>1</v>
      </c>
      <c r="O843" s="10">
        <f t="shared" si="88"/>
        <v>0.48303378338280983</v>
      </c>
    </row>
    <row r="844" spans="2:15" ht="13.5" customHeight="1">
      <c r="B844" s="24">
        <v>13</v>
      </c>
      <c r="C844" s="25"/>
      <c r="D844" s="25"/>
      <c r="E844" s="26"/>
      <c r="F844" s="9" t="s">
        <v>15</v>
      </c>
      <c r="G844" s="6">
        <v>20906.37</v>
      </c>
      <c r="H844" s="6">
        <v>3417.98</v>
      </c>
      <c r="I844" s="27">
        <v>11905</v>
      </c>
      <c r="J844" s="27"/>
      <c r="K844" s="27">
        <f t="shared" si="90"/>
        <v>36229.35</v>
      </c>
      <c r="L844" s="39">
        <v>14000</v>
      </c>
      <c r="M844" s="9">
        <f t="shared" si="87"/>
        <v>0.38642702670624784</v>
      </c>
      <c r="N844" s="5">
        <v>1</v>
      </c>
      <c r="O844" s="10">
        <f t="shared" si="88"/>
        <v>0.38642702670624784</v>
      </c>
    </row>
    <row r="845" spans="2:15" ht="13.5" customHeight="1">
      <c r="B845" s="24">
        <v>14</v>
      </c>
      <c r="C845" s="25"/>
      <c r="D845" s="25"/>
      <c r="E845" s="26"/>
      <c r="F845" s="9" t="s">
        <v>15</v>
      </c>
      <c r="G845" s="6">
        <v>20906.37</v>
      </c>
      <c r="H845" s="6">
        <v>3417.98</v>
      </c>
      <c r="I845" s="27">
        <v>11905</v>
      </c>
      <c r="J845" s="27"/>
      <c r="K845" s="27">
        <f t="shared" si="90"/>
        <v>36229.35</v>
      </c>
      <c r="L845" s="39">
        <v>14000</v>
      </c>
      <c r="M845" s="9">
        <f t="shared" si="87"/>
        <v>0.38642702670624784</v>
      </c>
      <c r="N845" s="5">
        <v>1</v>
      </c>
      <c r="O845" s="10">
        <f t="shared" si="88"/>
        <v>0.38642702670624784</v>
      </c>
    </row>
    <row r="846" spans="2:15" ht="13.5" customHeight="1">
      <c r="B846" s="24">
        <v>15</v>
      </c>
      <c r="C846" s="25"/>
      <c r="D846" s="25"/>
      <c r="E846" s="26"/>
      <c r="F846" s="9" t="s">
        <v>15</v>
      </c>
      <c r="G846" s="6">
        <v>20906.37</v>
      </c>
      <c r="H846" s="6">
        <v>3417.98</v>
      </c>
      <c r="I846" s="27">
        <v>11905</v>
      </c>
      <c r="J846" s="27"/>
      <c r="K846" s="27">
        <f t="shared" si="90"/>
        <v>36229.35</v>
      </c>
      <c r="L846" s="39">
        <v>17500</v>
      </c>
      <c r="M846" s="9">
        <f t="shared" si="87"/>
        <v>0.48303378338280983</v>
      </c>
      <c r="N846" s="5">
        <v>1</v>
      </c>
      <c r="O846" s="10">
        <f t="shared" si="88"/>
        <v>0.48303378338280983</v>
      </c>
    </row>
    <row r="847" spans="2:15" ht="13.5" customHeight="1">
      <c r="B847" s="24">
        <v>16</v>
      </c>
      <c r="C847" s="25"/>
      <c r="D847" s="25"/>
      <c r="E847" s="26"/>
      <c r="F847" s="9" t="s">
        <v>15</v>
      </c>
      <c r="G847" s="6">
        <v>20906.37</v>
      </c>
      <c r="H847" s="6">
        <v>3417.98</v>
      </c>
      <c r="I847" s="27">
        <v>11905</v>
      </c>
      <c r="J847" s="27"/>
      <c r="K847" s="27">
        <f t="shared" si="90"/>
        <v>36229.35</v>
      </c>
      <c r="L847" s="39">
        <v>17500</v>
      </c>
      <c r="M847" s="9">
        <f t="shared" si="87"/>
        <v>0.48303378338280983</v>
      </c>
      <c r="N847" s="5">
        <v>1</v>
      </c>
      <c r="O847" s="10">
        <f t="shared" si="88"/>
        <v>0.48303378338280983</v>
      </c>
    </row>
    <row r="848" spans="2:15" ht="13.5" customHeight="1">
      <c r="B848" s="24">
        <v>17</v>
      </c>
      <c r="C848" s="25"/>
      <c r="D848" s="25"/>
      <c r="E848" s="26"/>
      <c r="F848" s="9" t="s">
        <v>15</v>
      </c>
      <c r="G848" s="6">
        <v>20906.37</v>
      </c>
      <c r="H848" s="6">
        <v>3417.98</v>
      </c>
      <c r="I848" s="27">
        <v>11905</v>
      </c>
      <c r="J848" s="27"/>
      <c r="K848" s="27">
        <f t="shared" si="90"/>
        <v>36229.35</v>
      </c>
      <c r="L848" s="39">
        <v>17500</v>
      </c>
      <c r="M848" s="9">
        <f t="shared" si="87"/>
        <v>0.48303378338280983</v>
      </c>
      <c r="N848" s="5">
        <v>1</v>
      </c>
      <c r="O848" s="10">
        <f t="shared" si="88"/>
        <v>0.48303378338280983</v>
      </c>
    </row>
    <row r="849" spans="2:15" ht="13.5" customHeight="1">
      <c r="B849" s="24">
        <v>18</v>
      </c>
      <c r="C849" s="25"/>
      <c r="D849" s="25"/>
      <c r="E849" s="26"/>
      <c r="F849" s="9" t="s">
        <v>15</v>
      </c>
      <c r="G849" s="6">
        <v>20906.37</v>
      </c>
      <c r="H849" s="6">
        <v>3417.98</v>
      </c>
      <c r="I849" s="27">
        <v>11905</v>
      </c>
      <c r="J849" s="27"/>
      <c r="K849" s="27">
        <f t="shared" si="90"/>
        <v>36229.35</v>
      </c>
      <c r="L849" s="39">
        <v>14000</v>
      </c>
      <c r="M849" s="9">
        <f t="shared" si="87"/>
        <v>0.38642702670624784</v>
      </c>
      <c r="N849" s="5">
        <v>1</v>
      </c>
      <c r="O849" s="10">
        <f t="shared" si="88"/>
        <v>0.38642702670624784</v>
      </c>
    </row>
    <row r="850" spans="2:15" ht="13.5" customHeight="1">
      <c r="B850" s="24">
        <v>19</v>
      </c>
      <c r="C850" s="25"/>
      <c r="D850" s="25"/>
      <c r="E850" s="26"/>
      <c r="F850" s="9" t="s">
        <v>15</v>
      </c>
      <c r="G850" s="6">
        <v>20906.37</v>
      </c>
      <c r="H850" s="6">
        <v>3417.98</v>
      </c>
      <c r="I850" s="27">
        <v>11905</v>
      </c>
      <c r="J850" s="27"/>
      <c r="K850" s="27">
        <f t="shared" si="90"/>
        <v>36229.35</v>
      </c>
      <c r="L850" s="39">
        <v>14000</v>
      </c>
      <c r="M850" s="9">
        <f t="shared" si="87"/>
        <v>0.38642702670624784</v>
      </c>
      <c r="N850" s="5">
        <v>1</v>
      </c>
      <c r="O850" s="10">
        <f t="shared" si="88"/>
        <v>0.38642702670624784</v>
      </c>
    </row>
    <row r="851" spans="2:15" ht="13.5" customHeight="1">
      <c r="B851" s="24">
        <v>20</v>
      </c>
      <c r="C851" s="25"/>
      <c r="D851" s="25"/>
      <c r="E851" s="26"/>
      <c r="F851" s="9" t="s">
        <v>15</v>
      </c>
      <c r="G851" s="6">
        <v>20906.37</v>
      </c>
      <c r="H851" s="6">
        <v>3417.98</v>
      </c>
      <c r="I851" s="27">
        <v>11905</v>
      </c>
      <c r="J851" s="27"/>
      <c r="K851" s="27">
        <f t="shared" si="90"/>
        <v>36229.35</v>
      </c>
      <c r="L851" s="39">
        <v>14000</v>
      </c>
      <c r="M851" s="9">
        <f t="shared" si="87"/>
        <v>0.38642702670624784</v>
      </c>
      <c r="N851" s="5">
        <v>1</v>
      </c>
      <c r="O851" s="10">
        <f t="shared" si="88"/>
        <v>0.38642702670624784</v>
      </c>
    </row>
    <row r="852" spans="2:15" ht="13.5" customHeight="1">
      <c r="B852" s="24">
        <v>21</v>
      </c>
      <c r="C852" s="25"/>
      <c r="D852" s="25"/>
      <c r="E852" s="26"/>
      <c r="F852" s="9" t="s">
        <v>15</v>
      </c>
      <c r="G852" s="6">
        <v>20906.37</v>
      </c>
      <c r="H852" s="6">
        <v>3417.98</v>
      </c>
      <c r="I852" s="27">
        <v>11905</v>
      </c>
      <c r="J852" s="27"/>
      <c r="K852" s="27">
        <f t="shared" si="90"/>
        <v>36229.35</v>
      </c>
      <c r="L852" s="39">
        <v>14000</v>
      </c>
      <c r="M852" s="9">
        <f t="shared" si="87"/>
        <v>0.38642702670624784</v>
      </c>
      <c r="N852" s="5">
        <v>1</v>
      </c>
      <c r="O852" s="10">
        <f t="shared" si="88"/>
        <v>0.38642702670624784</v>
      </c>
    </row>
    <row r="853" spans="2:15" ht="13.5" customHeight="1">
      <c r="B853" s="24">
        <v>22</v>
      </c>
      <c r="C853" s="25"/>
      <c r="D853" s="25"/>
      <c r="E853" s="26"/>
      <c r="F853" s="9" t="s">
        <v>15</v>
      </c>
      <c r="G853" s="6">
        <v>20906.37</v>
      </c>
      <c r="H853" s="6">
        <v>3417.98</v>
      </c>
      <c r="I853" s="27">
        <v>11905</v>
      </c>
      <c r="J853" s="27"/>
      <c r="K853" s="27">
        <f t="shared" si="90"/>
        <v>36229.35</v>
      </c>
      <c r="L853" s="39">
        <v>14000</v>
      </c>
      <c r="M853" s="9">
        <f t="shared" si="87"/>
        <v>0.38642702670624784</v>
      </c>
      <c r="N853" s="5">
        <v>1</v>
      </c>
      <c r="O853" s="10">
        <f t="shared" si="88"/>
        <v>0.38642702670624784</v>
      </c>
    </row>
    <row r="854" spans="2:15" ht="13.5" customHeight="1">
      <c r="B854" s="24">
        <v>23</v>
      </c>
      <c r="C854" s="25"/>
      <c r="D854" s="25"/>
      <c r="E854" s="26"/>
      <c r="F854" s="9" t="s">
        <v>15</v>
      </c>
      <c r="G854" s="6">
        <v>20906.37</v>
      </c>
      <c r="H854" s="6">
        <v>3417.98</v>
      </c>
      <c r="I854" s="27">
        <v>11905</v>
      </c>
      <c r="J854" s="27"/>
      <c r="K854" s="27">
        <f t="shared" si="90"/>
        <v>36229.35</v>
      </c>
      <c r="L854" s="39">
        <v>14000</v>
      </c>
      <c r="M854" s="9">
        <f t="shared" si="87"/>
        <v>0.38642702670624784</v>
      </c>
      <c r="N854" s="5">
        <v>1</v>
      </c>
      <c r="O854" s="10">
        <f t="shared" si="88"/>
        <v>0.38642702670624784</v>
      </c>
    </row>
    <row r="855" spans="2:15" ht="13.5" customHeight="1">
      <c r="B855" s="24">
        <v>25</v>
      </c>
      <c r="C855" s="25"/>
      <c r="D855" s="25"/>
      <c r="E855" s="26"/>
      <c r="F855" s="9" t="s">
        <v>15</v>
      </c>
      <c r="G855" s="6">
        <v>20906.37</v>
      </c>
      <c r="H855" s="6">
        <v>3417.98</v>
      </c>
      <c r="I855" s="27">
        <v>11905</v>
      </c>
      <c r="J855" s="27"/>
      <c r="K855" s="27">
        <f t="shared" si="90"/>
        <v>36229.35</v>
      </c>
      <c r="L855" s="39">
        <v>17500</v>
      </c>
      <c r="M855" s="9">
        <f t="shared" si="87"/>
        <v>0.48303378338280983</v>
      </c>
      <c r="N855" s="5">
        <v>1</v>
      </c>
      <c r="O855" s="10">
        <f t="shared" si="88"/>
        <v>0.48303378338280983</v>
      </c>
    </row>
    <row r="856" spans="2:15" ht="13.5" customHeight="1">
      <c r="B856" s="24">
        <v>26</v>
      </c>
      <c r="C856" s="25"/>
      <c r="D856" s="25"/>
      <c r="E856" s="26"/>
      <c r="F856" s="9" t="s">
        <v>15</v>
      </c>
      <c r="G856" s="6">
        <v>20906.37</v>
      </c>
      <c r="H856" s="6">
        <v>3417.98</v>
      </c>
      <c r="I856" s="27">
        <v>11905</v>
      </c>
      <c r="J856" s="27"/>
      <c r="K856" s="27">
        <f t="shared" si="90"/>
        <v>36229.35</v>
      </c>
      <c r="L856" s="39">
        <v>14000</v>
      </c>
      <c r="M856" s="9">
        <f t="shared" si="87"/>
        <v>0.38642702670624784</v>
      </c>
      <c r="N856" s="5">
        <v>1</v>
      </c>
      <c r="O856" s="10">
        <f t="shared" si="88"/>
        <v>0.38642702670624784</v>
      </c>
    </row>
    <row r="857" spans="2:15" ht="13.5" customHeight="1">
      <c r="B857" s="24">
        <v>27</v>
      </c>
      <c r="C857" s="25"/>
      <c r="D857" s="25"/>
      <c r="E857" s="26"/>
      <c r="F857" s="9" t="s">
        <v>15</v>
      </c>
      <c r="G857" s="6">
        <v>20906.37</v>
      </c>
      <c r="H857" s="6">
        <v>3417.98</v>
      </c>
      <c r="I857" s="27">
        <v>11905</v>
      </c>
      <c r="J857" s="27"/>
      <c r="K857" s="27">
        <f t="shared" si="90"/>
        <v>36229.35</v>
      </c>
      <c r="L857" s="39">
        <v>17500</v>
      </c>
      <c r="M857" s="9">
        <f t="shared" si="87"/>
        <v>0.48303378338280983</v>
      </c>
      <c r="N857" s="5">
        <v>1</v>
      </c>
      <c r="O857" s="10">
        <f t="shared" si="88"/>
        <v>0.48303378338280983</v>
      </c>
    </row>
    <row r="858" spans="2:15" ht="13.5" customHeight="1">
      <c r="B858" s="24">
        <v>28</v>
      </c>
      <c r="C858" s="25"/>
      <c r="D858" s="25"/>
      <c r="E858" s="26"/>
      <c r="F858" s="9" t="s">
        <v>15</v>
      </c>
      <c r="G858" s="6">
        <v>20906.37</v>
      </c>
      <c r="H858" s="6">
        <v>3417.98</v>
      </c>
      <c r="I858" s="27">
        <v>11905</v>
      </c>
      <c r="J858" s="27"/>
      <c r="K858" s="27">
        <f t="shared" si="90"/>
        <v>36229.35</v>
      </c>
      <c r="L858" s="39">
        <v>14000</v>
      </c>
      <c r="M858" s="9">
        <f t="shared" si="87"/>
        <v>0.38642702670624784</v>
      </c>
      <c r="N858" s="5">
        <v>1</v>
      </c>
      <c r="O858" s="10">
        <f t="shared" si="88"/>
        <v>0.38642702670624784</v>
      </c>
    </row>
    <row r="859" spans="2:15" ht="13.5" customHeight="1">
      <c r="B859" s="24">
        <v>29</v>
      </c>
      <c r="C859" s="25"/>
      <c r="D859" s="25"/>
      <c r="E859" s="26"/>
      <c r="F859" s="9" t="s">
        <v>15</v>
      </c>
      <c r="G859" s="6">
        <v>20906.37</v>
      </c>
      <c r="H859" s="6">
        <v>3417.98</v>
      </c>
      <c r="I859" s="27">
        <v>11905</v>
      </c>
      <c r="J859" s="27"/>
      <c r="K859" s="27">
        <f t="shared" si="90"/>
        <v>36229.35</v>
      </c>
      <c r="L859" s="39">
        <v>14000</v>
      </c>
      <c r="M859" s="9">
        <f t="shared" si="87"/>
        <v>0.38642702670624784</v>
      </c>
      <c r="N859" s="5">
        <v>1</v>
      </c>
      <c r="O859" s="10">
        <f t="shared" si="88"/>
        <v>0.38642702670624784</v>
      </c>
    </row>
    <row r="860" spans="2:15" ht="13.5" customHeight="1">
      <c r="B860" s="24">
        <v>30</v>
      </c>
      <c r="C860" s="25"/>
      <c r="D860" s="25"/>
      <c r="E860" s="26"/>
      <c r="F860" s="9" t="s">
        <v>15</v>
      </c>
      <c r="G860" s="6">
        <v>20906.37</v>
      </c>
      <c r="H860" s="6">
        <v>3417.98</v>
      </c>
      <c r="I860" s="27">
        <v>11905</v>
      </c>
      <c r="J860" s="27"/>
      <c r="K860" s="27">
        <f t="shared" si="90"/>
        <v>36229.35</v>
      </c>
      <c r="L860" s="39">
        <v>14000</v>
      </c>
      <c r="M860" s="9">
        <f t="shared" si="87"/>
        <v>0.38642702670624784</v>
      </c>
      <c r="N860" s="5">
        <v>1</v>
      </c>
      <c r="O860" s="10">
        <f t="shared" si="88"/>
        <v>0.38642702670624784</v>
      </c>
    </row>
    <row r="861" spans="2:15" ht="13.5" customHeight="1">
      <c r="B861" s="24">
        <v>31</v>
      </c>
      <c r="C861" s="25"/>
      <c r="D861" s="25"/>
      <c r="E861" s="26"/>
      <c r="F861" s="15" t="s">
        <v>15</v>
      </c>
      <c r="G861" s="6">
        <v>20906.37</v>
      </c>
      <c r="H861" s="6">
        <v>3417.98</v>
      </c>
      <c r="I861" s="27">
        <v>11905</v>
      </c>
      <c r="J861" s="27"/>
      <c r="K861" s="27">
        <f t="shared" si="90"/>
        <v>36229.35</v>
      </c>
      <c r="L861" s="39">
        <v>14000</v>
      </c>
      <c r="M861" s="9">
        <f t="shared" si="87"/>
        <v>0.38642702670624784</v>
      </c>
      <c r="N861" s="5">
        <v>1</v>
      </c>
      <c r="O861" s="10">
        <f t="shared" si="88"/>
        <v>0.38642702670624784</v>
      </c>
    </row>
    <row r="862" spans="2:15" ht="13.5" customHeight="1">
      <c r="B862" s="24">
        <v>32</v>
      </c>
      <c r="C862" s="25"/>
      <c r="D862" s="25"/>
      <c r="F862" s="15" t="s">
        <v>15</v>
      </c>
      <c r="G862" s="6">
        <v>20906.37</v>
      </c>
      <c r="H862" s="6">
        <v>3417.98</v>
      </c>
      <c r="I862" s="27">
        <v>11905</v>
      </c>
      <c r="J862" s="27"/>
      <c r="K862" s="27">
        <f t="shared" si="90"/>
        <v>36229.35</v>
      </c>
      <c r="L862" s="39">
        <v>14000</v>
      </c>
      <c r="M862" s="9">
        <f t="shared" si="87"/>
        <v>0.38642702670624784</v>
      </c>
      <c r="N862" s="5">
        <v>1</v>
      </c>
      <c r="O862" s="10">
        <f t="shared" si="88"/>
        <v>0.38642702670624784</v>
      </c>
    </row>
    <row r="863" spans="2:15" ht="13.5" customHeight="1">
      <c r="B863" s="24">
        <v>33</v>
      </c>
      <c r="C863" s="25"/>
      <c r="D863" s="25"/>
      <c r="E863" s="26"/>
      <c r="F863" s="15" t="s">
        <v>15</v>
      </c>
      <c r="G863" s="6">
        <v>20906.37</v>
      </c>
      <c r="H863" s="6">
        <v>3417.98</v>
      </c>
      <c r="I863" s="27">
        <v>11905</v>
      </c>
      <c r="J863" s="27"/>
      <c r="K863" s="27">
        <f t="shared" si="90"/>
        <v>36229.35</v>
      </c>
      <c r="L863" s="39">
        <v>14000</v>
      </c>
      <c r="M863" s="9">
        <f t="shared" si="87"/>
        <v>0.38642702670624784</v>
      </c>
      <c r="N863" s="5">
        <v>1</v>
      </c>
      <c r="O863" s="10">
        <f t="shared" si="88"/>
        <v>0.38642702670624784</v>
      </c>
    </row>
    <row r="864" spans="2:15" ht="13.5" customHeight="1">
      <c r="B864" s="24">
        <v>34</v>
      </c>
      <c r="C864" s="25"/>
      <c r="D864" s="25"/>
      <c r="F864" s="15" t="s">
        <v>15</v>
      </c>
      <c r="G864" s="6">
        <v>20906.37</v>
      </c>
      <c r="H864" s="6">
        <v>3417.98</v>
      </c>
      <c r="I864" s="27">
        <v>11905</v>
      </c>
      <c r="J864" s="27"/>
      <c r="K864" s="27">
        <f t="shared" si="90"/>
        <v>36229.35</v>
      </c>
      <c r="L864" s="39">
        <v>14000</v>
      </c>
      <c r="M864" s="9">
        <f t="shared" si="87"/>
        <v>0.38642702670624784</v>
      </c>
      <c r="N864" s="5">
        <v>1</v>
      </c>
      <c r="O864" s="10">
        <f t="shared" si="88"/>
        <v>0.38642702670624784</v>
      </c>
    </row>
    <row r="865" spans="2:15" ht="13.5" customHeight="1">
      <c r="B865" s="24">
        <v>35</v>
      </c>
      <c r="C865" s="25"/>
      <c r="D865" s="25"/>
      <c r="F865" s="15" t="s">
        <v>15</v>
      </c>
      <c r="G865" s="6">
        <v>20906.37</v>
      </c>
      <c r="H865" s="6">
        <v>3417.98</v>
      </c>
      <c r="I865" s="27">
        <v>11905</v>
      </c>
      <c r="J865" s="27"/>
      <c r="K865" s="27">
        <f t="shared" si="90"/>
        <v>36229.35</v>
      </c>
      <c r="L865" s="39">
        <v>14000</v>
      </c>
      <c r="M865" s="9">
        <f t="shared" si="87"/>
        <v>0.38642702670624784</v>
      </c>
      <c r="N865" s="5">
        <v>1</v>
      </c>
      <c r="O865" s="10">
        <f t="shared" si="88"/>
        <v>0.38642702670624784</v>
      </c>
    </row>
    <row r="866" spans="2:15" ht="13.5" customHeight="1">
      <c r="B866" s="24">
        <v>36</v>
      </c>
      <c r="C866" s="25"/>
      <c r="D866" s="25"/>
      <c r="E866" s="26"/>
      <c r="F866" s="15" t="s">
        <v>15</v>
      </c>
      <c r="G866" s="6">
        <v>20906.37</v>
      </c>
      <c r="H866" s="6">
        <v>3417.98</v>
      </c>
      <c r="I866" s="27">
        <v>11905</v>
      </c>
      <c r="J866" s="27"/>
      <c r="K866" s="27">
        <f t="shared" si="90"/>
        <v>36229.35</v>
      </c>
      <c r="L866" s="39">
        <v>14000</v>
      </c>
      <c r="M866" s="9">
        <f t="shared" si="87"/>
        <v>0.38642702670624784</v>
      </c>
      <c r="N866" s="5">
        <v>1</v>
      </c>
      <c r="O866" s="10">
        <f t="shared" si="88"/>
        <v>0.38642702670624784</v>
      </c>
    </row>
    <row r="867" spans="2:15" ht="13.5" customHeight="1">
      <c r="B867" s="24">
        <v>37</v>
      </c>
      <c r="C867" s="25"/>
      <c r="D867" s="25"/>
      <c r="F867" s="15" t="s">
        <v>15</v>
      </c>
      <c r="G867" s="6">
        <v>20906.37</v>
      </c>
      <c r="H867" s="6">
        <v>3417.98</v>
      </c>
      <c r="I867" s="27">
        <v>11905</v>
      </c>
      <c r="J867" s="27"/>
      <c r="K867" s="27">
        <f t="shared" si="90"/>
        <v>36229.35</v>
      </c>
      <c r="L867" s="39">
        <v>17500</v>
      </c>
      <c r="M867" s="9">
        <f t="shared" si="87"/>
        <v>0.48303378338280983</v>
      </c>
      <c r="N867" s="5">
        <v>1</v>
      </c>
      <c r="O867" s="10">
        <f t="shared" si="88"/>
        <v>0.48303378338280983</v>
      </c>
    </row>
    <row r="868" spans="2:15" ht="13.5" customHeight="1">
      <c r="B868" s="24">
        <v>38</v>
      </c>
      <c r="C868" s="25"/>
      <c r="D868" s="25"/>
      <c r="F868" s="15" t="s">
        <v>15</v>
      </c>
      <c r="G868" s="6">
        <v>20906.37</v>
      </c>
      <c r="H868" s="6">
        <v>3417.98</v>
      </c>
      <c r="I868" s="27">
        <v>11905</v>
      </c>
      <c r="J868" s="27"/>
      <c r="K868" s="27">
        <f t="shared" si="90"/>
        <v>36229.35</v>
      </c>
      <c r="L868" s="39">
        <v>14000</v>
      </c>
      <c r="M868" s="9">
        <f t="shared" si="87"/>
        <v>0.38642702670624784</v>
      </c>
      <c r="N868" s="5">
        <v>1</v>
      </c>
      <c r="O868" s="10">
        <f t="shared" si="88"/>
        <v>0.38642702670624784</v>
      </c>
    </row>
    <row r="869" spans="2:15" ht="13.5" customHeight="1">
      <c r="B869" s="24">
        <v>39</v>
      </c>
      <c r="C869" s="25"/>
      <c r="D869" s="25"/>
      <c r="F869" s="15" t="s">
        <v>15</v>
      </c>
      <c r="G869" s="6">
        <v>20906.37</v>
      </c>
      <c r="H869" s="6">
        <v>3417.98</v>
      </c>
      <c r="I869" s="27">
        <v>11905</v>
      </c>
      <c r="J869" s="27"/>
      <c r="K869" s="27">
        <f t="shared" si="90"/>
        <v>36229.35</v>
      </c>
      <c r="L869" s="39">
        <v>14000</v>
      </c>
      <c r="M869" s="9">
        <f t="shared" si="87"/>
        <v>0.38642702670624784</v>
      </c>
      <c r="N869" s="5">
        <v>1</v>
      </c>
      <c r="O869" s="10">
        <f t="shared" si="88"/>
        <v>0.38642702670624784</v>
      </c>
    </row>
    <row r="870" spans="2:15" ht="13.5" customHeight="1">
      <c r="B870" s="24">
        <v>40</v>
      </c>
      <c r="C870" s="25"/>
      <c r="D870" s="25"/>
      <c r="E870" s="26"/>
      <c r="F870" s="15" t="s">
        <v>15</v>
      </c>
      <c r="G870" s="6">
        <v>20906.37</v>
      </c>
      <c r="H870" s="6">
        <v>3417.98</v>
      </c>
      <c r="I870" s="27">
        <v>11905</v>
      </c>
      <c r="J870" s="27"/>
      <c r="K870" s="27">
        <f t="shared" si="90"/>
        <v>36229.35</v>
      </c>
      <c r="L870" s="39">
        <v>14000</v>
      </c>
      <c r="M870" s="9">
        <f t="shared" si="87"/>
        <v>0.38642702670624784</v>
      </c>
      <c r="N870" s="5">
        <v>1</v>
      </c>
      <c r="O870" s="10">
        <f t="shared" si="88"/>
        <v>0.38642702670624784</v>
      </c>
    </row>
    <row r="871" spans="2:15" ht="13.5" customHeight="1">
      <c r="B871" s="24">
        <v>41</v>
      </c>
      <c r="C871" s="25"/>
      <c r="D871" s="25"/>
      <c r="E871" s="25"/>
      <c r="F871" s="15" t="s">
        <v>15</v>
      </c>
      <c r="G871" s="6">
        <v>20906.37</v>
      </c>
      <c r="H871" s="6">
        <v>3417.98</v>
      </c>
      <c r="I871" s="27">
        <v>11905</v>
      </c>
      <c r="J871" s="27"/>
      <c r="K871" s="27">
        <f t="shared" si="90"/>
        <v>36229.35</v>
      </c>
      <c r="L871" s="39">
        <v>14000</v>
      </c>
      <c r="M871" s="9">
        <f t="shared" si="87"/>
        <v>0.38642702670624784</v>
      </c>
      <c r="N871" s="5">
        <v>1</v>
      </c>
      <c r="O871" s="10">
        <f t="shared" si="88"/>
        <v>0.38642702670624784</v>
      </c>
    </row>
    <row r="872" spans="2:15" ht="13.5" customHeight="1">
      <c r="B872" s="24">
        <v>42</v>
      </c>
      <c r="C872" s="25"/>
      <c r="D872" s="25"/>
      <c r="E872" s="26"/>
      <c r="F872" s="15" t="s">
        <v>15</v>
      </c>
      <c r="G872" s="6">
        <v>20906.37</v>
      </c>
      <c r="H872" s="6">
        <v>3417.98</v>
      </c>
      <c r="I872" s="27">
        <v>11905</v>
      </c>
      <c r="J872" s="27"/>
      <c r="K872" s="27">
        <f t="shared" si="90"/>
        <v>36229.35</v>
      </c>
      <c r="L872" s="39">
        <v>14000</v>
      </c>
      <c r="M872" s="9">
        <f t="shared" si="87"/>
        <v>0.38642702670624784</v>
      </c>
      <c r="N872" s="5">
        <v>1</v>
      </c>
      <c r="O872" s="10">
        <f t="shared" si="88"/>
        <v>0.38642702670624784</v>
      </c>
    </row>
    <row r="873" spans="2:15" ht="13.5" customHeight="1">
      <c r="B873" s="24">
        <v>43</v>
      </c>
      <c r="C873" s="25"/>
      <c r="D873" s="25"/>
      <c r="E873" s="26"/>
      <c r="F873" s="15" t="s">
        <v>15</v>
      </c>
      <c r="G873" s="6">
        <v>20906.37</v>
      </c>
      <c r="H873" s="6">
        <v>3417.98</v>
      </c>
      <c r="I873" s="27">
        <v>11905</v>
      </c>
      <c r="J873" s="27"/>
      <c r="K873" s="27">
        <f t="shared" si="90"/>
        <v>36229.35</v>
      </c>
      <c r="L873" s="39">
        <v>14000</v>
      </c>
      <c r="M873" s="9">
        <f t="shared" si="87"/>
        <v>0.38642702670624784</v>
      </c>
      <c r="N873" s="5">
        <v>1</v>
      </c>
      <c r="O873" s="10">
        <f t="shared" si="88"/>
        <v>0.38642702670624784</v>
      </c>
    </row>
    <row r="874" spans="2:15" ht="13.5" customHeight="1">
      <c r="B874" s="24">
        <v>44</v>
      </c>
      <c r="C874" s="25"/>
      <c r="D874" s="25"/>
      <c r="E874" s="26"/>
      <c r="F874" s="15" t="s">
        <v>15</v>
      </c>
      <c r="G874" s="6">
        <v>20906.37</v>
      </c>
      <c r="H874" s="6">
        <v>3417.98</v>
      </c>
      <c r="I874" s="27">
        <v>11905</v>
      </c>
      <c r="J874" s="27"/>
      <c r="K874" s="27">
        <f t="shared" si="90"/>
        <v>36229.35</v>
      </c>
      <c r="L874" s="39">
        <v>14000</v>
      </c>
      <c r="M874" s="9">
        <f t="shared" si="87"/>
        <v>0.38642702670624784</v>
      </c>
      <c r="N874" s="5">
        <v>1</v>
      </c>
      <c r="O874" s="10">
        <f t="shared" si="88"/>
        <v>0.38642702670624784</v>
      </c>
    </row>
    <row r="875" spans="2:15" ht="13.5" customHeight="1">
      <c r="B875" s="24">
        <v>45</v>
      </c>
      <c r="C875" s="25"/>
      <c r="D875" s="25"/>
      <c r="E875" s="26"/>
      <c r="F875" s="15" t="s">
        <v>15</v>
      </c>
      <c r="G875" s="6">
        <v>20906.37</v>
      </c>
      <c r="H875" s="6">
        <v>3417.98</v>
      </c>
      <c r="I875" s="27">
        <v>11905</v>
      </c>
      <c r="J875" s="27"/>
      <c r="K875" s="27">
        <f t="shared" si="90"/>
        <v>36229.35</v>
      </c>
      <c r="L875" s="39">
        <v>14000</v>
      </c>
      <c r="M875" s="9">
        <f t="shared" si="87"/>
        <v>0.38642702670624784</v>
      </c>
      <c r="N875" s="5">
        <v>1</v>
      </c>
      <c r="O875" s="10">
        <f t="shared" si="88"/>
        <v>0.38642702670624784</v>
      </c>
    </row>
    <row r="876" spans="2:15" ht="13.5" customHeight="1">
      <c r="B876" s="24">
        <v>46</v>
      </c>
      <c r="C876" s="25"/>
      <c r="D876" s="25"/>
      <c r="F876" s="15" t="s">
        <v>15</v>
      </c>
      <c r="G876" s="6">
        <v>20906.37</v>
      </c>
      <c r="H876" s="6">
        <v>3417.98</v>
      </c>
      <c r="I876" s="27">
        <v>11905</v>
      </c>
      <c r="J876" s="27"/>
      <c r="K876" s="27">
        <f t="shared" si="90"/>
        <v>36229.35</v>
      </c>
      <c r="L876" s="39">
        <v>14000</v>
      </c>
      <c r="M876" s="9">
        <f t="shared" si="87"/>
        <v>0.38642702670624784</v>
      </c>
      <c r="N876" s="5">
        <v>1</v>
      </c>
      <c r="O876" s="10">
        <f t="shared" si="88"/>
        <v>0.38642702670624784</v>
      </c>
    </row>
    <row r="877" spans="2:15" ht="13.5" customHeight="1">
      <c r="B877" s="24">
        <v>47</v>
      </c>
      <c r="C877" s="25"/>
      <c r="D877" s="25"/>
      <c r="E877" s="26"/>
      <c r="F877" s="15" t="s">
        <v>15</v>
      </c>
      <c r="G877" s="6">
        <v>20906.37</v>
      </c>
      <c r="H877" s="6">
        <v>3417.98</v>
      </c>
      <c r="I877" s="27">
        <v>11905</v>
      </c>
      <c r="J877" s="27"/>
      <c r="K877" s="27">
        <f t="shared" si="90"/>
        <v>36229.35</v>
      </c>
      <c r="L877" s="39">
        <v>14000</v>
      </c>
      <c r="M877" s="9">
        <f t="shared" si="87"/>
        <v>0.38642702670624784</v>
      </c>
      <c r="N877" s="5">
        <v>1</v>
      </c>
      <c r="O877" s="10">
        <f t="shared" si="88"/>
        <v>0.38642702670624784</v>
      </c>
    </row>
    <row r="878" spans="2:15" ht="13.5" customHeight="1">
      <c r="B878" s="24">
        <v>48</v>
      </c>
      <c r="C878" s="25"/>
      <c r="D878" s="25"/>
      <c r="E878" s="26"/>
      <c r="F878" s="15" t="s">
        <v>15</v>
      </c>
      <c r="G878" s="6">
        <v>20906.37</v>
      </c>
      <c r="H878" s="6">
        <v>3417.98</v>
      </c>
      <c r="I878" s="27">
        <v>11905</v>
      </c>
      <c r="J878" s="27"/>
      <c r="K878" s="27">
        <f t="shared" si="90"/>
        <v>36229.35</v>
      </c>
      <c r="L878" s="39">
        <v>14000</v>
      </c>
      <c r="M878" s="9">
        <f t="shared" si="87"/>
        <v>0.38642702670624784</v>
      </c>
      <c r="N878" s="5">
        <v>1</v>
      </c>
      <c r="O878" s="10">
        <f t="shared" si="88"/>
        <v>0.38642702670624784</v>
      </c>
    </row>
    <row r="879" spans="2:15" ht="13.5" customHeight="1">
      <c r="B879" s="24">
        <v>49</v>
      </c>
      <c r="C879" s="25"/>
      <c r="D879" s="25"/>
      <c r="F879" s="15" t="s">
        <v>15</v>
      </c>
      <c r="G879" s="6">
        <v>20906.37</v>
      </c>
      <c r="H879" s="6">
        <v>3417.98</v>
      </c>
      <c r="I879" s="27">
        <v>11905</v>
      </c>
      <c r="J879" s="27"/>
      <c r="K879" s="27">
        <f t="shared" si="90"/>
        <v>36229.35</v>
      </c>
      <c r="L879" s="39">
        <v>14000</v>
      </c>
      <c r="M879" s="9">
        <f t="shared" si="87"/>
        <v>0.38642702670624784</v>
      </c>
      <c r="N879" s="5">
        <v>1</v>
      </c>
      <c r="O879" s="10">
        <f t="shared" si="88"/>
        <v>0.38642702670624784</v>
      </c>
    </row>
    <row r="880" spans="2:15" ht="13.5" customHeight="1">
      <c r="B880" s="24">
        <v>50</v>
      </c>
      <c r="C880" s="25"/>
      <c r="D880" s="25"/>
      <c r="E880" s="26"/>
      <c r="F880" s="15" t="s">
        <v>15</v>
      </c>
      <c r="G880" s="6">
        <v>20906.37</v>
      </c>
      <c r="H880" s="6">
        <v>3417.98</v>
      </c>
      <c r="I880" s="27">
        <v>11905</v>
      </c>
      <c r="J880" s="27"/>
      <c r="K880" s="27">
        <f t="shared" si="90"/>
        <v>36229.35</v>
      </c>
      <c r="L880" s="39">
        <v>14000</v>
      </c>
      <c r="M880" s="9">
        <f t="shared" si="87"/>
        <v>0.38642702670624784</v>
      </c>
      <c r="N880" s="5">
        <v>1</v>
      </c>
      <c r="O880" s="10">
        <f t="shared" si="88"/>
        <v>0.38642702670624784</v>
      </c>
    </row>
    <row r="881" spans="2:15" ht="13.5" customHeight="1">
      <c r="B881" s="24">
        <v>51</v>
      </c>
      <c r="C881" s="25"/>
      <c r="D881" s="25"/>
      <c r="E881" s="26"/>
      <c r="F881" s="15" t="s">
        <v>15</v>
      </c>
      <c r="G881" s="6">
        <v>20906.37</v>
      </c>
      <c r="H881" s="6">
        <v>3417.98</v>
      </c>
      <c r="I881" s="27">
        <v>11905</v>
      </c>
      <c r="J881" s="27"/>
      <c r="K881" s="27">
        <f t="shared" si="90"/>
        <v>36229.35</v>
      </c>
      <c r="L881" s="39">
        <v>14000</v>
      </c>
      <c r="M881" s="9">
        <f t="shared" si="87"/>
        <v>0.38642702670624784</v>
      </c>
      <c r="N881" s="5">
        <v>1</v>
      </c>
      <c r="O881" s="10">
        <f t="shared" si="88"/>
        <v>0.38642702670624784</v>
      </c>
    </row>
    <row r="882" spans="2:15" ht="13.5" customHeight="1">
      <c r="B882" s="24">
        <v>52</v>
      </c>
      <c r="C882" s="25"/>
      <c r="D882" s="25"/>
      <c r="F882" s="15" t="s">
        <v>15</v>
      </c>
      <c r="G882" s="6">
        <v>20906.37</v>
      </c>
      <c r="H882" s="6">
        <v>3417.98</v>
      </c>
      <c r="I882" s="27">
        <v>11905</v>
      </c>
      <c r="J882" s="27"/>
      <c r="K882" s="27">
        <f t="shared" si="90"/>
        <v>36229.35</v>
      </c>
      <c r="L882" s="39">
        <v>14000</v>
      </c>
      <c r="M882" s="9">
        <f t="shared" si="87"/>
        <v>0.38642702670624784</v>
      </c>
      <c r="N882" s="5">
        <v>1</v>
      </c>
      <c r="O882" s="10">
        <f t="shared" si="88"/>
        <v>0.38642702670624784</v>
      </c>
    </row>
    <row r="883" spans="2:15" ht="13.5" customHeight="1">
      <c r="B883" s="24">
        <v>53</v>
      </c>
      <c r="C883" s="25"/>
      <c r="D883" s="25"/>
      <c r="F883" s="15" t="s">
        <v>15</v>
      </c>
      <c r="G883" s="6">
        <v>20906.37</v>
      </c>
      <c r="H883" s="6">
        <v>3417.98</v>
      </c>
      <c r="I883" s="27">
        <v>11905</v>
      </c>
      <c r="J883" s="27"/>
      <c r="K883" s="27">
        <f t="shared" si="90"/>
        <v>36229.35</v>
      </c>
      <c r="L883" s="39">
        <v>17500</v>
      </c>
      <c r="M883" s="9">
        <f t="shared" si="87"/>
        <v>0.48303378338280983</v>
      </c>
      <c r="N883" s="5">
        <v>1</v>
      </c>
      <c r="O883" s="10">
        <f t="shared" si="88"/>
        <v>0.48303378338280983</v>
      </c>
    </row>
    <row r="884" spans="2:15" ht="13.5" customHeight="1">
      <c r="B884" s="24">
        <v>54</v>
      </c>
      <c r="C884" s="25"/>
      <c r="D884" s="25"/>
      <c r="E884" s="26"/>
      <c r="F884" s="15" t="s">
        <v>15</v>
      </c>
      <c r="G884" s="6">
        <v>20906.37</v>
      </c>
      <c r="H884" s="6">
        <v>3417.98</v>
      </c>
      <c r="I884" s="27">
        <v>11905</v>
      </c>
      <c r="J884" s="27"/>
      <c r="K884" s="27">
        <f t="shared" si="90"/>
        <v>36229.35</v>
      </c>
      <c r="L884" s="39">
        <v>14000</v>
      </c>
      <c r="M884" s="9">
        <f t="shared" si="87"/>
        <v>0.38642702670624784</v>
      </c>
      <c r="N884" s="5">
        <v>1</v>
      </c>
      <c r="O884" s="10">
        <f t="shared" si="88"/>
        <v>0.38642702670624784</v>
      </c>
    </row>
    <row r="885" spans="2:15" ht="13.5" customHeight="1">
      <c r="B885" s="24">
        <v>55</v>
      </c>
      <c r="C885" s="25"/>
      <c r="D885" s="25"/>
      <c r="E885" s="26"/>
      <c r="F885" s="15" t="s">
        <v>15</v>
      </c>
      <c r="G885" s="6">
        <v>20906.37</v>
      </c>
      <c r="H885" s="6">
        <v>3417.98</v>
      </c>
      <c r="I885" s="27">
        <v>11905</v>
      </c>
      <c r="J885" s="27"/>
      <c r="K885" s="27">
        <f t="shared" si="90"/>
        <v>36229.35</v>
      </c>
      <c r="L885" s="39">
        <v>14000</v>
      </c>
      <c r="M885" s="9">
        <f t="shared" si="87"/>
        <v>0.38642702670624784</v>
      </c>
      <c r="N885" s="5">
        <v>1</v>
      </c>
      <c r="O885" s="10">
        <f t="shared" si="88"/>
        <v>0.38642702670624784</v>
      </c>
    </row>
    <row r="886" spans="2:15" ht="13.5" customHeight="1">
      <c r="B886" s="24">
        <v>56</v>
      </c>
      <c r="C886" s="25"/>
      <c r="D886" s="25"/>
      <c r="F886" s="15" t="s">
        <v>15</v>
      </c>
      <c r="G886" s="6">
        <v>20906.37</v>
      </c>
      <c r="H886" s="6">
        <v>3417.98</v>
      </c>
      <c r="I886" s="27">
        <v>11905</v>
      </c>
      <c r="J886" s="27"/>
      <c r="K886" s="27">
        <f t="shared" si="90"/>
        <v>36229.35</v>
      </c>
      <c r="L886" s="39">
        <v>14000</v>
      </c>
      <c r="M886" s="9">
        <f t="shared" si="87"/>
        <v>0.38642702670624784</v>
      </c>
      <c r="N886" s="5">
        <v>1</v>
      </c>
      <c r="O886" s="10">
        <f t="shared" si="88"/>
        <v>0.38642702670624784</v>
      </c>
    </row>
    <row r="887" spans="2:15" ht="13.5" customHeight="1">
      <c r="B887" s="24">
        <v>57</v>
      </c>
      <c r="C887" s="25"/>
      <c r="D887" s="25"/>
      <c r="E887" s="26"/>
      <c r="F887" s="15" t="s">
        <v>15</v>
      </c>
      <c r="G887" s="6">
        <v>20906.37</v>
      </c>
      <c r="H887" s="6">
        <v>3417.98</v>
      </c>
      <c r="I887" s="27">
        <v>11905</v>
      </c>
      <c r="J887" s="27"/>
      <c r="K887" s="27">
        <f t="shared" si="90"/>
        <v>36229.35</v>
      </c>
      <c r="L887" s="39">
        <v>17500</v>
      </c>
      <c r="M887" s="9">
        <f t="shared" si="87"/>
        <v>0.48303378338280983</v>
      </c>
      <c r="N887" s="5">
        <v>1</v>
      </c>
      <c r="O887" s="10">
        <f t="shared" si="88"/>
        <v>0.48303378338280983</v>
      </c>
    </row>
    <row r="888" spans="2:15" ht="13.5" customHeight="1">
      <c r="B888" s="24">
        <v>58</v>
      </c>
      <c r="C888" s="25"/>
      <c r="D888" s="25"/>
      <c r="F888" s="15" t="s">
        <v>15</v>
      </c>
      <c r="G888" s="6">
        <v>20906.37</v>
      </c>
      <c r="H888" s="6">
        <v>3417.98</v>
      </c>
      <c r="I888" s="27">
        <v>11905</v>
      </c>
      <c r="J888" s="27"/>
      <c r="K888" s="27">
        <f t="shared" si="90"/>
        <v>36229.35</v>
      </c>
      <c r="L888" s="39">
        <v>14000</v>
      </c>
      <c r="M888" s="9">
        <f t="shared" si="87"/>
        <v>0.38642702670624784</v>
      </c>
      <c r="N888" s="5">
        <v>1</v>
      </c>
      <c r="O888" s="10">
        <f t="shared" si="88"/>
        <v>0.38642702670624784</v>
      </c>
    </row>
    <row r="889" spans="2:15" ht="13.5" customHeight="1">
      <c r="B889" s="24">
        <v>59</v>
      </c>
      <c r="C889" s="25"/>
      <c r="D889" s="25"/>
      <c r="F889" s="15" t="s">
        <v>15</v>
      </c>
      <c r="G889" s="6">
        <v>20906.37</v>
      </c>
      <c r="H889" s="6">
        <v>3417.98</v>
      </c>
      <c r="I889" s="27">
        <v>11905</v>
      </c>
      <c r="J889" s="27"/>
      <c r="K889" s="27">
        <f t="shared" si="90"/>
        <v>36229.35</v>
      </c>
      <c r="L889" s="39">
        <v>14000</v>
      </c>
      <c r="M889" s="9">
        <f t="shared" si="87"/>
        <v>0.38642702670624784</v>
      </c>
      <c r="N889" s="5">
        <v>1</v>
      </c>
      <c r="O889" s="10">
        <f t="shared" si="88"/>
        <v>0.38642702670624784</v>
      </c>
    </row>
    <row r="890" spans="2:15" ht="13.5" customHeight="1">
      <c r="B890" s="24">
        <v>60</v>
      </c>
      <c r="C890" s="25"/>
      <c r="D890" s="25"/>
      <c r="E890" s="26"/>
      <c r="F890" s="15" t="s">
        <v>15</v>
      </c>
      <c r="G890" s="6">
        <v>20906.37</v>
      </c>
      <c r="H890" s="6">
        <v>3417.98</v>
      </c>
      <c r="I890" s="27">
        <v>11905</v>
      </c>
      <c r="J890" s="27"/>
      <c r="K890" s="27">
        <f t="shared" si="90"/>
        <v>36229.35</v>
      </c>
      <c r="L890" s="39">
        <v>14000</v>
      </c>
      <c r="M890" s="9">
        <f t="shared" si="87"/>
        <v>0.38642702670624784</v>
      </c>
      <c r="N890" s="5">
        <v>1</v>
      </c>
      <c r="O890" s="10">
        <f t="shared" si="88"/>
        <v>0.38642702670624784</v>
      </c>
    </row>
    <row r="891" spans="2:15" ht="13.5" customHeight="1">
      <c r="B891" s="24">
        <v>61</v>
      </c>
      <c r="C891" s="25"/>
      <c r="D891" s="25"/>
      <c r="F891" s="15" t="s">
        <v>15</v>
      </c>
      <c r="G891" s="6">
        <v>20906.37</v>
      </c>
      <c r="H891" s="6">
        <v>3417.98</v>
      </c>
      <c r="I891" s="27">
        <v>11905</v>
      </c>
      <c r="J891" s="27"/>
      <c r="K891" s="27">
        <f t="shared" si="90"/>
        <v>36229.35</v>
      </c>
      <c r="L891" s="39">
        <v>14000</v>
      </c>
      <c r="M891" s="9">
        <f t="shared" si="87"/>
        <v>0.38642702670624784</v>
      </c>
      <c r="N891" s="5">
        <v>1</v>
      </c>
      <c r="O891" s="10">
        <f t="shared" si="88"/>
        <v>0.38642702670624784</v>
      </c>
    </row>
    <row r="892" spans="2:15" ht="13.5" customHeight="1">
      <c r="B892" s="24">
        <v>62</v>
      </c>
      <c r="C892" s="25"/>
      <c r="D892" s="25"/>
      <c r="F892" s="15" t="s">
        <v>15</v>
      </c>
      <c r="G892" s="6">
        <v>20906.37</v>
      </c>
      <c r="H892" s="6">
        <v>3417.98</v>
      </c>
      <c r="I892" s="27">
        <v>11905</v>
      </c>
      <c r="J892" s="27"/>
      <c r="K892" s="27">
        <f t="shared" si="90"/>
        <v>36229.35</v>
      </c>
      <c r="L892" s="39">
        <v>17500</v>
      </c>
      <c r="M892" s="9">
        <f t="shared" si="87"/>
        <v>0.48303378338280983</v>
      </c>
      <c r="N892" s="5">
        <v>1</v>
      </c>
      <c r="O892" s="10">
        <f t="shared" si="88"/>
        <v>0.48303378338280983</v>
      </c>
    </row>
    <row r="893" spans="2:15" ht="13.5" customHeight="1">
      <c r="B893" s="24">
        <v>63</v>
      </c>
      <c r="C893" s="25"/>
      <c r="D893" s="25"/>
      <c r="E893" s="26"/>
      <c r="F893" s="15" t="s">
        <v>15</v>
      </c>
      <c r="G893" s="6">
        <v>20906.37</v>
      </c>
      <c r="H893" s="6">
        <v>3417.98</v>
      </c>
      <c r="I893" s="27">
        <v>11905</v>
      </c>
      <c r="J893" s="27"/>
      <c r="K893" s="27">
        <f t="shared" si="90"/>
        <v>36229.35</v>
      </c>
      <c r="L893" s="39">
        <v>14000</v>
      </c>
      <c r="M893" s="9">
        <f t="shared" si="87"/>
        <v>0.38642702670624784</v>
      </c>
      <c r="N893" s="5">
        <v>1</v>
      </c>
      <c r="O893" s="10">
        <f t="shared" si="88"/>
        <v>0.38642702670624784</v>
      </c>
    </row>
    <row r="894" spans="2:15" ht="13.5" customHeight="1">
      <c r="B894" s="24">
        <v>64</v>
      </c>
      <c r="C894" s="25"/>
      <c r="D894" s="25"/>
      <c r="E894" s="26"/>
      <c r="F894" s="15" t="s">
        <v>15</v>
      </c>
      <c r="G894" s="6">
        <v>20906.37</v>
      </c>
      <c r="H894" s="6">
        <v>3417.98</v>
      </c>
      <c r="I894" s="27">
        <v>11905</v>
      </c>
      <c r="J894" s="27"/>
      <c r="K894" s="27">
        <f t="shared" si="90"/>
        <v>36229.35</v>
      </c>
      <c r="L894" s="39">
        <v>14000</v>
      </c>
      <c r="M894" s="9">
        <f t="shared" ref="M894:M957" si="91">L894/K894</f>
        <v>0.38642702670624784</v>
      </c>
      <c r="N894" s="5">
        <v>1</v>
      </c>
      <c r="O894" s="10">
        <f t="shared" ref="O894:O957" si="92">N894*M894</f>
        <v>0.38642702670624784</v>
      </c>
    </row>
    <row r="895" spans="2:15" ht="13.5" customHeight="1">
      <c r="B895" s="24">
        <v>65</v>
      </c>
      <c r="C895" s="25"/>
      <c r="D895" s="25"/>
      <c r="E895" s="26"/>
      <c r="F895" s="15" t="s">
        <v>15</v>
      </c>
      <c r="G895" s="6">
        <v>20906.37</v>
      </c>
      <c r="H895" s="6">
        <v>3417.98</v>
      </c>
      <c r="I895" s="27">
        <v>11905</v>
      </c>
      <c r="J895" s="27"/>
      <c r="K895" s="27">
        <f t="shared" si="90"/>
        <v>36229.35</v>
      </c>
      <c r="L895" s="39">
        <v>14000</v>
      </c>
      <c r="M895" s="9">
        <f t="shared" si="91"/>
        <v>0.38642702670624784</v>
      </c>
      <c r="N895" s="5">
        <v>1</v>
      </c>
      <c r="O895" s="10">
        <f t="shared" si="92"/>
        <v>0.38642702670624784</v>
      </c>
    </row>
    <row r="896" spans="2:15" ht="13.5" customHeight="1">
      <c r="B896" s="24">
        <v>66</v>
      </c>
      <c r="C896" s="25"/>
      <c r="D896" s="25"/>
      <c r="E896" s="26"/>
      <c r="F896" s="15" t="s">
        <v>15</v>
      </c>
      <c r="G896" s="6">
        <v>20906.37</v>
      </c>
      <c r="H896" s="6">
        <v>3417.98</v>
      </c>
      <c r="I896" s="27">
        <v>11905</v>
      </c>
      <c r="J896" s="27"/>
      <c r="K896" s="27">
        <f t="shared" ref="K896:K959" si="93">SUM(G896:I896)</f>
        <v>36229.35</v>
      </c>
      <c r="L896" s="39">
        <v>14000</v>
      </c>
      <c r="M896" s="9">
        <f t="shared" si="91"/>
        <v>0.38642702670624784</v>
      </c>
      <c r="N896" s="5">
        <v>1</v>
      </c>
      <c r="O896" s="10">
        <f t="shared" si="92"/>
        <v>0.38642702670624784</v>
      </c>
    </row>
    <row r="897" spans="2:15" ht="13.5" customHeight="1">
      <c r="B897" s="24">
        <v>67</v>
      </c>
      <c r="C897" s="25"/>
      <c r="D897" s="25"/>
      <c r="E897" s="26"/>
      <c r="F897" s="15" t="s">
        <v>15</v>
      </c>
      <c r="G897" s="6">
        <v>20906.37</v>
      </c>
      <c r="H897" s="6">
        <v>3417.98</v>
      </c>
      <c r="I897" s="27">
        <v>11905</v>
      </c>
      <c r="J897" s="27"/>
      <c r="K897" s="27">
        <f t="shared" si="93"/>
        <v>36229.35</v>
      </c>
      <c r="L897" s="39">
        <v>14000</v>
      </c>
      <c r="M897" s="9">
        <f t="shared" si="91"/>
        <v>0.38642702670624784</v>
      </c>
      <c r="N897" s="5">
        <v>1</v>
      </c>
      <c r="O897" s="10">
        <f t="shared" si="92"/>
        <v>0.38642702670624784</v>
      </c>
    </row>
    <row r="898" spans="2:15" ht="13.5" customHeight="1">
      <c r="B898" s="24">
        <v>68</v>
      </c>
      <c r="C898" s="25"/>
      <c r="D898" s="25"/>
      <c r="E898" s="26"/>
      <c r="F898" s="15" t="s">
        <v>15</v>
      </c>
      <c r="G898" s="6">
        <v>20906.37</v>
      </c>
      <c r="H898" s="6">
        <v>3417.98</v>
      </c>
      <c r="I898" s="27">
        <v>11905</v>
      </c>
      <c r="J898" s="27"/>
      <c r="K898" s="27">
        <f t="shared" si="93"/>
        <v>36229.35</v>
      </c>
      <c r="L898" s="39">
        <v>17500</v>
      </c>
      <c r="M898" s="9">
        <f t="shared" si="91"/>
        <v>0.48303378338280983</v>
      </c>
      <c r="N898" s="5">
        <v>1</v>
      </c>
      <c r="O898" s="10">
        <f t="shared" si="92"/>
        <v>0.48303378338280983</v>
      </c>
    </row>
    <row r="899" spans="2:15" ht="13.5" customHeight="1">
      <c r="B899" s="24">
        <v>69</v>
      </c>
      <c r="C899" s="25"/>
      <c r="D899" s="25"/>
      <c r="E899" s="26"/>
      <c r="F899" s="15" t="s">
        <v>15</v>
      </c>
      <c r="G899" s="6">
        <v>20906.37</v>
      </c>
      <c r="H899" s="6">
        <v>3417.98</v>
      </c>
      <c r="I899" s="27">
        <v>11905</v>
      </c>
      <c r="J899" s="27"/>
      <c r="K899" s="27">
        <f t="shared" si="93"/>
        <v>36229.35</v>
      </c>
      <c r="L899" s="39">
        <v>14000</v>
      </c>
      <c r="M899" s="9">
        <f t="shared" si="91"/>
        <v>0.38642702670624784</v>
      </c>
      <c r="N899" s="5">
        <v>1</v>
      </c>
      <c r="O899" s="10">
        <f t="shared" si="92"/>
        <v>0.38642702670624784</v>
      </c>
    </row>
    <row r="900" spans="2:15" ht="13.5" customHeight="1">
      <c r="B900" s="24">
        <v>70</v>
      </c>
      <c r="C900" s="25"/>
      <c r="D900" s="25"/>
      <c r="E900" s="26"/>
      <c r="F900" s="15" t="s">
        <v>15</v>
      </c>
      <c r="G900" s="6">
        <v>20906.37</v>
      </c>
      <c r="H900" s="6">
        <v>3417.98</v>
      </c>
      <c r="I900" s="27">
        <v>11905</v>
      </c>
      <c r="J900" s="27"/>
      <c r="K900" s="27">
        <f t="shared" si="93"/>
        <v>36229.35</v>
      </c>
      <c r="L900" s="39">
        <v>14000</v>
      </c>
      <c r="M900" s="9">
        <f t="shared" si="91"/>
        <v>0.38642702670624784</v>
      </c>
      <c r="N900" s="5">
        <v>1</v>
      </c>
      <c r="O900" s="10">
        <f t="shared" si="92"/>
        <v>0.38642702670624784</v>
      </c>
    </row>
    <row r="901" spans="2:15" ht="13.5" customHeight="1">
      <c r="B901" s="24">
        <v>71</v>
      </c>
      <c r="C901" s="25"/>
      <c r="D901" s="25"/>
      <c r="F901" s="15" t="s">
        <v>15</v>
      </c>
      <c r="G901" s="6">
        <v>20906.37</v>
      </c>
      <c r="H901" s="6">
        <v>3417.98</v>
      </c>
      <c r="I901" s="27">
        <v>11905</v>
      </c>
      <c r="J901" s="27"/>
      <c r="K901" s="27">
        <f t="shared" si="93"/>
        <v>36229.35</v>
      </c>
      <c r="L901" s="39">
        <v>14000</v>
      </c>
      <c r="M901" s="9">
        <f t="shared" si="91"/>
        <v>0.38642702670624784</v>
      </c>
      <c r="N901" s="5">
        <v>1</v>
      </c>
      <c r="O901" s="10">
        <f t="shared" si="92"/>
        <v>0.38642702670624784</v>
      </c>
    </row>
    <row r="902" spans="2:15" ht="13.5" customHeight="1">
      <c r="B902" s="24">
        <v>72</v>
      </c>
      <c r="C902" s="25"/>
      <c r="D902" s="25"/>
      <c r="E902" s="26"/>
      <c r="F902" s="15" t="s">
        <v>15</v>
      </c>
      <c r="G902" s="6">
        <v>20906.37</v>
      </c>
      <c r="H902" s="6">
        <v>3417.98</v>
      </c>
      <c r="I902" s="27">
        <v>11905</v>
      </c>
      <c r="J902" s="27"/>
      <c r="K902" s="27">
        <f t="shared" si="93"/>
        <v>36229.35</v>
      </c>
      <c r="L902" s="39">
        <v>14000</v>
      </c>
      <c r="M902" s="9">
        <f t="shared" si="91"/>
        <v>0.38642702670624784</v>
      </c>
      <c r="N902" s="5">
        <v>1</v>
      </c>
      <c r="O902" s="10">
        <f t="shared" si="92"/>
        <v>0.38642702670624784</v>
      </c>
    </row>
    <row r="903" spans="2:15" ht="13.5" customHeight="1">
      <c r="B903" s="24">
        <v>73</v>
      </c>
      <c r="C903" s="25"/>
      <c r="D903" s="25"/>
      <c r="E903" s="26"/>
      <c r="F903" s="15" t="s">
        <v>15</v>
      </c>
      <c r="G903" s="6">
        <v>20906.37</v>
      </c>
      <c r="H903" s="6">
        <v>3417.98</v>
      </c>
      <c r="I903" s="27">
        <v>11905</v>
      </c>
      <c r="J903" s="27"/>
      <c r="K903" s="27">
        <f t="shared" si="93"/>
        <v>36229.35</v>
      </c>
      <c r="L903" s="39">
        <v>14000</v>
      </c>
      <c r="M903" s="9">
        <f t="shared" si="91"/>
        <v>0.38642702670624784</v>
      </c>
      <c r="N903" s="5">
        <v>1</v>
      </c>
      <c r="O903" s="10">
        <f t="shared" si="92"/>
        <v>0.38642702670624784</v>
      </c>
    </row>
    <row r="904" spans="2:15" ht="13.5" customHeight="1">
      <c r="B904" s="24">
        <v>74</v>
      </c>
      <c r="C904" s="25"/>
      <c r="D904" s="25"/>
      <c r="F904" s="15" t="s">
        <v>15</v>
      </c>
      <c r="G904" s="6">
        <v>20906.37</v>
      </c>
      <c r="H904" s="6">
        <v>3417.98</v>
      </c>
      <c r="I904" s="27">
        <v>11905</v>
      </c>
      <c r="J904" s="27"/>
      <c r="K904" s="27">
        <f t="shared" si="93"/>
        <v>36229.35</v>
      </c>
      <c r="L904" s="39">
        <v>14000</v>
      </c>
      <c r="M904" s="9">
        <f t="shared" si="91"/>
        <v>0.38642702670624784</v>
      </c>
      <c r="N904" s="5">
        <v>1</v>
      </c>
      <c r="O904" s="10">
        <f t="shared" si="92"/>
        <v>0.38642702670624784</v>
      </c>
    </row>
    <row r="905" spans="2:15" ht="13.5" customHeight="1">
      <c r="B905" s="24">
        <v>75</v>
      </c>
      <c r="C905" s="25"/>
      <c r="D905" s="25"/>
      <c r="F905" s="15" t="s">
        <v>15</v>
      </c>
      <c r="G905" s="6">
        <v>20906.37</v>
      </c>
      <c r="H905" s="6">
        <v>3417.98</v>
      </c>
      <c r="I905" s="27">
        <v>11905</v>
      </c>
      <c r="J905" s="27"/>
      <c r="K905" s="27">
        <f t="shared" si="93"/>
        <v>36229.35</v>
      </c>
      <c r="L905" s="39">
        <v>17500</v>
      </c>
      <c r="M905" s="9">
        <f t="shared" si="91"/>
        <v>0.48303378338280983</v>
      </c>
      <c r="N905" s="5">
        <v>1</v>
      </c>
      <c r="O905" s="10">
        <f t="shared" si="92"/>
        <v>0.48303378338280983</v>
      </c>
    </row>
    <row r="906" spans="2:15" ht="13.5" customHeight="1">
      <c r="B906" s="24">
        <v>76</v>
      </c>
      <c r="C906" s="25"/>
      <c r="D906" s="25"/>
      <c r="E906" s="26"/>
      <c r="F906" s="15" t="s">
        <v>15</v>
      </c>
      <c r="G906" s="6">
        <v>20906.37</v>
      </c>
      <c r="H906" s="6">
        <v>3417.98</v>
      </c>
      <c r="I906" s="27">
        <v>11905</v>
      </c>
      <c r="J906" s="27"/>
      <c r="K906" s="27">
        <f t="shared" si="93"/>
        <v>36229.35</v>
      </c>
      <c r="L906" s="39">
        <v>17500</v>
      </c>
      <c r="M906" s="9">
        <f t="shared" si="91"/>
        <v>0.48303378338280983</v>
      </c>
      <c r="N906" s="5">
        <v>1</v>
      </c>
      <c r="O906" s="10">
        <f t="shared" si="92"/>
        <v>0.48303378338280983</v>
      </c>
    </row>
    <row r="907" spans="2:15" ht="13.5" customHeight="1">
      <c r="B907" s="24">
        <v>77</v>
      </c>
      <c r="C907" s="25"/>
      <c r="D907" s="25"/>
      <c r="F907" s="15" t="s">
        <v>15</v>
      </c>
      <c r="G907" s="6">
        <v>20906.37</v>
      </c>
      <c r="H907" s="6">
        <v>3417.98</v>
      </c>
      <c r="I907" s="27">
        <v>11905</v>
      </c>
      <c r="J907" s="27"/>
      <c r="K907" s="27">
        <f t="shared" si="93"/>
        <v>36229.35</v>
      </c>
      <c r="L907" s="39">
        <v>14000</v>
      </c>
      <c r="M907" s="9">
        <f t="shared" si="91"/>
        <v>0.38642702670624784</v>
      </c>
      <c r="N907" s="5">
        <v>1</v>
      </c>
      <c r="O907" s="10">
        <f t="shared" si="92"/>
        <v>0.38642702670624784</v>
      </c>
    </row>
    <row r="908" spans="2:15" ht="13.5" customHeight="1">
      <c r="B908" s="24">
        <v>78</v>
      </c>
      <c r="C908" s="25"/>
      <c r="D908" s="25"/>
      <c r="E908" s="26"/>
      <c r="F908" s="15" t="s">
        <v>15</v>
      </c>
      <c r="G908" s="6">
        <v>20906.37</v>
      </c>
      <c r="H908" s="6">
        <v>3417.98</v>
      </c>
      <c r="I908" s="27">
        <v>11905</v>
      </c>
      <c r="J908" s="27"/>
      <c r="K908" s="27">
        <f t="shared" si="93"/>
        <v>36229.35</v>
      </c>
      <c r="L908" s="39">
        <v>14000</v>
      </c>
      <c r="M908" s="9">
        <f t="shared" si="91"/>
        <v>0.38642702670624784</v>
      </c>
      <c r="N908" s="5">
        <v>1</v>
      </c>
      <c r="O908" s="10">
        <f t="shared" si="92"/>
        <v>0.38642702670624784</v>
      </c>
    </row>
    <row r="909" spans="2:15" ht="13.5" customHeight="1">
      <c r="B909" s="24">
        <v>79</v>
      </c>
      <c r="C909" s="25"/>
      <c r="D909" s="25"/>
      <c r="F909" s="15" t="s">
        <v>15</v>
      </c>
      <c r="G909" s="6">
        <v>20906.37</v>
      </c>
      <c r="H909" s="6">
        <v>3417.98</v>
      </c>
      <c r="I909" s="27">
        <v>11905</v>
      </c>
      <c r="J909" s="27"/>
      <c r="K909" s="27">
        <f t="shared" si="93"/>
        <v>36229.35</v>
      </c>
      <c r="L909" s="39">
        <v>14000</v>
      </c>
      <c r="M909" s="9">
        <f t="shared" si="91"/>
        <v>0.38642702670624784</v>
      </c>
      <c r="N909" s="5">
        <v>1</v>
      </c>
      <c r="O909" s="10">
        <f t="shared" si="92"/>
        <v>0.38642702670624784</v>
      </c>
    </row>
    <row r="910" spans="2:15" ht="13.5" customHeight="1">
      <c r="B910" s="24">
        <v>80</v>
      </c>
      <c r="C910" s="25"/>
      <c r="D910" s="25"/>
      <c r="F910" s="15" t="s">
        <v>15</v>
      </c>
      <c r="G910" s="6">
        <v>20906.37</v>
      </c>
      <c r="H910" s="6">
        <v>3417.98</v>
      </c>
      <c r="I910" s="27">
        <v>11905</v>
      </c>
      <c r="J910" s="27"/>
      <c r="K910" s="27">
        <f t="shared" si="93"/>
        <v>36229.35</v>
      </c>
      <c r="L910" s="39">
        <v>14000</v>
      </c>
      <c r="M910" s="9">
        <f t="shared" si="91"/>
        <v>0.38642702670624784</v>
      </c>
      <c r="N910" s="5">
        <v>1</v>
      </c>
      <c r="O910" s="10">
        <f t="shared" si="92"/>
        <v>0.38642702670624784</v>
      </c>
    </row>
    <row r="911" spans="2:15" ht="13.5" customHeight="1">
      <c r="B911" s="24">
        <v>81</v>
      </c>
      <c r="C911" s="25"/>
      <c r="D911" s="25"/>
      <c r="E911" s="26"/>
      <c r="F911" s="15" t="s">
        <v>15</v>
      </c>
      <c r="G911" s="6">
        <v>20906.37</v>
      </c>
      <c r="H911" s="6">
        <v>3417.98</v>
      </c>
      <c r="I911" s="27">
        <v>11905</v>
      </c>
      <c r="J911" s="27"/>
      <c r="K911" s="27">
        <f t="shared" si="93"/>
        <v>36229.35</v>
      </c>
      <c r="L911" s="39">
        <v>14000</v>
      </c>
      <c r="M911" s="9">
        <f t="shared" si="91"/>
        <v>0.38642702670624784</v>
      </c>
      <c r="N911" s="5">
        <v>1</v>
      </c>
      <c r="O911" s="10">
        <f t="shared" si="92"/>
        <v>0.38642702670624784</v>
      </c>
    </row>
    <row r="912" spans="2:15" ht="13.5" customHeight="1">
      <c r="B912" s="24">
        <v>82</v>
      </c>
      <c r="C912" s="25"/>
      <c r="D912" s="25"/>
      <c r="E912" s="26"/>
      <c r="F912" s="15" t="s">
        <v>15</v>
      </c>
      <c r="G912" s="6">
        <v>20906.37</v>
      </c>
      <c r="H912" s="6">
        <v>3417.98</v>
      </c>
      <c r="I912" s="27">
        <v>11905</v>
      </c>
      <c r="J912" s="27"/>
      <c r="K912" s="27">
        <f t="shared" si="93"/>
        <v>36229.35</v>
      </c>
      <c r="L912" s="39">
        <v>14000</v>
      </c>
      <c r="M912" s="9">
        <f t="shared" si="91"/>
        <v>0.38642702670624784</v>
      </c>
      <c r="N912" s="5">
        <v>1</v>
      </c>
      <c r="O912" s="10">
        <f t="shared" si="92"/>
        <v>0.38642702670624784</v>
      </c>
    </row>
    <row r="913" spans="2:15" ht="13.5" customHeight="1">
      <c r="B913" s="24">
        <v>83</v>
      </c>
      <c r="C913" s="25"/>
      <c r="D913" s="25"/>
      <c r="E913" s="26"/>
      <c r="F913" s="15" t="s">
        <v>15</v>
      </c>
      <c r="G913" s="6">
        <v>20906.37</v>
      </c>
      <c r="H913" s="6">
        <v>3417.98</v>
      </c>
      <c r="I913" s="27">
        <v>11905</v>
      </c>
      <c r="J913" s="27"/>
      <c r="K913" s="27">
        <f t="shared" si="93"/>
        <v>36229.35</v>
      </c>
      <c r="L913" s="39">
        <v>14000</v>
      </c>
      <c r="M913" s="9">
        <f t="shared" si="91"/>
        <v>0.38642702670624784</v>
      </c>
      <c r="N913" s="5">
        <v>1</v>
      </c>
      <c r="O913" s="10">
        <f t="shared" si="92"/>
        <v>0.38642702670624784</v>
      </c>
    </row>
    <row r="914" spans="2:15" ht="13.5" customHeight="1">
      <c r="B914" s="24">
        <v>84</v>
      </c>
      <c r="C914" s="25"/>
      <c r="D914" s="25"/>
      <c r="E914" s="26"/>
      <c r="F914" s="15" t="s">
        <v>15</v>
      </c>
      <c r="G914" s="6">
        <v>20906.37</v>
      </c>
      <c r="H914" s="6">
        <v>3417.98</v>
      </c>
      <c r="I914" s="27">
        <v>11905</v>
      </c>
      <c r="J914" s="27"/>
      <c r="K914" s="27">
        <f t="shared" si="93"/>
        <v>36229.35</v>
      </c>
      <c r="L914" s="39">
        <v>14000</v>
      </c>
      <c r="M914" s="9">
        <f t="shared" si="91"/>
        <v>0.38642702670624784</v>
      </c>
      <c r="N914" s="5">
        <v>1</v>
      </c>
      <c r="O914" s="10">
        <f t="shared" si="92"/>
        <v>0.38642702670624784</v>
      </c>
    </row>
    <row r="915" spans="2:15" ht="13.5" customHeight="1">
      <c r="B915" s="24">
        <v>85</v>
      </c>
      <c r="C915" s="25"/>
      <c r="D915" s="25"/>
      <c r="E915" s="26"/>
      <c r="F915" s="15" t="s">
        <v>15</v>
      </c>
      <c r="G915" s="6">
        <v>20906.37</v>
      </c>
      <c r="H915" s="6">
        <v>3417.98</v>
      </c>
      <c r="I915" s="27">
        <v>11905</v>
      </c>
      <c r="J915" s="27"/>
      <c r="K915" s="27">
        <f t="shared" si="93"/>
        <v>36229.35</v>
      </c>
      <c r="L915" s="39">
        <v>14000</v>
      </c>
      <c r="M915" s="9">
        <f t="shared" si="91"/>
        <v>0.38642702670624784</v>
      </c>
      <c r="N915" s="5">
        <v>1</v>
      </c>
      <c r="O915" s="10">
        <f t="shared" si="92"/>
        <v>0.38642702670624784</v>
      </c>
    </row>
    <row r="916" spans="2:15" ht="13.5" customHeight="1">
      <c r="B916" s="24">
        <v>86</v>
      </c>
      <c r="C916" s="25"/>
      <c r="D916" s="25"/>
      <c r="F916" s="15" t="s">
        <v>15</v>
      </c>
      <c r="G916" s="6">
        <v>20906.37</v>
      </c>
      <c r="H916" s="6">
        <v>3417.98</v>
      </c>
      <c r="I916" s="27">
        <v>11905</v>
      </c>
      <c r="J916" s="27"/>
      <c r="K916" s="27">
        <f t="shared" si="93"/>
        <v>36229.35</v>
      </c>
      <c r="L916" s="39">
        <v>17500</v>
      </c>
      <c r="M916" s="9">
        <f t="shared" si="91"/>
        <v>0.48303378338280983</v>
      </c>
      <c r="N916" s="5">
        <v>1</v>
      </c>
      <c r="O916" s="10">
        <f t="shared" si="92"/>
        <v>0.48303378338280983</v>
      </c>
    </row>
    <row r="917" spans="2:15" ht="13.5" customHeight="1">
      <c r="B917" s="24">
        <v>87</v>
      </c>
      <c r="C917" s="25"/>
      <c r="D917" s="25"/>
      <c r="F917" s="15" t="s">
        <v>15</v>
      </c>
      <c r="G917" s="6">
        <v>20906.37</v>
      </c>
      <c r="H917" s="6">
        <v>3417.98</v>
      </c>
      <c r="I917" s="27">
        <v>11905</v>
      </c>
      <c r="J917" s="27"/>
      <c r="K917" s="27">
        <f t="shared" si="93"/>
        <v>36229.35</v>
      </c>
      <c r="L917" s="39">
        <v>14000</v>
      </c>
      <c r="M917" s="9">
        <f t="shared" si="91"/>
        <v>0.38642702670624784</v>
      </c>
      <c r="N917" s="5">
        <v>1</v>
      </c>
      <c r="O917" s="10">
        <f t="shared" si="92"/>
        <v>0.38642702670624784</v>
      </c>
    </row>
    <row r="918" spans="2:15" ht="13.5" customHeight="1">
      <c r="B918" s="24">
        <v>88</v>
      </c>
      <c r="C918" s="25"/>
      <c r="D918" s="25"/>
      <c r="E918" s="26"/>
      <c r="F918" s="15" t="s">
        <v>15</v>
      </c>
      <c r="G918" s="6">
        <v>20906.37</v>
      </c>
      <c r="H918" s="6">
        <v>3417.98</v>
      </c>
      <c r="I918" s="27">
        <v>11905</v>
      </c>
      <c r="J918" s="27"/>
      <c r="K918" s="27">
        <f t="shared" si="93"/>
        <v>36229.35</v>
      </c>
      <c r="L918" s="39">
        <v>14000</v>
      </c>
      <c r="M918" s="9">
        <f t="shared" si="91"/>
        <v>0.38642702670624784</v>
      </c>
      <c r="N918" s="5">
        <v>1</v>
      </c>
      <c r="O918" s="10">
        <f t="shared" si="92"/>
        <v>0.38642702670624784</v>
      </c>
    </row>
    <row r="919" spans="2:15" ht="13.5" customHeight="1">
      <c r="B919" s="24">
        <v>89</v>
      </c>
      <c r="C919" s="25"/>
      <c r="D919" s="25"/>
      <c r="E919" s="26"/>
      <c r="F919" s="15" t="s">
        <v>15</v>
      </c>
      <c r="G919" s="6">
        <v>20906.37</v>
      </c>
      <c r="H919" s="6">
        <v>3417.98</v>
      </c>
      <c r="I919" s="27">
        <v>11905</v>
      </c>
      <c r="J919" s="27"/>
      <c r="K919" s="27">
        <f t="shared" si="93"/>
        <v>36229.35</v>
      </c>
      <c r="L919" s="39">
        <v>14000</v>
      </c>
      <c r="M919" s="9">
        <f t="shared" si="91"/>
        <v>0.38642702670624784</v>
      </c>
      <c r="N919" s="5">
        <v>1</v>
      </c>
      <c r="O919" s="10">
        <f t="shared" si="92"/>
        <v>0.38642702670624784</v>
      </c>
    </row>
    <row r="920" spans="2:15" ht="13.5" customHeight="1">
      <c r="B920" s="24">
        <v>90</v>
      </c>
      <c r="C920" s="25"/>
      <c r="D920" s="25"/>
      <c r="E920" s="26"/>
      <c r="F920" s="15" t="s">
        <v>15</v>
      </c>
      <c r="G920" s="6">
        <v>20906.37</v>
      </c>
      <c r="H920" s="6">
        <v>3417.98</v>
      </c>
      <c r="I920" s="27">
        <v>11905</v>
      </c>
      <c r="J920" s="27"/>
      <c r="K920" s="27">
        <f t="shared" si="93"/>
        <v>36229.35</v>
      </c>
      <c r="L920" s="39">
        <v>14000</v>
      </c>
      <c r="M920" s="9">
        <f t="shared" si="91"/>
        <v>0.38642702670624784</v>
      </c>
      <c r="N920" s="5">
        <v>1</v>
      </c>
      <c r="O920" s="10">
        <f t="shared" si="92"/>
        <v>0.38642702670624784</v>
      </c>
    </row>
    <row r="921" spans="2:15" ht="13.5" customHeight="1">
      <c r="B921" s="24">
        <v>91</v>
      </c>
      <c r="C921" s="25"/>
      <c r="D921" s="25"/>
      <c r="E921" s="26"/>
      <c r="F921" s="15" t="s">
        <v>15</v>
      </c>
      <c r="G921" s="6">
        <v>20906.37</v>
      </c>
      <c r="H921" s="6">
        <v>3417.98</v>
      </c>
      <c r="I921" s="27">
        <v>11905</v>
      </c>
      <c r="J921" s="27"/>
      <c r="K921" s="27">
        <f t="shared" si="93"/>
        <v>36229.35</v>
      </c>
      <c r="L921" s="39">
        <v>14000</v>
      </c>
      <c r="M921" s="9">
        <f t="shared" si="91"/>
        <v>0.38642702670624784</v>
      </c>
      <c r="N921" s="5">
        <v>1</v>
      </c>
      <c r="O921" s="10">
        <f t="shared" si="92"/>
        <v>0.38642702670624784</v>
      </c>
    </row>
    <row r="922" spans="2:15" ht="13.5" customHeight="1">
      <c r="B922" s="24">
        <v>92</v>
      </c>
      <c r="C922" s="25"/>
      <c r="D922" s="25"/>
      <c r="F922" s="15" t="s">
        <v>15</v>
      </c>
      <c r="G922" s="6">
        <v>20906.37</v>
      </c>
      <c r="H922" s="6">
        <v>3417.98</v>
      </c>
      <c r="I922" s="27">
        <v>11905</v>
      </c>
      <c r="J922" s="27"/>
      <c r="K922" s="27">
        <f t="shared" si="93"/>
        <v>36229.35</v>
      </c>
      <c r="L922" s="39">
        <v>14000</v>
      </c>
      <c r="M922" s="9">
        <f t="shared" si="91"/>
        <v>0.38642702670624784</v>
      </c>
      <c r="N922" s="5">
        <v>1</v>
      </c>
      <c r="O922" s="10">
        <f t="shared" si="92"/>
        <v>0.38642702670624784</v>
      </c>
    </row>
    <row r="923" spans="2:15" ht="13.5" customHeight="1">
      <c r="B923" s="24">
        <v>93</v>
      </c>
      <c r="C923" s="25"/>
      <c r="D923" s="25"/>
      <c r="E923" s="26"/>
      <c r="F923" s="15" t="s">
        <v>15</v>
      </c>
      <c r="G923" s="6">
        <v>20906.37</v>
      </c>
      <c r="H923" s="6">
        <v>3417.98</v>
      </c>
      <c r="I923" s="27">
        <v>11905</v>
      </c>
      <c r="J923" s="27"/>
      <c r="K923" s="27">
        <f t="shared" si="93"/>
        <v>36229.35</v>
      </c>
      <c r="L923" s="39">
        <v>14000</v>
      </c>
      <c r="M923" s="9">
        <f t="shared" si="91"/>
        <v>0.38642702670624784</v>
      </c>
      <c r="N923" s="5">
        <v>1</v>
      </c>
      <c r="O923" s="10">
        <f t="shared" si="92"/>
        <v>0.38642702670624784</v>
      </c>
    </row>
    <row r="924" spans="2:15" ht="13.5" customHeight="1">
      <c r="B924" s="24">
        <v>94</v>
      </c>
      <c r="C924" s="25"/>
      <c r="D924" s="25"/>
      <c r="E924" s="26"/>
      <c r="F924" s="15" t="s">
        <v>15</v>
      </c>
      <c r="G924" s="6">
        <v>20906.37</v>
      </c>
      <c r="H924" s="6">
        <v>3417.98</v>
      </c>
      <c r="I924" s="27">
        <v>11905</v>
      </c>
      <c r="J924" s="27"/>
      <c r="K924" s="27">
        <f t="shared" si="93"/>
        <v>36229.35</v>
      </c>
      <c r="L924" s="39">
        <v>14000</v>
      </c>
      <c r="M924" s="9">
        <f t="shared" si="91"/>
        <v>0.38642702670624784</v>
      </c>
      <c r="N924" s="5">
        <v>1</v>
      </c>
      <c r="O924" s="10">
        <f t="shared" si="92"/>
        <v>0.38642702670624784</v>
      </c>
    </row>
    <row r="925" spans="2:15" ht="13.5" customHeight="1">
      <c r="B925" s="24">
        <v>95</v>
      </c>
      <c r="C925" s="25"/>
      <c r="D925" s="25"/>
      <c r="E925" s="26"/>
      <c r="F925" s="15" t="s">
        <v>15</v>
      </c>
      <c r="G925" s="6">
        <v>20906.37</v>
      </c>
      <c r="H925" s="6">
        <v>3417.98</v>
      </c>
      <c r="I925" s="27">
        <v>11905</v>
      </c>
      <c r="J925" s="27"/>
      <c r="K925" s="27">
        <f t="shared" si="93"/>
        <v>36229.35</v>
      </c>
      <c r="L925" s="39">
        <v>14000</v>
      </c>
      <c r="M925" s="9">
        <f t="shared" si="91"/>
        <v>0.38642702670624784</v>
      </c>
      <c r="N925" s="5">
        <v>1</v>
      </c>
      <c r="O925" s="10">
        <f t="shared" si="92"/>
        <v>0.38642702670624784</v>
      </c>
    </row>
    <row r="926" spans="2:15" ht="13.5" customHeight="1">
      <c r="B926" s="24">
        <v>96</v>
      </c>
      <c r="C926" s="25"/>
      <c r="D926" s="25"/>
      <c r="E926" s="26"/>
      <c r="F926" s="15" t="s">
        <v>15</v>
      </c>
      <c r="G926" s="6">
        <v>20906.37</v>
      </c>
      <c r="H926" s="6">
        <v>3417.98</v>
      </c>
      <c r="I926" s="27">
        <v>11905</v>
      </c>
      <c r="J926" s="27"/>
      <c r="K926" s="27">
        <f t="shared" si="93"/>
        <v>36229.35</v>
      </c>
      <c r="L926" s="39">
        <v>14000</v>
      </c>
      <c r="M926" s="9">
        <f t="shared" si="91"/>
        <v>0.38642702670624784</v>
      </c>
      <c r="N926" s="5">
        <v>1</v>
      </c>
      <c r="O926" s="10">
        <f t="shared" si="92"/>
        <v>0.38642702670624784</v>
      </c>
    </row>
    <row r="927" spans="2:15" ht="13.5" customHeight="1">
      <c r="B927" s="24">
        <v>97</v>
      </c>
      <c r="C927" s="25"/>
      <c r="D927" s="25"/>
      <c r="E927" s="25"/>
      <c r="F927" s="15" t="s">
        <v>15</v>
      </c>
      <c r="G927" s="6">
        <v>20906.37</v>
      </c>
      <c r="H927" s="6">
        <v>3417.98</v>
      </c>
      <c r="I927" s="27">
        <v>11905</v>
      </c>
      <c r="J927" s="27"/>
      <c r="K927" s="27">
        <f t="shared" si="93"/>
        <v>36229.35</v>
      </c>
      <c r="L927" s="39">
        <v>14000</v>
      </c>
      <c r="M927" s="9">
        <f t="shared" si="91"/>
        <v>0.38642702670624784</v>
      </c>
      <c r="N927" s="5">
        <v>1</v>
      </c>
      <c r="O927" s="10">
        <f t="shared" si="92"/>
        <v>0.38642702670624784</v>
      </c>
    </row>
    <row r="928" spans="2:15" ht="13.5" customHeight="1">
      <c r="B928" s="24">
        <v>98</v>
      </c>
      <c r="C928" s="25"/>
      <c r="D928" s="25"/>
      <c r="E928" s="26"/>
      <c r="F928" s="15" t="s">
        <v>15</v>
      </c>
      <c r="G928" s="6">
        <v>20906.37</v>
      </c>
      <c r="H928" s="6">
        <v>3417.98</v>
      </c>
      <c r="I928" s="27">
        <v>11905</v>
      </c>
      <c r="J928" s="27"/>
      <c r="K928" s="27">
        <f t="shared" si="93"/>
        <v>36229.35</v>
      </c>
      <c r="L928" s="39">
        <v>14000</v>
      </c>
      <c r="M928" s="9">
        <f t="shared" si="91"/>
        <v>0.38642702670624784</v>
      </c>
      <c r="N928" s="5">
        <v>1</v>
      </c>
      <c r="O928" s="10">
        <f t="shared" si="92"/>
        <v>0.38642702670624784</v>
      </c>
    </row>
    <row r="929" spans="2:15" ht="13.5" customHeight="1">
      <c r="B929" s="24">
        <v>99</v>
      </c>
      <c r="C929" s="25"/>
      <c r="D929" s="25"/>
      <c r="E929" s="26"/>
      <c r="F929" s="15" t="s">
        <v>15</v>
      </c>
      <c r="G929" s="6">
        <v>20906.37</v>
      </c>
      <c r="H929" s="6">
        <v>3417.98</v>
      </c>
      <c r="I929" s="27">
        <v>11905</v>
      </c>
      <c r="J929" s="27"/>
      <c r="K929" s="27">
        <f t="shared" si="93"/>
        <v>36229.35</v>
      </c>
      <c r="L929" s="39">
        <v>14000</v>
      </c>
      <c r="M929" s="9">
        <f t="shared" si="91"/>
        <v>0.38642702670624784</v>
      </c>
      <c r="N929" s="5">
        <v>1</v>
      </c>
      <c r="O929" s="10">
        <f t="shared" si="92"/>
        <v>0.38642702670624784</v>
      </c>
    </row>
    <row r="930" spans="2:15" ht="13.5" customHeight="1">
      <c r="B930" s="24">
        <v>100</v>
      </c>
      <c r="C930" s="25"/>
      <c r="D930" s="25"/>
      <c r="E930" s="26"/>
      <c r="F930" s="15" t="s">
        <v>15</v>
      </c>
      <c r="G930" s="6">
        <v>20906.37</v>
      </c>
      <c r="H930" s="6">
        <v>3417.98</v>
      </c>
      <c r="I930" s="27">
        <v>11905</v>
      </c>
      <c r="J930" s="27"/>
      <c r="K930" s="27">
        <f t="shared" si="93"/>
        <v>36229.35</v>
      </c>
      <c r="L930" s="39">
        <v>14000</v>
      </c>
      <c r="M930" s="9">
        <f t="shared" si="91"/>
        <v>0.38642702670624784</v>
      </c>
      <c r="N930" s="5">
        <v>1</v>
      </c>
      <c r="O930" s="10">
        <f t="shared" si="92"/>
        <v>0.38642702670624784</v>
      </c>
    </row>
    <row r="931" spans="2:15" ht="13.5" customHeight="1">
      <c r="B931" s="24">
        <v>101</v>
      </c>
      <c r="C931" s="25"/>
      <c r="D931" s="25"/>
      <c r="F931" s="15" t="s">
        <v>15</v>
      </c>
      <c r="G931" s="6">
        <v>20906.37</v>
      </c>
      <c r="H931" s="6">
        <v>3417.98</v>
      </c>
      <c r="I931" s="27">
        <v>11905</v>
      </c>
      <c r="J931" s="27"/>
      <c r="K931" s="27">
        <f t="shared" si="93"/>
        <v>36229.35</v>
      </c>
      <c r="L931" s="39">
        <v>14000</v>
      </c>
      <c r="M931" s="9">
        <f t="shared" si="91"/>
        <v>0.38642702670624784</v>
      </c>
      <c r="N931" s="5">
        <v>1</v>
      </c>
      <c r="O931" s="10">
        <f t="shared" si="92"/>
        <v>0.38642702670624784</v>
      </c>
    </row>
    <row r="932" spans="2:15" ht="13.5" customHeight="1">
      <c r="B932" s="24">
        <v>102</v>
      </c>
      <c r="C932" s="25"/>
      <c r="D932" s="25"/>
      <c r="E932" s="26"/>
      <c r="F932" s="15" t="s">
        <v>15</v>
      </c>
      <c r="G932" s="6">
        <v>20906.37</v>
      </c>
      <c r="H932" s="6">
        <v>3417.98</v>
      </c>
      <c r="I932" s="27">
        <v>11905</v>
      </c>
      <c r="J932" s="27"/>
      <c r="K932" s="27">
        <f t="shared" si="93"/>
        <v>36229.35</v>
      </c>
      <c r="L932" s="39">
        <v>14000</v>
      </c>
      <c r="M932" s="9">
        <f t="shared" si="91"/>
        <v>0.38642702670624784</v>
      </c>
      <c r="N932" s="5">
        <v>1</v>
      </c>
      <c r="O932" s="10">
        <f t="shared" si="92"/>
        <v>0.38642702670624784</v>
      </c>
    </row>
    <row r="933" spans="2:15" ht="13.5" customHeight="1">
      <c r="B933" s="24">
        <v>103</v>
      </c>
      <c r="C933" s="25"/>
      <c r="D933" s="25"/>
      <c r="E933" s="26"/>
      <c r="F933" s="15" t="s">
        <v>15</v>
      </c>
      <c r="G933" s="6">
        <v>20906.37</v>
      </c>
      <c r="H933" s="6">
        <v>3417.98</v>
      </c>
      <c r="I933" s="27">
        <v>11905</v>
      </c>
      <c r="J933" s="27"/>
      <c r="K933" s="27">
        <f t="shared" si="93"/>
        <v>36229.35</v>
      </c>
      <c r="L933" s="39">
        <v>14000</v>
      </c>
      <c r="M933" s="9">
        <f t="shared" si="91"/>
        <v>0.38642702670624784</v>
      </c>
      <c r="N933" s="5">
        <v>1</v>
      </c>
      <c r="O933" s="10">
        <f t="shared" si="92"/>
        <v>0.38642702670624784</v>
      </c>
    </row>
    <row r="934" spans="2:15" ht="13.5" customHeight="1">
      <c r="B934" s="24">
        <v>104</v>
      </c>
      <c r="C934" s="25"/>
      <c r="D934" s="25"/>
      <c r="E934" s="26"/>
      <c r="F934" s="15" t="s">
        <v>15</v>
      </c>
      <c r="G934" s="6">
        <v>20906.37</v>
      </c>
      <c r="H934" s="6">
        <v>3417.98</v>
      </c>
      <c r="I934" s="27">
        <v>11905</v>
      </c>
      <c r="J934" s="27"/>
      <c r="K934" s="27">
        <f t="shared" si="93"/>
        <v>36229.35</v>
      </c>
      <c r="L934" s="39">
        <v>14000</v>
      </c>
      <c r="M934" s="9">
        <f t="shared" si="91"/>
        <v>0.38642702670624784</v>
      </c>
      <c r="N934" s="5">
        <v>1</v>
      </c>
      <c r="O934" s="10">
        <f t="shared" si="92"/>
        <v>0.38642702670624784</v>
      </c>
    </row>
    <row r="935" spans="2:15" ht="13.5" customHeight="1">
      <c r="B935" s="24">
        <v>105</v>
      </c>
      <c r="C935" s="25"/>
      <c r="D935" s="25"/>
      <c r="E935" s="26"/>
      <c r="F935" s="15" t="s">
        <v>15</v>
      </c>
      <c r="G935" s="6">
        <v>20906.37</v>
      </c>
      <c r="H935" s="6">
        <v>3417.98</v>
      </c>
      <c r="I935" s="27">
        <v>11905</v>
      </c>
      <c r="J935" s="27"/>
      <c r="K935" s="27">
        <f t="shared" si="93"/>
        <v>36229.35</v>
      </c>
      <c r="L935" s="39">
        <v>14000</v>
      </c>
      <c r="M935" s="9">
        <f t="shared" si="91"/>
        <v>0.38642702670624784</v>
      </c>
      <c r="N935" s="5">
        <v>1</v>
      </c>
      <c r="O935" s="10">
        <f t="shared" si="92"/>
        <v>0.38642702670624784</v>
      </c>
    </row>
    <row r="936" spans="2:15" ht="13.5" customHeight="1">
      <c r="B936" s="24">
        <v>106</v>
      </c>
      <c r="C936" s="25"/>
      <c r="D936" s="25"/>
      <c r="E936" s="26"/>
      <c r="F936" s="15" t="s">
        <v>15</v>
      </c>
      <c r="G936" s="6">
        <v>20906.37</v>
      </c>
      <c r="H936" s="6">
        <v>3417.98</v>
      </c>
      <c r="I936" s="27">
        <v>11905</v>
      </c>
      <c r="J936" s="27"/>
      <c r="K936" s="27">
        <f t="shared" si="93"/>
        <v>36229.35</v>
      </c>
      <c r="L936" s="39">
        <v>14000</v>
      </c>
      <c r="M936" s="9">
        <f t="shared" si="91"/>
        <v>0.38642702670624784</v>
      </c>
      <c r="N936" s="5">
        <v>1</v>
      </c>
      <c r="O936" s="10">
        <f t="shared" si="92"/>
        <v>0.38642702670624784</v>
      </c>
    </row>
    <row r="937" spans="2:15" ht="13.5" customHeight="1">
      <c r="B937" s="24">
        <v>107</v>
      </c>
      <c r="C937" s="25"/>
      <c r="D937" s="25"/>
      <c r="E937" s="26"/>
      <c r="F937" s="15" t="s">
        <v>15</v>
      </c>
      <c r="G937" s="6">
        <v>20906.37</v>
      </c>
      <c r="H937" s="6">
        <v>3417.98</v>
      </c>
      <c r="I937" s="27">
        <v>11905</v>
      </c>
      <c r="J937" s="27"/>
      <c r="K937" s="27">
        <f t="shared" si="93"/>
        <v>36229.35</v>
      </c>
      <c r="L937" s="39">
        <v>14000</v>
      </c>
      <c r="M937" s="9">
        <f t="shared" si="91"/>
        <v>0.38642702670624784</v>
      </c>
      <c r="N937" s="5">
        <v>1</v>
      </c>
      <c r="O937" s="10">
        <f t="shared" si="92"/>
        <v>0.38642702670624784</v>
      </c>
    </row>
    <row r="938" spans="2:15" ht="13.5" customHeight="1">
      <c r="B938" s="24">
        <v>108</v>
      </c>
      <c r="C938" s="25"/>
      <c r="D938" s="25"/>
      <c r="E938" s="26"/>
      <c r="F938" s="15" t="s">
        <v>15</v>
      </c>
      <c r="G938" s="6">
        <v>20906.37</v>
      </c>
      <c r="H938" s="6">
        <v>3417.98</v>
      </c>
      <c r="I938" s="27">
        <v>11905</v>
      </c>
      <c r="J938" s="27"/>
      <c r="K938" s="27">
        <f t="shared" si="93"/>
        <v>36229.35</v>
      </c>
      <c r="L938" s="39">
        <v>14000</v>
      </c>
      <c r="M938" s="9">
        <f t="shared" si="91"/>
        <v>0.38642702670624784</v>
      </c>
      <c r="N938" s="5">
        <v>1</v>
      </c>
      <c r="O938" s="10">
        <f t="shared" si="92"/>
        <v>0.38642702670624784</v>
      </c>
    </row>
    <row r="939" spans="2:15" ht="13.5" customHeight="1">
      <c r="B939" s="24">
        <v>109</v>
      </c>
      <c r="C939" s="25"/>
      <c r="D939" s="25"/>
      <c r="F939" s="15" t="s">
        <v>15</v>
      </c>
      <c r="G939" s="6">
        <v>20906.37</v>
      </c>
      <c r="H939" s="6">
        <v>3417.98</v>
      </c>
      <c r="I939" s="27">
        <v>11905</v>
      </c>
      <c r="J939" s="27"/>
      <c r="K939" s="27">
        <f t="shared" si="93"/>
        <v>36229.35</v>
      </c>
      <c r="L939" s="39">
        <v>14000</v>
      </c>
      <c r="M939" s="9">
        <f t="shared" si="91"/>
        <v>0.38642702670624784</v>
      </c>
      <c r="N939" s="5">
        <v>1</v>
      </c>
      <c r="O939" s="10">
        <f t="shared" si="92"/>
        <v>0.38642702670624784</v>
      </c>
    </row>
    <row r="940" spans="2:15" ht="13.5" customHeight="1">
      <c r="B940" s="24">
        <v>110</v>
      </c>
      <c r="C940" s="25"/>
      <c r="D940" s="25"/>
      <c r="E940" s="26"/>
      <c r="F940" s="15" t="s">
        <v>15</v>
      </c>
      <c r="G940" s="6">
        <v>20906.37</v>
      </c>
      <c r="H940" s="6">
        <v>3417.98</v>
      </c>
      <c r="I940" s="27">
        <v>11905</v>
      </c>
      <c r="J940" s="27"/>
      <c r="K940" s="27">
        <f t="shared" si="93"/>
        <v>36229.35</v>
      </c>
      <c r="L940" s="39">
        <v>14000</v>
      </c>
      <c r="M940" s="9">
        <f t="shared" si="91"/>
        <v>0.38642702670624784</v>
      </c>
      <c r="N940" s="5">
        <v>1</v>
      </c>
      <c r="O940" s="10">
        <f t="shared" si="92"/>
        <v>0.38642702670624784</v>
      </c>
    </row>
    <row r="941" spans="2:15" ht="13.5" customHeight="1">
      <c r="B941" s="24">
        <v>111</v>
      </c>
      <c r="C941" s="25"/>
      <c r="D941" s="25"/>
      <c r="E941" s="26"/>
      <c r="F941" s="15" t="s">
        <v>15</v>
      </c>
      <c r="G941" s="6">
        <v>20906.37</v>
      </c>
      <c r="H941" s="6">
        <v>3417.98</v>
      </c>
      <c r="I941" s="27">
        <v>11905</v>
      </c>
      <c r="J941" s="27"/>
      <c r="K941" s="27">
        <f t="shared" si="93"/>
        <v>36229.35</v>
      </c>
      <c r="L941" s="39">
        <v>14000</v>
      </c>
      <c r="M941" s="9">
        <f t="shared" si="91"/>
        <v>0.38642702670624784</v>
      </c>
      <c r="N941" s="5">
        <v>1</v>
      </c>
      <c r="O941" s="10">
        <f t="shared" si="92"/>
        <v>0.38642702670624784</v>
      </c>
    </row>
    <row r="942" spans="2:15" ht="13.5" customHeight="1">
      <c r="B942" s="24">
        <v>112</v>
      </c>
      <c r="C942" s="25"/>
      <c r="D942" s="25"/>
      <c r="E942" s="26"/>
      <c r="F942" s="15" t="s">
        <v>15</v>
      </c>
      <c r="G942" s="6">
        <v>20906.37</v>
      </c>
      <c r="H942" s="6">
        <v>3417.98</v>
      </c>
      <c r="I942" s="27">
        <v>11905</v>
      </c>
      <c r="J942" s="27"/>
      <c r="K942" s="27">
        <f t="shared" si="93"/>
        <v>36229.35</v>
      </c>
      <c r="L942" s="39">
        <v>14000</v>
      </c>
      <c r="M942" s="9">
        <f t="shared" si="91"/>
        <v>0.38642702670624784</v>
      </c>
      <c r="N942" s="5">
        <v>1</v>
      </c>
      <c r="O942" s="10">
        <f t="shared" si="92"/>
        <v>0.38642702670624784</v>
      </c>
    </row>
    <row r="943" spans="2:15" ht="13.5" customHeight="1">
      <c r="B943" s="24">
        <v>113</v>
      </c>
      <c r="C943" s="25"/>
      <c r="D943" s="25"/>
      <c r="E943" s="26"/>
      <c r="F943" s="15" t="s">
        <v>15</v>
      </c>
      <c r="G943" s="6">
        <v>20906.37</v>
      </c>
      <c r="H943" s="6">
        <v>3417.98</v>
      </c>
      <c r="I943" s="27">
        <v>11905</v>
      </c>
      <c r="J943" s="27"/>
      <c r="K943" s="27">
        <f t="shared" si="93"/>
        <v>36229.35</v>
      </c>
      <c r="L943" s="39">
        <v>14000</v>
      </c>
      <c r="M943" s="9">
        <f t="shared" si="91"/>
        <v>0.38642702670624784</v>
      </c>
      <c r="N943" s="5">
        <v>1</v>
      </c>
      <c r="O943" s="10">
        <f t="shared" si="92"/>
        <v>0.38642702670624784</v>
      </c>
    </row>
    <row r="944" spans="2:15" ht="13.5" customHeight="1">
      <c r="B944" s="24">
        <v>114</v>
      </c>
      <c r="C944" s="25"/>
      <c r="D944" s="25"/>
      <c r="E944" s="26"/>
      <c r="F944" s="15" t="s">
        <v>15</v>
      </c>
      <c r="G944" s="6">
        <v>20906.37</v>
      </c>
      <c r="H944" s="6">
        <v>3417.98</v>
      </c>
      <c r="I944" s="27">
        <v>11905</v>
      </c>
      <c r="J944" s="27"/>
      <c r="K944" s="27">
        <f t="shared" si="93"/>
        <v>36229.35</v>
      </c>
      <c r="L944" s="39">
        <v>14000</v>
      </c>
      <c r="M944" s="9">
        <f t="shared" si="91"/>
        <v>0.38642702670624784</v>
      </c>
      <c r="N944" s="5">
        <v>1</v>
      </c>
      <c r="O944" s="10">
        <f t="shared" si="92"/>
        <v>0.38642702670624784</v>
      </c>
    </row>
    <row r="945" spans="2:15" ht="13.5" customHeight="1">
      <c r="B945" s="24">
        <v>115</v>
      </c>
      <c r="C945" s="25"/>
      <c r="D945" s="25"/>
      <c r="E945" s="26"/>
      <c r="F945" s="15" t="s">
        <v>15</v>
      </c>
      <c r="G945" s="6">
        <v>20906.37</v>
      </c>
      <c r="H945" s="6">
        <v>3417.98</v>
      </c>
      <c r="I945" s="27">
        <v>11905</v>
      </c>
      <c r="J945" s="27"/>
      <c r="K945" s="27">
        <f t="shared" si="93"/>
        <v>36229.35</v>
      </c>
      <c r="L945" s="39">
        <v>14000</v>
      </c>
      <c r="M945" s="9">
        <f t="shared" si="91"/>
        <v>0.38642702670624784</v>
      </c>
      <c r="N945" s="5">
        <v>1</v>
      </c>
      <c r="O945" s="10">
        <f t="shared" si="92"/>
        <v>0.38642702670624784</v>
      </c>
    </row>
    <row r="946" spans="2:15" ht="13.5" customHeight="1">
      <c r="B946" s="24">
        <v>116</v>
      </c>
      <c r="C946" s="25"/>
      <c r="D946" s="25"/>
      <c r="E946" s="26"/>
      <c r="F946" s="15" t="s">
        <v>15</v>
      </c>
      <c r="G946" s="6">
        <v>20906.37</v>
      </c>
      <c r="H946" s="6">
        <v>3417.98</v>
      </c>
      <c r="I946" s="27">
        <v>11905</v>
      </c>
      <c r="J946" s="27"/>
      <c r="K946" s="27">
        <f t="shared" si="93"/>
        <v>36229.35</v>
      </c>
      <c r="L946" s="39">
        <v>14000</v>
      </c>
      <c r="M946" s="9">
        <f t="shared" si="91"/>
        <v>0.38642702670624784</v>
      </c>
      <c r="N946" s="5">
        <v>1</v>
      </c>
      <c r="O946" s="10">
        <f t="shared" si="92"/>
        <v>0.38642702670624784</v>
      </c>
    </row>
    <row r="947" spans="2:15" ht="13.5" customHeight="1">
      <c r="B947" s="24">
        <v>117</v>
      </c>
      <c r="C947" s="25"/>
      <c r="D947" s="25"/>
      <c r="E947" s="26"/>
      <c r="F947" s="15" t="s">
        <v>15</v>
      </c>
      <c r="G947" s="6">
        <v>20906.37</v>
      </c>
      <c r="H947" s="6">
        <v>3417.98</v>
      </c>
      <c r="I947" s="27">
        <v>11905</v>
      </c>
      <c r="J947" s="27"/>
      <c r="K947" s="27">
        <f t="shared" si="93"/>
        <v>36229.35</v>
      </c>
      <c r="L947" s="39">
        <v>14000</v>
      </c>
      <c r="M947" s="9">
        <f t="shared" si="91"/>
        <v>0.38642702670624784</v>
      </c>
      <c r="N947" s="5">
        <v>1</v>
      </c>
      <c r="O947" s="10">
        <f t="shared" si="92"/>
        <v>0.38642702670624784</v>
      </c>
    </row>
    <row r="948" spans="2:15" ht="13.5" customHeight="1">
      <c r="B948" s="24">
        <v>118</v>
      </c>
      <c r="C948" s="25"/>
      <c r="D948" s="25"/>
      <c r="E948" s="26"/>
      <c r="F948" s="15" t="s">
        <v>15</v>
      </c>
      <c r="G948" s="6">
        <v>20906.37</v>
      </c>
      <c r="H948" s="6">
        <v>3417.98</v>
      </c>
      <c r="I948" s="27">
        <v>11905</v>
      </c>
      <c r="J948" s="27"/>
      <c r="K948" s="27">
        <f t="shared" si="93"/>
        <v>36229.35</v>
      </c>
      <c r="L948" s="39">
        <v>14000</v>
      </c>
      <c r="M948" s="9">
        <f t="shared" si="91"/>
        <v>0.38642702670624784</v>
      </c>
      <c r="N948" s="5">
        <v>1</v>
      </c>
      <c r="O948" s="10">
        <f t="shared" si="92"/>
        <v>0.38642702670624784</v>
      </c>
    </row>
    <row r="949" spans="2:15" ht="13.5" customHeight="1">
      <c r="B949" s="24">
        <v>119</v>
      </c>
      <c r="C949" s="25"/>
      <c r="D949" s="25"/>
      <c r="E949" s="26"/>
      <c r="F949" s="15" t="s">
        <v>15</v>
      </c>
      <c r="G949" s="6">
        <v>20906.37</v>
      </c>
      <c r="H949" s="6">
        <v>3417.98</v>
      </c>
      <c r="I949" s="27">
        <v>11905</v>
      </c>
      <c r="J949" s="27"/>
      <c r="K949" s="27">
        <f t="shared" si="93"/>
        <v>36229.35</v>
      </c>
      <c r="L949" s="39">
        <v>14000</v>
      </c>
      <c r="M949" s="9">
        <f t="shared" si="91"/>
        <v>0.38642702670624784</v>
      </c>
      <c r="N949" s="5">
        <v>1</v>
      </c>
      <c r="O949" s="10">
        <f t="shared" si="92"/>
        <v>0.38642702670624784</v>
      </c>
    </row>
    <row r="950" spans="2:15" ht="13.5" customHeight="1">
      <c r="B950" s="24">
        <v>120</v>
      </c>
      <c r="C950" s="25"/>
      <c r="D950" s="25"/>
      <c r="E950" s="26"/>
      <c r="F950" s="15" t="s">
        <v>15</v>
      </c>
      <c r="G950" s="6">
        <v>20906.37</v>
      </c>
      <c r="H950" s="6">
        <v>3417.98</v>
      </c>
      <c r="I950" s="27">
        <v>11905</v>
      </c>
      <c r="J950" s="27"/>
      <c r="K950" s="27">
        <f t="shared" si="93"/>
        <v>36229.35</v>
      </c>
      <c r="L950" s="39">
        <v>14000</v>
      </c>
      <c r="M950" s="9">
        <f t="shared" si="91"/>
        <v>0.38642702670624784</v>
      </c>
      <c r="N950" s="5">
        <v>1</v>
      </c>
      <c r="O950" s="10">
        <f t="shared" si="92"/>
        <v>0.38642702670624784</v>
      </c>
    </row>
    <row r="951" spans="2:15" ht="13.5" customHeight="1">
      <c r="B951" s="24">
        <v>121</v>
      </c>
      <c r="C951" s="25"/>
      <c r="D951" s="25"/>
      <c r="E951" s="26"/>
      <c r="F951" s="15" t="s">
        <v>15</v>
      </c>
      <c r="G951" s="6">
        <v>20906.37</v>
      </c>
      <c r="H951" s="6">
        <v>3417.98</v>
      </c>
      <c r="I951" s="27">
        <v>11905</v>
      </c>
      <c r="J951" s="27"/>
      <c r="K951" s="27">
        <f t="shared" si="93"/>
        <v>36229.35</v>
      </c>
      <c r="L951" s="39">
        <v>14000</v>
      </c>
      <c r="M951" s="9">
        <f t="shared" si="91"/>
        <v>0.38642702670624784</v>
      </c>
      <c r="N951" s="5">
        <v>1</v>
      </c>
      <c r="O951" s="10">
        <f t="shared" si="92"/>
        <v>0.38642702670624784</v>
      </c>
    </row>
    <row r="952" spans="2:15" ht="13.5" customHeight="1">
      <c r="B952" s="24">
        <v>122</v>
      </c>
      <c r="C952" s="25"/>
      <c r="D952" s="25"/>
      <c r="F952" s="15" t="s">
        <v>15</v>
      </c>
      <c r="G952" s="6">
        <v>20906.37</v>
      </c>
      <c r="H952" s="6">
        <v>3417.98</v>
      </c>
      <c r="I952" s="27">
        <v>11905</v>
      </c>
      <c r="J952" s="27"/>
      <c r="K952" s="27">
        <f t="shared" si="93"/>
        <v>36229.35</v>
      </c>
      <c r="L952" s="39">
        <v>14000</v>
      </c>
      <c r="M952" s="9">
        <f t="shared" si="91"/>
        <v>0.38642702670624784</v>
      </c>
      <c r="N952" s="5">
        <v>1</v>
      </c>
      <c r="O952" s="10">
        <f t="shared" si="92"/>
        <v>0.38642702670624784</v>
      </c>
    </row>
    <row r="953" spans="2:15" ht="13.5" customHeight="1">
      <c r="B953" s="24">
        <v>123</v>
      </c>
      <c r="C953" s="25"/>
      <c r="D953" s="25"/>
      <c r="F953" s="15" t="s">
        <v>15</v>
      </c>
      <c r="G953" s="6">
        <v>20906.37</v>
      </c>
      <c r="H953" s="6">
        <v>3417.98</v>
      </c>
      <c r="I953" s="27">
        <v>11905</v>
      </c>
      <c r="J953" s="27"/>
      <c r="K953" s="27">
        <f t="shared" si="93"/>
        <v>36229.35</v>
      </c>
      <c r="L953" s="39">
        <v>17500</v>
      </c>
      <c r="M953" s="9">
        <f t="shared" si="91"/>
        <v>0.48303378338280983</v>
      </c>
      <c r="N953" s="5">
        <v>1</v>
      </c>
      <c r="O953" s="10">
        <f t="shared" si="92"/>
        <v>0.48303378338280983</v>
      </c>
    </row>
    <row r="954" spans="2:15" ht="13.5" customHeight="1">
      <c r="B954" s="24">
        <v>124</v>
      </c>
      <c r="C954" s="25"/>
      <c r="D954" s="25"/>
      <c r="E954" s="26"/>
      <c r="F954" s="15" t="s">
        <v>15</v>
      </c>
      <c r="G954" s="6">
        <v>20906.37</v>
      </c>
      <c r="H954" s="6">
        <v>3417.98</v>
      </c>
      <c r="I954" s="27">
        <v>11905</v>
      </c>
      <c r="J954" s="27"/>
      <c r="K954" s="27">
        <f t="shared" si="93"/>
        <v>36229.35</v>
      </c>
      <c r="L954" s="39">
        <v>17500</v>
      </c>
      <c r="M954" s="9">
        <f t="shared" si="91"/>
        <v>0.48303378338280983</v>
      </c>
      <c r="N954" s="5">
        <v>1</v>
      </c>
      <c r="O954" s="10">
        <f t="shared" si="92"/>
        <v>0.48303378338280983</v>
      </c>
    </row>
    <row r="955" spans="2:15" ht="13.5" customHeight="1">
      <c r="B955" s="24">
        <v>125</v>
      </c>
      <c r="C955" s="25"/>
      <c r="D955" s="25"/>
      <c r="E955" s="26"/>
      <c r="F955" s="15" t="s">
        <v>15</v>
      </c>
      <c r="G955" s="6">
        <v>20906.37</v>
      </c>
      <c r="H955" s="6">
        <v>3417.98</v>
      </c>
      <c r="I955" s="27">
        <v>11905</v>
      </c>
      <c r="J955" s="27"/>
      <c r="K955" s="27">
        <f t="shared" si="93"/>
        <v>36229.35</v>
      </c>
      <c r="L955" s="39">
        <v>14000</v>
      </c>
      <c r="M955" s="9">
        <f t="shared" si="91"/>
        <v>0.38642702670624784</v>
      </c>
      <c r="N955" s="5">
        <v>1</v>
      </c>
      <c r="O955" s="10">
        <f t="shared" si="92"/>
        <v>0.38642702670624784</v>
      </c>
    </row>
    <row r="956" spans="2:15" ht="13.5" customHeight="1">
      <c r="B956" s="24">
        <v>126</v>
      </c>
      <c r="C956" s="25"/>
      <c r="D956" s="25"/>
      <c r="F956" s="15" t="s">
        <v>15</v>
      </c>
      <c r="G956" s="6">
        <v>20906.37</v>
      </c>
      <c r="H956" s="6">
        <v>3417.98</v>
      </c>
      <c r="I956" s="27">
        <v>11905</v>
      </c>
      <c r="J956" s="27"/>
      <c r="K956" s="27">
        <f t="shared" si="93"/>
        <v>36229.35</v>
      </c>
      <c r="L956" s="39">
        <v>14000</v>
      </c>
      <c r="M956" s="9">
        <f t="shared" si="91"/>
        <v>0.38642702670624784</v>
      </c>
      <c r="N956" s="5">
        <v>1</v>
      </c>
      <c r="O956" s="10">
        <f t="shared" si="92"/>
        <v>0.38642702670624784</v>
      </c>
    </row>
    <row r="957" spans="2:15" ht="13.5" customHeight="1">
      <c r="B957" s="24">
        <v>127</v>
      </c>
      <c r="C957" s="25"/>
      <c r="D957" s="25"/>
      <c r="E957" s="26"/>
      <c r="F957" s="15" t="s">
        <v>15</v>
      </c>
      <c r="G957" s="6">
        <v>20906.37</v>
      </c>
      <c r="H957" s="6">
        <v>3417.98</v>
      </c>
      <c r="I957" s="27">
        <v>11905</v>
      </c>
      <c r="J957" s="27"/>
      <c r="K957" s="27">
        <f t="shared" si="93"/>
        <v>36229.35</v>
      </c>
      <c r="L957" s="39">
        <v>14000</v>
      </c>
      <c r="M957" s="9">
        <f t="shared" si="91"/>
        <v>0.38642702670624784</v>
      </c>
      <c r="N957" s="5">
        <v>1</v>
      </c>
      <c r="O957" s="10">
        <f t="shared" si="92"/>
        <v>0.38642702670624784</v>
      </c>
    </row>
    <row r="958" spans="2:15" ht="13.5" customHeight="1">
      <c r="B958" s="24">
        <v>128</v>
      </c>
      <c r="C958" s="25"/>
      <c r="D958" s="25"/>
      <c r="E958" s="26"/>
      <c r="F958" s="15" t="s">
        <v>15</v>
      </c>
      <c r="G958" s="6">
        <v>20906.37</v>
      </c>
      <c r="H958" s="6">
        <v>3417.98</v>
      </c>
      <c r="I958" s="27">
        <v>11905</v>
      </c>
      <c r="J958" s="27"/>
      <c r="K958" s="27">
        <f t="shared" si="93"/>
        <v>36229.35</v>
      </c>
      <c r="L958" s="39">
        <v>17500</v>
      </c>
      <c r="M958" s="9">
        <f t="shared" ref="M958:M1021" si="94">L958/K958</f>
        <v>0.48303378338280983</v>
      </c>
      <c r="N958" s="5">
        <v>1</v>
      </c>
      <c r="O958" s="10">
        <f t="shared" ref="O958:O1021" si="95">N958*M958</f>
        <v>0.48303378338280983</v>
      </c>
    </row>
    <row r="959" spans="2:15" ht="13.5" customHeight="1">
      <c r="B959" s="24">
        <v>129</v>
      </c>
      <c r="C959" s="25"/>
      <c r="D959" s="25"/>
      <c r="E959" s="26"/>
      <c r="F959" s="15" t="s">
        <v>15</v>
      </c>
      <c r="G959" s="6">
        <v>20906.37</v>
      </c>
      <c r="H959" s="6">
        <v>3417.98</v>
      </c>
      <c r="I959" s="27">
        <v>11905</v>
      </c>
      <c r="J959" s="27"/>
      <c r="K959" s="27">
        <f t="shared" si="93"/>
        <v>36229.35</v>
      </c>
      <c r="L959" s="39">
        <v>14000</v>
      </c>
      <c r="M959" s="9">
        <f t="shared" si="94"/>
        <v>0.38642702670624784</v>
      </c>
      <c r="N959" s="5">
        <v>1</v>
      </c>
      <c r="O959" s="10">
        <f t="shared" si="95"/>
        <v>0.38642702670624784</v>
      </c>
    </row>
    <row r="960" spans="2:15" ht="13.5" customHeight="1">
      <c r="B960" s="24">
        <v>130</v>
      </c>
      <c r="C960" s="25"/>
      <c r="D960" s="25"/>
      <c r="F960" s="15" t="s">
        <v>15</v>
      </c>
      <c r="G960" s="6">
        <v>20906.37</v>
      </c>
      <c r="H960" s="6">
        <v>3417.98</v>
      </c>
      <c r="I960" s="27">
        <v>11905</v>
      </c>
      <c r="J960" s="27"/>
      <c r="K960" s="27">
        <f t="shared" ref="K960:K1023" si="96">SUM(G960:I960)</f>
        <v>36229.35</v>
      </c>
      <c r="L960" s="39">
        <v>14000</v>
      </c>
      <c r="M960" s="9">
        <f t="shared" si="94"/>
        <v>0.38642702670624784</v>
      </c>
      <c r="N960" s="5">
        <v>1</v>
      </c>
      <c r="O960" s="10">
        <f t="shared" si="95"/>
        <v>0.38642702670624784</v>
      </c>
    </row>
    <row r="961" spans="2:15" ht="13.5" customHeight="1">
      <c r="B961" s="24">
        <v>131</v>
      </c>
      <c r="C961" s="25"/>
      <c r="D961" s="25"/>
      <c r="E961" s="26"/>
      <c r="F961" s="15" t="s">
        <v>15</v>
      </c>
      <c r="G961" s="6">
        <v>20906.37</v>
      </c>
      <c r="H961" s="6">
        <v>3417.98</v>
      </c>
      <c r="I961" s="27">
        <v>11905</v>
      </c>
      <c r="J961" s="27"/>
      <c r="K961" s="27">
        <f t="shared" si="96"/>
        <v>36229.35</v>
      </c>
      <c r="L961" s="39">
        <v>14000</v>
      </c>
      <c r="M961" s="9">
        <f t="shared" si="94"/>
        <v>0.38642702670624784</v>
      </c>
      <c r="N961" s="5">
        <v>1</v>
      </c>
      <c r="O961" s="10">
        <f t="shared" si="95"/>
        <v>0.38642702670624784</v>
      </c>
    </row>
    <row r="962" spans="2:15" ht="13.5" customHeight="1">
      <c r="B962" s="24">
        <v>132</v>
      </c>
      <c r="C962" s="25"/>
      <c r="D962" s="25"/>
      <c r="E962" s="26"/>
      <c r="F962" s="15" t="s">
        <v>15</v>
      </c>
      <c r="G962" s="6">
        <v>20906.37</v>
      </c>
      <c r="H962" s="6">
        <v>3417.98</v>
      </c>
      <c r="I962" s="27">
        <v>11905</v>
      </c>
      <c r="J962" s="27"/>
      <c r="K962" s="27">
        <f t="shared" si="96"/>
        <v>36229.35</v>
      </c>
      <c r="L962" s="39">
        <v>14000</v>
      </c>
      <c r="M962" s="9">
        <f t="shared" si="94"/>
        <v>0.38642702670624784</v>
      </c>
      <c r="N962" s="5">
        <v>1</v>
      </c>
      <c r="O962" s="10">
        <f t="shared" si="95"/>
        <v>0.38642702670624784</v>
      </c>
    </row>
    <row r="963" spans="2:15" ht="13.5" customHeight="1">
      <c r="B963" s="24">
        <v>133</v>
      </c>
      <c r="C963" s="25"/>
      <c r="D963" s="25"/>
      <c r="F963" s="15" t="s">
        <v>15</v>
      </c>
      <c r="G963" s="6">
        <v>20906.37</v>
      </c>
      <c r="H963" s="6">
        <v>3417.98</v>
      </c>
      <c r="I963" s="27">
        <v>11905</v>
      </c>
      <c r="J963" s="27"/>
      <c r="K963" s="27">
        <f t="shared" si="96"/>
        <v>36229.35</v>
      </c>
      <c r="L963" s="39">
        <v>14000</v>
      </c>
      <c r="M963" s="9">
        <f t="shared" si="94"/>
        <v>0.38642702670624784</v>
      </c>
      <c r="N963" s="5">
        <v>1</v>
      </c>
      <c r="O963" s="10">
        <f t="shared" si="95"/>
        <v>0.38642702670624784</v>
      </c>
    </row>
    <row r="964" spans="2:15" ht="13.5" customHeight="1">
      <c r="B964" s="24">
        <v>134</v>
      </c>
      <c r="C964" s="25"/>
      <c r="D964" s="25"/>
      <c r="E964" s="26"/>
      <c r="F964" s="15" t="s">
        <v>15</v>
      </c>
      <c r="G964" s="6">
        <v>20906.37</v>
      </c>
      <c r="H964" s="6">
        <v>3417.98</v>
      </c>
      <c r="I964" s="27">
        <v>11905</v>
      </c>
      <c r="J964" s="27"/>
      <c r="K964" s="27">
        <f t="shared" si="96"/>
        <v>36229.35</v>
      </c>
      <c r="L964" s="39">
        <v>14000</v>
      </c>
      <c r="M964" s="9">
        <f t="shared" si="94"/>
        <v>0.38642702670624784</v>
      </c>
      <c r="N964" s="5">
        <v>1</v>
      </c>
      <c r="O964" s="10">
        <f t="shared" si="95"/>
        <v>0.38642702670624784</v>
      </c>
    </row>
    <row r="965" spans="2:15" ht="13.5" customHeight="1">
      <c r="B965" s="24">
        <v>135</v>
      </c>
      <c r="C965" s="25"/>
      <c r="D965" s="25"/>
      <c r="E965" s="26"/>
      <c r="F965" s="15" t="s">
        <v>15</v>
      </c>
      <c r="G965" s="6">
        <v>20906.37</v>
      </c>
      <c r="H965" s="6">
        <v>3417.98</v>
      </c>
      <c r="I965" s="27">
        <v>11905</v>
      </c>
      <c r="J965" s="27"/>
      <c r="K965" s="27">
        <f t="shared" si="96"/>
        <v>36229.35</v>
      </c>
      <c r="L965" s="39">
        <v>14000</v>
      </c>
      <c r="M965" s="9">
        <f t="shared" si="94"/>
        <v>0.38642702670624784</v>
      </c>
      <c r="N965" s="5">
        <v>1</v>
      </c>
      <c r="O965" s="10">
        <f t="shared" si="95"/>
        <v>0.38642702670624784</v>
      </c>
    </row>
    <row r="966" spans="2:15" ht="13.5" customHeight="1">
      <c r="B966" s="24">
        <v>136</v>
      </c>
      <c r="C966" s="25"/>
      <c r="D966" s="25"/>
      <c r="E966" s="26"/>
      <c r="F966" s="15" t="s">
        <v>15</v>
      </c>
      <c r="G966" s="6">
        <v>20906.37</v>
      </c>
      <c r="H966" s="6">
        <v>3417.98</v>
      </c>
      <c r="I966" s="27">
        <v>11905</v>
      </c>
      <c r="J966" s="27"/>
      <c r="K966" s="27">
        <f t="shared" si="96"/>
        <v>36229.35</v>
      </c>
      <c r="L966" s="39">
        <v>14000</v>
      </c>
      <c r="M966" s="9">
        <f t="shared" si="94"/>
        <v>0.38642702670624784</v>
      </c>
      <c r="N966" s="5">
        <v>1</v>
      </c>
      <c r="O966" s="10">
        <f t="shared" si="95"/>
        <v>0.38642702670624784</v>
      </c>
    </row>
    <row r="967" spans="2:15" ht="13.5" customHeight="1">
      <c r="B967" s="24">
        <v>137</v>
      </c>
      <c r="C967" s="25"/>
      <c r="D967" s="25"/>
      <c r="E967" s="26"/>
      <c r="F967" s="15" t="s">
        <v>15</v>
      </c>
      <c r="G967" s="6">
        <v>20906.37</v>
      </c>
      <c r="H967" s="6">
        <v>3417.98</v>
      </c>
      <c r="I967" s="27">
        <v>11905</v>
      </c>
      <c r="J967" s="27"/>
      <c r="K967" s="27">
        <f t="shared" si="96"/>
        <v>36229.35</v>
      </c>
      <c r="L967" s="39">
        <v>14000</v>
      </c>
      <c r="M967" s="9">
        <f t="shared" si="94"/>
        <v>0.38642702670624784</v>
      </c>
      <c r="N967" s="5">
        <v>1</v>
      </c>
      <c r="O967" s="10">
        <f t="shared" si="95"/>
        <v>0.38642702670624784</v>
      </c>
    </row>
    <row r="968" spans="2:15" ht="13.5" customHeight="1">
      <c r="B968" s="24">
        <v>138</v>
      </c>
      <c r="C968" s="25"/>
      <c r="D968" s="25"/>
      <c r="E968" s="26"/>
      <c r="F968" s="15" t="s">
        <v>15</v>
      </c>
      <c r="G968" s="6">
        <v>20906.37</v>
      </c>
      <c r="H968" s="6">
        <v>3417.98</v>
      </c>
      <c r="I968" s="27">
        <v>11905</v>
      </c>
      <c r="J968" s="27"/>
      <c r="K968" s="27">
        <f t="shared" si="96"/>
        <v>36229.35</v>
      </c>
      <c r="L968" s="39">
        <v>14000</v>
      </c>
      <c r="M968" s="9">
        <f t="shared" si="94"/>
        <v>0.38642702670624784</v>
      </c>
      <c r="N968" s="5">
        <v>1</v>
      </c>
      <c r="O968" s="10">
        <f t="shared" si="95"/>
        <v>0.38642702670624784</v>
      </c>
    </row>
    <row r="969" spans="2:15" ht="13.5" customHeight="1">
      <c r="B969" s="24">
        <v>139</v>
      </c>
      <c r="C969" s="25"/>
      <c r="D969" s="25"/>
      <c r="E969" s="26"/>
      <c r="F969" s="15" t="s">
        <v>15</v>
      </c>
      <c r="G969" s="6">
        <v>20906.37</v>
      </c>
      <c r="H969" s="6">
        <v>3417.98</v>
      </c>
      <c r="I969" s="27">
        <v>11905</v>
      </c>
      <c r="J969" s="27"/>
      <c r="K969" s="27">
        <f t="shared" si="96"/>
        <v>36229.35</v>
      </c>
      <c r="L969" s="39">
        <v>14000</v>
      </c>
      <c r="M969" s="9">
        <f t="shared" si="94"/>
        <v>0.38642702670624784</v>
      </c>
      <c r="N969" s="5">
        <v>1</v>
      </c>
      <c r="O969" s="10">
        <f t="shared" si="95"/>
        <v>0.38642702670624784</v>
      </c>
    </row>
    <row r="970" spans="2:15" ht="13.5" customHeight="1">
      <c r="B970" s="24">
        <v>140</v>
      </c>
      <c r="C970" s="25"/>
      <c r="D970" s="25"/>
      <c r="F970" s="15" t="s">
        <v>15</v>
      </c>
      <c r="G970" s="6">
        <v>20906.37</v>
      </c>
      <c r="H970" s="6">
        <v>3417.98</v>
      </c>
      <c r="I970" s="27">
        <v>11905</v>
      </c>
      <c r="J970" s="27"/>
      <c r="K970" s="27">
        <f t="shared" si="96"/>
        <v>36229.35</v>
      </c>
      <c r="L970" s="39">
        <v>14000</v>
      </c>
      <c r="M970" s="9">
        <f t="shared" si="94"/>
        <v>0.38642702670624784</v>
      </c>
      <c r="N970" s="5">
        <v>1</v>
      </c>
      <c r="O970" s="10">
        <f t="shared" si="95"/>
        <v>0.38642702670624784</v>
      </c>
    </row>
    <row r="971" spans="2:15" ht="13.5" customHeight="1">
      <c r="B971" s="24">
        <v>141</v>
      </c>
      <c r="C971" s="25"/>
      <c r="D971" s="25"/>
      <c r="F971" s="15" t="s">
        <v>15</v>
      </c>
      <c r="G971" s="6">
        <v>20906.37</v>
      </c>
      <c r="H971" s="6">
        <v>3417.98</v>
      </c>
      <c r="I971" s="27">
        <v>11905</v>
      </c>
      <c r="J971" s="27"/>
      <c r="K971" s="27">
        <f t="shared" si="96"/>
        <v>36229.35</v>
      </c>
      <c r="L971" s="39">
        <v>17500</v>
      </c>
      <c r="M971" s="9">
        <f t="shared" si="94"/>
        <v>0.48303378338280983</v>
      </c>
      <c r="N971" s="5">
        <v>1</v>
      </c>
      <c r="O971" s="10">
        <f t="shared" si="95"/>
        <v>0.48303378338280983</v>
      </c>
    </row>
    <row r="972" spans="2:15" ht="13.5" customHeight="1">
      <c r="B972" s="24">
        <v>142</v>
      </c>
      <c r="C972" s="25"/>
      <c r="D972" s="25"/>
      <c r="E972" s="26"/>
      <c r="F972" s="15" t="s">
        <v>15</v>
      </c>
      <c r="G972" s="6">
        <v>20906.37</v>
      </c>
      <c r="H972" s="6">
        <v>3417.98</v>
      </c>
      <c r="I972" s="27">
        <v>11905</v>
      </c>
      <c r="J972" s="27"/>
      <c r="K972" s="27">
        <f t="shared" si="96"/>
        <v>36229.35</v>
      </c>
      <c r="L972" s="39">
        <v>14000</v>
      </c>
      <c r="M972" s="9">
        <f t="shared" si="94"/>
        <v>0.38642702670624784</v>
      </c>
      <c r="N972" s="5">
        <v>1</v>
      </c>
      <c r="O972" s="10">
        <f t="shared" si="95"/>
        <v>0.38642702670624784</v>
      </c>
    </row>
    <row r="973" spans="2:15" ht="13.5" customHeight="1">
      <c r="B973" s="24">
        <v>143</v>
      </c>
      <c r="C973" s="25"/>
      <c r="D973" s="25"/>
      <c r="E973" s="26"/>
      <c r="F973" s="15" t="s">
        <v>15</v>
      </c>
      <c r="G973" s="6">
        <v>20906.37</v>
      </c>
      <c r="H973" s="6">
        <v>3417.98</v>
      </c>
      <c r="I973" s="27">
        <v>11905</v>
      </c>
      <c r="J973" s="27"/>
      <c r="K973" s="27">
        <f t="shared" si="96"/>
        <v>36229.35</v>
      </c>
      <c r="L973" s="39">
        <v>14000</v>
      </c>
      <c r="M973" s="9">
        <f t="shared" si="94"/>
        <v>0.38642702670624784</v>
      </c>
      <c r="N973" s="5">
        <v>1</v>
      </c>
      <c r="O973" s="10">
        <f t="shared" si="95"/>
        <v>0.38642702670624784</v>
      </c>
    </row>
    <row r="974" spans="2:15" ht="13.5" customHeight="1">
      <c r="B974" s="24">
        <v>144</v>
      </c>
      <c r="C974" s="25"/>
      <c r="D974" s="25"/>
      <c r="E974" s="26"/>
      <c r="F974" s="15" t="s">
        <v>15</v>
      </c>
      <c r="G974" s="6">
        <v>20906.37</v>
      </c>
      <c r="H974" s="6">
        <v>3417.98</v>
      </c>
      <c r="I974" s="27">
        <v>11905</v>
      </c>
      <c r="J974" s="27"/>
      <c r="K974" s="27">
        <f t="shared" si="96"/>
        <v>36229.35</v>
      </c>
      <c r="L974" s="39">
        <v>14000</v>
      </c>
      <c r="M974" s="9">
        <f t="shared" si="94"/>
        <v>0.38642702670624784</v>
      </c>
      <c r="N974" s="5">
        <v>1</v>
      </c>
      <c r="O974" s="10">
        <f t="shared" si="95"/>
        <v>0.38642702670624784</v>
      </c>
    </row>
    <row r="975" spans="2:15" ht="13.5" customHeight="1">
      <c r="B975" s="24">
        <v>145</v>
      </c>
      <c r="C975" s="25"/>
      <c r="D975" s="25"/>
      <c r="E975" s="26"/>
      <c r="F975" s="15" t="s">
        <v>15</v>
      </c>
      <c r="G975" s="6">
        <v>20906.37</v>
      </c>
      <c r="H975" s="6">
        <v>3417.98</v>
      </c>
      <c r="I975" s="27">
        <v>11905</v>
      </c>
      <c r="J975" s="27"/>
      <c r="K975" s="27">
        <f t="shared" si="96"/>
        <v>36229.35</v>
      </c>
      <c r="L975" s="39">
        <v>14000</v>
      </c>
      <c r="M975" s="9">
        <f t="shared" si="94"/>
        <v>0.38642702670624784</v>
      </c>
      <c r="N975" s="5">
        <v>1</v>
      </c>
      <c r="O975" s="10">
        <f t="shared" si="95"/>
        <v>0.38642702670624784</v>
      </c>
    </row>
    <row r="976" spans="2:15" ht="13.5" customHeight="1">
      <c r="B976" s="24">
        <v>146</v>
      </c>
      <c r="C976" s="25"/>
      <c r="D976" s="25"/>
      <c r="F976" s="15" t="s">
        <v>15</v>
      </c>
      <c r="G976" s="6">
        <v>20906.37</v>
      </c>
      <c r="H976" s="6">
        <v>3417.98</v>
      </c>
      <c r="I976" s="27">
        <v>11905</v>
      </c>
      <c r="J976" s="27"/>
      <c r="K976" s="27">
        <f t="shared" si="96"/>
        <v>36229.35</v>
      </c>
      <c r="L976" s="39">
        <v>14000</v>
      </c>
      <c r="M976" s="9">
        <f t="shared" si="94"/>
        <v>0.38642702670624784</v>
      </c>
      <c r="N976" s="5">
        <v>1</v>
      </c>
      <c r="O976" s="10">
        <f t="shared" si="95"/>
        <v>0.38642702670624784</v>
      </c>
    </row>
    <row r="977" spans="2:15" ht="13.5" customHeight="1">
      <c r="B977" s="24">
        <v>147</v>
      </c>
      <c r="C977" s="25"/>
      <c r="D977" s="25"/>
      <c r="E977" s="26"/>
      <c r="F977" s="15" t="s">
        <v>15</v>
      </c>
      <c r="G977" s="6">
        <v>20906.37</v>
      </c>
      <c r="H977" s="6">
        <v>3417.98</v>
      </c>
      <c r="I977" s="27">
        <v>11905</v>
      </c>
      <c r="J977" s="27"/>
      <c r="K977" s="27">
        <f t="shared" si="96"/>
        <v>36229.35</v>
      </c>
      <c r="L977" s="39">
        <v>14000</v>
      </c>
      <c r="M977" s="9">
        <f t="shared" si="94"/>
        <v>0.38642702670624784</v>
      </c>
      <c r="N977" s="5">
        <v>1</v>
      </c>
      <c r="O977" s="10">
        <f t="shared" si="95"/>
        <v>0.38642702670624784</v>
      </c>
    </row>
    <row r="978" spans="2:15" ht="13.5" customHeight="1">
      <c r="B978" s="24">
        <v>148</v>
      </c>
      <c r="C978" s="25"/>
      <c r="D978" s="25"/>
      <c r="E978" s="26"/>
      <c r="F978" s="15" t="s">
        <v>15</v>
      </c>
      <c r="G978" s="6">
        <v>20906.37</v>
      </c>
      <c r="H978" s="6">
        <v>3417.98</v>
      </c>
      <c r="I978" s="27">
        <v>11905</v>
      </c>
      <c r="J978" s="27"/>
      <c r="K978" s="27">
        <f t="shared" si="96"/>
        <v>36229.35</v>
      </c>
      <c r="L978" s="39">
        <v>14000</v>
      </c>
      <c r="M978" s="9">
        <f t="shared" si="94"/>
        <v>0.38642702670624784</v>
      </c>
      <c r="N978" s="5">
        <v>1</v>
      </c>
      <c r="O978" s="10">
        <f t="shared" si="95"/>
        <v>0.38642702670624784</v>
      </c>
    </row>
    <row r="979" spans="2:15" ht="13.5" customHeight="1">
      <c r="B979" s="24">
        <v>149</v>
      </c>
      <c r="C979" s="25"/>
      <c r="D979" s="25"/>
      <c r="E979" s="26"/>
      <c r="F979" s="15" t="s">
        <v>15</v>
      </c>
      <c r="G979" s="6">
        <v>20906.37</v>
      </c>
      <c r="H979" s="6">
        <v>3417.98</v>
      </c>
      <c r="I979" s="27">
        <v>11905</v>
      </c>
      <c r="J979" s="27"/>
      <c r="K979" s="27">
        <f t="shared" si="96"/>
        <v>36229.35</v>
      </c>
      <c r="L979" s="39">
        <v>14000</v>
      </c>
      <c r="M979" s="9">
        <f t="shared" si="94"/>
        <v>0.38642702670624784</v>
      </c>
      <c r="N979" s="5">
        <v>1</v>
      </c>
      <c r="O979" s="10">
        <f t="shared" si="95"/>
        <v>0.38642702670624784</v>
      </c>
    </row>
    <row r="980" spans="2:15" ht="13.5" customHeight="1">
      <c r="B980" s="24">
        <v>150</v>
      </c>
      <c r="C980" s="25"/>
      <c r="D980" s="25"/>
      <c r="E980" s="26"/>
      <c r="F980" s="15" t="s">
        <v>15</v>
      </c>
      <c r="G980" s="6">
        <v>20906.37</v>
      </c>
      <c r="H980" s="6">
        <v>3417.98</v>
      </c>
      <c r="I980" s="27">
        <v>11905</v>
      </c>
      <c r="J980" s="27"/>
      <c r="K980" s="27">
        <f t="shared" si="96"/>
        <v>36229.35</v>
      </c>
      <c r="L980" s="39">
        <v>14000</v>
      </c>
      <c r="M980" s="9">
        <f t="shared" si="94"/>
        <v>0.38642702670624784</v>
      </c>
      <c r="N980" s="5">
        <v>1</v>
      </c>
      <c r="O980" s="10">
        <f t="shared" si="95"/>
        <v>0.38642702670624784</v>
      </c>
    </row>
    <row r="981" spans="2:15" ht="13.5" customHeight="1">
      <c r="B981" s="24">
        <v>151</v>
      </c>
      <c r="C981" s="25"/>
      <c r="D981" s="25"/>
      <c r="F981" s="15" t="s">
        <v>15</v>
      </c>
      <c r="G981" s="6">
        <v>20906.37</v>
      </c>
      <c r="H981" s="6">
        <v>3417.98</v>
      </c>
      <c r="I981" s="27">
        <v>11905</v>
      </c>
      <c r="J981" s="27"/>
      <c r="K981" s="27">
        <f t="shared" si="96"/>
        <v>36229.35</v>
      </c>
      <c r="L981" s="39">
        <v>14000</v>
      </c>
      <c r="M981" s="9">
        <f t="shared" si="94"/>
        <v>0.38642702670624784</v>
      </c>
      <c r="N981" s="5">
        <v>1</v>
      </c>
      <c r="O981" s="10">
        <f t="shared" si="95"/>
        <v>0.38642702670624784</v>
      </c>
    </row>
    <row r="982" spans="2:15" ht="13.5" customHeight="1">
      <c r="B982" s="24">
        <v>152</v>
      </c>
      <c r="C982" s="25"/>
      <c r="D982" s="25"/>
      <c r="E982" s="26"/>
      <c r="F982" s="15" t="s">
        <v>15</v>
      </c>
      <c r="G982" s="6">
        <v>20906.37</v>
      </c>
      <c r="H982" s="6">
        <v>3417.98</v>
      </c>
      <c r="I982" s="27">
        <v>11905</v>
      </c>
      <c r="J982" s="27"/>
      <c r="K982" s="27">
        <f t="shared" si="96"/>
        <v>36229.35</v>
      </c>
      <c r="L982" s="39">
        <v>14000</v>
      </c>
      <c r="M982" s="9">
        <f t="shared" si="94"/>
        <v>0.38642702670624784</v>
      </c>
      <c r="N982" s="5">
        <v>1</v>
      </c>
      <c r="O982" s="10">
        <f t="shared" si="95"/>
        <v>0.38642702670624784</v>
      </c>
    </row>
    <row r="983" spans="2:15" ht="13.5" customHeight="1">
      <c r="B983" s="24">
        <v>153</v>
      </c>
      <c r="C983" s="25"/>
      <c r="D983" s="25"/>
      <c r="E983" s="26"/>
      <c r="F983" s="15" t="s">
        <v>15</v>
      </c>
      <c r="G983" s="6">
        <v>20906.37</v>
      </c>
      <c r="H983" s="6">
        <v>3417.98</v>
      </c>
      <c r="I983" s="27">
        <v>11905</v>
      </c>
      <c r="J983" s="27"/>
      <c r="K983" s="27">
        <f t="shared" si="96"/>
        <v>36229.35</v>
      </c>
      <c r="L983" s="39">
        <v>14000</v>
      </c>
      <c r="M983" s="9">
        <f t="shared" si="94"/>
        <v>0.38642702670624784</v>
      </c>
      <c r="N983" s="5">
        <v>1</v>
      </c>
      <c r="O983" s="10">
        <f t="shared" si="95"/>
        <v>0.38642702670624784</v>
      </c>
    </row>
    <row r="984" spans="2:15" ht="13.5" customHeight="1">
      <c r="B984" s="24">
        <v>154</v>
      </c>
      <c r="C984" s="25"/>
      <c r="D984" s="25"/>
      <c r="E984" s="26"/>
      <c r="F984" s="15" t="s">
        <v>15</v>
      </c>
      <c r="G984" s="6">
        <v>20906.37</v>
      </c>
      <c r="H984" s="6">
        <v>3417.98</v>
      </c>
      <c r="I984" s="27">
        <v>11905</v>
      </c>
      <c r="J984" s="27"/>
      <c r="K984" s="27">
        <f t="shared" si="96"/>
        <v>36229.35</v>
      </c>
      <c r="L984" s="39">
        <v>14000</v>
      </c>
      <c r="M984" s="9">
        <f t="shared" si="94"/>
        <v>0.38642702670624784</v>
      </c>
      <c r="N984" s="5">
        <v>1</v>
      </c>
      <c r="O984" s="10">
        <f t="shared" si="95"/>
        <v>0.38642702670624784</v>
      </c>
    </row>
    <row r="985" spans="2:15" ht="13.5" customHeight="1">
      <c r="B985" s="24">
        <v>155</v>
      </c>
      <c r="C985" s="25"/>
      <c r="D985" s="25"/>
      <c r="F985" s="15" t="s">
        <v>15</v>
      </c>
      <c r="G985" s="6">
        <v>20906.37</v>
      </c>
      <c r="H985" s="6">
        <v>3417.98</v>
      </c>
      <c r="I985" s="27">
        <v>11905</v>
      </c>
      <c r="J985" s="27"/>
      <c r="K985" s="27">
        <f t="shared" si="96"/>
        <v>36229.35</v>
      </c>
      <c r="L985" s="39">
        <v>14000</v>
      </c>
      <c r="M985" s="9">
        <f t="shared" si="94"/>
        <v>0.38642702670624784</v>
      </c>
      <c r="N985" s="5">
        <v>1</v>
      </c>
      <c r="O985" s="10">
        <f t="shared" si="95"/>
        <v>0.38642702670624784</v>
      </c>
    </row>
    <row r="986" spans="2:15" ht="13.5" customHeight="1">
      <c r="B986" s="24">
        <v>156</v>
      </c>
      <c r="C986" s="25"/>
      <c r="D986" s="25"/>
      <c r="E986" s="26"/>
      <c r="F986" s="15" t="s">
        <v>15</v>
      </c>
      <c r="G986" s="6">
        <v>20906.37</v>
      </c>
      <c r="H986" s="6">
        <v>3417.98</v>
      </c>
      <c r="I986" s="27">
        <v>11905</v>
      </c>
      <c r="J986" s="27"/>
      <c r="K986" s="27">
        <f t="shared" si="96"/>
        <v>36229.35</v>
      </c>
      <c r="L986" s="39">
        <v>14000</v>
      </c>
      <c r="M986" s="9">
        <f t="shared" si="94"/>
        <v>0.38642702670624784</v>
      </c>
      <c r="N986" s="5">
        <v>1</v>
      </c>
      <c r="O986" s="10">
        <f t="shared" si="95"/>
        <v>0.38642702670624784</v>
      </c>
    </row>
    <row r="987" spans="2:15" ht="13.5" customHeight="1">
      <c r="B987" s="24">
        <v>157</v>
      </c>
      <c r="C987" s="25"/>
      <c r="D987" s="25"/>
      <c r="E987" s="26"/>
      <c r="F987" s="15" t="s">
        <v>15</v>
      </c>
      <c r="G987" s="6">
        <v>20906.37</v>
      </c>
      <c r="H987" s="6">
        <v>3417.98</v>
      </c>
      <c r="I987" s="27">
        <v>11905</v>
      </c>
      <c r="J987" s="27"/>
      <c r="K987" s="27">
        <f t="shared" si="96"/>
        <v>36229.35</v>
      </c>
      <c r="L987" s="39">
        <v>14000</v>
      </c>
      <c r="M987" s="9">
        <f t="shared" si="94"/>
        <v>0.38642702670624784</v>
      </c>
      <c r="N987" s="5">
        <v>1</v>
      </c>
      <c r="O987" s="10">
        <f t="shared" si="95"/>
        <v>0.38642702670624784</v>
      </c>
    </row>
    <row r="988" spans="2:15" ht="13.5" customHeight="1">
      <c r="B988" s="24">
        <v>158</v>
      </c>
      <c r="C988" s="25"/>
      <c r="D988" s="25"/>
      <c r="E988" s="26"/>
      <c r="F988" s="15" t="s">
        <v>15</v>
      </c>
      <c r="G988" s="6">
        <v>20906.37</v>
      </c>
      <c r="H988" s="6">
        <v>3417.98</v>
      </c>
      <c r="I988" s="27">
        <v>11905</v>
      </c>
      <c r="J988" s="27"/>
      <c r="K988" s="27">
        <f t="shared" si="96"/>
        <v>36229.35</v>
      </c>
      <c r="L988" s="39">
        <v>14000</v>
      </c>
      <c r="M988" s="9">
        <f t="shared" si="94"/>
        <v>0.38642702670624784</v>
      </c>
      <c r="N988" s="5">
        <v>1</v>
      </c>
      <c r="O988" s="10">
        <f t="shared" si="95"/>
        <v>0.38642702670624784</v>
      </c>
    </row>
    <row r="989" spans="2:15" ht="13.5" customHeight="1">
      <c r="B989" s="24">
        <v>159</v>
      </c>
      <c r="C989" s="25"/>
      <c r="D989" s="25"/>
      <c r="E989" s="26"/>
      <c r="F989" s="15" t="s">
        <v>15</v>
      </c>
      <c r="G989" s="6">
        <v>20906.37</v>
      </c>
      <c r="H989" s="6">
        <v>3417.98</v>
      </c>
      <c r="I989" s="27">
        <v>11905</v>
      </c>
      <c r="J989" s="27"/>
      <c r="K989" s="27">
        <f t="shared" si="96"/>
        <v>36229.35</v>
      </c>
      <c r="L989" s="39">
        <v>14000</v>
      </c>
      <c r="M989" s="9">
        <f t="shared" si="94"/>
        <v>0.38642702670624784</v>
      </c>
      <c r="N989" s="5">
        <v>1</v>
      </c>
      <c r="O989" s="10">
        <f t="shared" si="95"/>
        <v>0.38642702670624784</v>
      </c>
    </row>
    <row r="990" spans="2:15" ht="13.5" customHeight="1">
      <c r="B990" s="24">
        <v>160</v>
      </c>
      <c r="C990" s="25"/>
      <c r="D990" s="25"/>
      <c r="E990" s="26"/>
      <c r="F990" s="15" t="s">
        <v>15</v>
      </c>
      <c r="G990" s="6">
        <v>20906.37</v>
      </c>
      <c r="H990" s="6">
        <v>3417.98</v>
      </c>
      <c r="I990" s="27">
        <v>11905</v>
      </c>
      <c r="J990" s="27"/>
      <c r="K990" s="27">
        <f t="shared" si="96"/>
        <v>36229.35</v>
      </c>
      <c r="L990" s="39">
        <v>14000</v>
      </c>
      <c r="M990" s="9">
        <f t="shared" si="94"/>
        <v>0.38642702670624784</v>
      </c>
      <c r="N990" s="5">
        <v>1</v>
      </c>
      <c r="O990" s="10">
        <f t="shared" si="95"/>
        <v>0.38642702670624784</v>
      </c>
    </row>
    <row r="991" spans="2:15" ht="13.5" customHeight="1">
      <c r="B991" s="24">
        <v>161</v>
      </c>
      <c r="C991" s="25"/>
      <c r="D991" s="25"/>
      <c r="F991" s="15" t="s">
        <v>15</v>
      </c>
      <c r="G991" s="6">
        <v>20906.37</v>
      </c>
      <c r="H991" s="6">
        <v>3417.98</v>
      </c>
      <c r="I991" s="27">
        <v>11905</v>
      </c>
      <c r="J991" s="27"/>
      <c r="K991" s="27">
        <f t="shared" si="96"/>
        <v>36229.35</v>
      </c>
      <c r="L991" s="39">
        <v>17500</v>
      </c>
      <c r="M991" s="9">
        <f t="shared" si="94"/>
        <v>0.48303378338280983</v>
      </c>
      <c r="N991" s="5">
        <v>1</v>
      </c>
      <c r="O991" s="10">
        <f t="shared" si="95"/>
        <v>0.48303378338280983</v>
      </c>
    </row>
    <row r="992" spans="2:15" ht="13.5" customHeight="1">
      <c r="B992" s="24">
        <v>162</v>
      </c>
      <c r="C992" s="25"/>
      <c r="D992" s="25"/>
      <c r="E992" s="26"/>
      <c r="F992" s="15" t="s">
        <v>15</v>
      </c>
      <c r="G992" s="6">
        <v>20906.37</v>
      </c>
      <c r="H992" s="6">
        <v>3417.98</v>
      </c>
      <c r="I992" s="27">
        <v>11905</v>
      </c>
      <c r="J992" s="27"/>
      <c r="K992" s="27">
        <f t="shared" si="96"/>
        <v>36229.35</v>
      </c>
      <c r="L992" s="39">
        <v>14000</v>
      </c>
      <c r="M992" s="9">
        <f t="shared" si="94"/>
        <v>0.38642702670624784</v>
      </c>
      <c r="N992" s="5">
        <v>1</v>
      </c>
      <c r="O992" s="10">
        <f t="shared" si="95"/>
        <v>0.38642702670624784</v>
      </c>
    </row>
    <row r="993" spans="2:15" ht="13.5" customHeight="1">
      <c r="B993" s="24">
        <v>163</v>
      </c>
      <c r="C993" s="25"/>
      <c r="D993" s="25"/>
      <c r="E993" s="26"/>
      <c r="F993" s="15" t="s">
        <v>15</v>
      </c>
      <c r="G993" s="6">
        <v>20906.37</v>
      </c>
      <c r="H993" s="6">
        <v>3417.98</v>
      </c>
      <c r="I993" s="27">
        <v>11905</v>
      </c>
      <c r="J993" s="27"/>
      <c r="K993" s="27">
        <f t="shared" si="96"/>
        <v>36229.35</v>
      </c>
      <c r="L993" s="39">
        <v>14000</v>
      </c>
      <c r="M993" s="9">
        <f t="shared" si="94"/>
        <v>0.38642702670624784</v>
      </c>
      <c r="N993" s="5">
        <v>1</v>
      </c>
      <c r="O993" s="10">
        <f t="shared" si="95"/>
        <v>0.38642702670624784</v>
      </c>
    </row>
    <row r="994" spans="2:15" ht="13.5" customHeight="1">
      <c r="B994" s="24">
        <v>164</v>
      </c>
      <c r="C994" s="25"/>
      <c r="D994" s="25"/>
      <c r="E994" s="26"/>
      <c r="F994" s="15" t="s">
        <v>15</v>
      </c>
      <c r="G994" s="6">
        <v>20906.37</v>
      </c>
      <c r="H994" s="6">
        <v>3417.98</v>
      </c>
      <c r="I994" s="27">
        <v>11905</v>
      </c>
      <c r="J994" s="27"/>
      <c r="K994" s="27">
        <f t="shared" si="96"/>
        <v>36229.35</v>
      </c>
      <c r="L994" s="39">
        <v>14000</v>
      </c>
      <c r="M994" s="9">
        <f t="shared" si="94"/>
        <v>0.38642702670624784</v>
      </c>
      <c r="N994" s="5">
        <v>1</v>
      </c>
      <c r="O994" s="10">
        <f t="shared" si="95"/>
        <v>0.38642702670624784</v>
      </c>
    </row>
    <row r="995" spans="2:15" ht="13.5" customHeight="1">
      <c r="B995" s="24">
        <v>165</v>
      </c>
      <c r="C995" s="25"/>
      <c r="D995" s="25"/>
      <c r="E995" s="26"/>
      <c r="F995" s="15" t="s">
        <v>15</v>
      </c>
      <c r="G995" s="6">
        <v>20906.37</v>
      </c>
      <c r="H995" s="6">
        <v>3417.98</v>
      </c>
      <c r="I995" s="27">
        <v>11905</v>
      </c>
      <c r="J995" s="27"/>
      <c r="K995" s="27">
        <f t="shared" si="96"/>
        <v>36229.35</v>
      </c>
      <c r="L995" s="39">
        <v>17500</v>
      </c>
      <c r="M995" s="9">
        <f t="shared" si="94"/>
        <v>0.48303378338280983</v>
      </c>
      <c r="N995" s="5">
        <v>1</v>
      </c>
      <c r="O995" s="10">
        <f t="shared" si="95"/>
        <v>0.48303378338280983</v>
      </c>
    </row>
    <row r="996" spans="2:15" ht="13.5" customHeight="1">
      <c r="B996" s="24">
        <v>166</v>
      </c>
      <c r="C996" s="25"/>
      <c r="D996" s="25"/>
      <c r="E996" s="26"/>
      <c r="F996" s="15" t="s">
        <v>15</v>
      </c>
      <c r="G996" s="6">
        <v>20906.37</v>
      </c>
      <c r="H996" s="6">
        <v>3417.98</v>
      </c>
      <c r="I996" s="27">
        <v>11905</v>
      </c>
      <c r="J996" s="27"/>
      <c r="K996" s="27">
        <f t="shared" si="96"/>
        <v>36229.35</v>
      </c>
      <c r="L996" s="39">
        <v>14000</v>
      </c>
      <c r="M996" s="9">
        <f t="shared" si="94"/>
        <v>0.38642702670624784</v>
      </c>
      <c r="N996" s="5">
        <v>1</v>
      </c>
      <c r="O996" s="10">
        <f t="shared" si="95"/>
        <v>0.38642702670624784</v>
      </c>
    </row>
    <row r="997" spans="2:15" ht="13.5" customHeight="1">
      <c r="B997" s="24">
        <v>167</v>
      </c>
      <c r="C997" s="25"/>
      <c r="D997" s="25"/>
      <c r="E997" s="26"/>
      <c r="F997" s="15" t="s">
        <v>15</v>
      </c>
      <c r="G997" s="6">
        <v>20906.37</v>
      </c>
      <c r="H997" s="6">
        <v>3417.98</v>
      </c>
      <c r="I997" s="27">
        <v>11905</v>
      </c>
      <c r="J997" s="27"/>
      <c r="K997" s="27">
        <f t="shared" si="96"/>
        <v>36229.35</v>
      </c>
      <c r="L997" s="39">
        <v>14000</v>
      </c>
      <c r="M997" s="9">
        <f t="shared" si="94"/>
        <v>0.38642702670624784</v>
      </c>
      <c r="N997" s="5">
        <v>1</v>
      </c>
      <c r="O997" s="10">
        <f t="shared" si="95"/>
        <v>0.38642702670624784</v>
      </c>
    </row>
    <row r="998" spans="2:15" ht="13.5" customHeight="1">
      <c r="B998" s="24">
        <v>168</v>
      </c>
      <c r="C998" s="25"/>
      <c r="D998" s="25"/>
      <c r="F998" s="15" t="s">
        <v>15</v>
      </c>
      <c r="G998" s="6">
        <v>20906.37</v>
      </c>
      <c r="H998" s="6">
        <v>3417.98</v>
      </c>
      <c r="I998" s="27">
        <v>11905</v>
      </c>
      <c r="J998" s="27"/>
      <c r="K998" s="27">
        <f t="shared" si="96"/>
        <v>36229.35</v>
      </c>
      <c r="L998" s="39">
        <v>14000</v>
      </c>
      <c r="M998" s="9">
        <f t="shared" si="94"/>
        <v>0.38642702670624784</v>
      </c>
      <c r="N998" s="5">
        <v>1</v>
      </c>
      <c r="O998" s="10">
        <f t="shared" si="95"/>
        <v>0.38642702670624784</v>
      </c>
    </row>
    <row r="999" spans="2:15" ht="13.5" customHeight="1">
      <c r="B999" s="24">
        <v>169</v>
      </c>
      <c r="C999" s="25"/>
      <c r="D999" s="25"/>
      <c r="F999" s="15" t="s">
        <v>15</v>
      </c>
      <c r="G999" s="6">
        <v>20906.37</v>
      </c>
      <c r="H999" s="6">
        <v>3417.98</v>
      </c>
      <c r="I999" s="27">
        <v>11905</v>
      </c>
      <c r="J999" s="27"/>
      <c r="K999" s="27">
        <f t="shared" si="96"/>
        <v>36229.35</v>
      </c>
      <c r="L999" s="39">
        <v>14000</v>
      </c>
      <c r="M999" s="9">
        <f t="shared" si="94"/>
        <v>0.38642702670624784</v>
      </c>
      <c r="N999" s="5">
        <v>1</v>
      </c>
      <c r="O999" s="10">
        <f t="shared" si="95"/>
        <v>0.38642702670624784</v>
      </c>
    </row>
    <row r="1000" spans="2:15" ht="13.5" customHeight="1">
      <c r="B1000" s="24">
        <v>170</v>
      </c>
      <c r="C1000" s="25"/>
      <c r="D1000" s="25"/>
      <c r="E1000" s="26"/>
      <c r="F1000" s="15" t="s">
        <v>15</v>
      </c>
      <c r="G1000" s="6">
        <v>20906.37</v>
      </c>
      <c r="H1000" s="6">
        <v>3417.98</v>
      </c>
      <c r="I1000" s="27">
        <v>11905</v>
      </c>
      <c r="J1000" s="27"/>
      <c r="K1000" s="27">
        <f t="shared" si="96"/>
        <v>36229.35</v>
      </c>
      <c r="L1000" s="39">
        <v>14000</v>
      </c>
      <c r="M1000" s="9">
        <f t="shared" si="94"/>
        <v>0.38642702670624784</v>
      </c>
      <c r="N1000" s="5">
        <v>1</v>
      </c>
      <c r="O1000" s="10">
        <f t="shared" si="95"/>
        <v>0.38642702670624784</v>
      </c>
    </row>
    <row r="1001" spans="2:15" ht="13.5" customHeight="1">
      <c r="B1001" s="24">
        <v>171</v>
      </c>
      <c r="C1001" s="25"/>
      <c r="D1001" s="25"/>
      <c r="E1001" s="26"/>
      <c r="F1001" s="15" t="s">
        <v>15</v>
      </c>
      <c r="G1001" s="6">
        <v>20906.37</v>
      </c>
      <c r="H1001" s="6">
        <v>3417.98</v>
      </c>
      <c r="I1001" s="27">
        <v>11905</v>
      </c>
      <c r="J1001" s="27"/>
      <c r="K1001" s="27">
        <f t="shared" si="96"/>
        <v>36229.35</v>
      </c>
      <c r="L1001" s="39">
        <v>14000</v>
      </c>
      <c r="M1001" s="9">
        <f t="shared" si="94"/>
        <v>0.38642702670624784</v>
      </c>
      <c r="N1001" s="5">
        <v>1</v>
      </c>
      <c r="O1001" s="10">
        <f t="shared" si="95"/>
        <v>0.38642702670624784</v>
      </c>
    </row>
    <row r="1002" spans="2:15" ht="13.5" customHeight="1">
      <c r="B1002" s="24">
        <v>172</v>
      </c>
      <c r="C1002" s="25"/>
      <c r="D1002" s="25"/>
      <c r="E1002" s="26"/>
      <c r="F1002" s="15" t="s">
        <v>15</v>
      </c>
      <c r="G1002" s="6">
        <v>20906.37</v>
      </c>
      <c r="H1002" s="6">
        <v>3417.98</v>
      </c>
      <c r="I1002" s="27">
        <v>11905</v>
      </c>
      <c r="J1002" s="27"/>
      <c r="K1002" s="27">
        <f t="shared" si="96"/>
        <v>36229.35</v>
      </c>
      <c r="L1002" s="39">
        <v>14000</v>
      </c>
      <c r="M1002" s="9">
        <f t="shared" si="94"/>
        <v>0.38642702670624784</v>
      </c>
      <c r="N1002" s="5">
        <v>1</v>
      </c>
      <c r="O1002" s="10">
        <f t="shared" si="95"/>
        <v>0.38642702670624784</v>
      </c>
    </row>
    <row r="1003" spans="2:15" ht="13.5" customHeight="1">
      <c r="B1003" s="24">
        <v>173</v>
      </c>
      <c r="C1003" s="25"/>
      <c r="D1003" s="25"/>
      <c r="F1003" s="15" t="s">
        <v>15</v>
      </c>
      <c r="G1003" s="6">
        <v>20906.37</v>
      </c>
      <c r="H1003" s="6">
        <v>3417.98</v>
      </c>
      <c r="I1003" s="27">
        <v>11905</v>
      </c>
      <c r="J1003" s="27"/>
      <c r="K1003" s="27">
        <f t="shared" si="96"/>
        <v>36229.35</v>
      </c>
      <c r="L1003" s="39">
        <v>17500</v>
      </c>
      <c r="M1003" s="9">
        <f t="shared" si="94"/>
        <v>0.48303378338280983</v>
      </c>
      <c r="N1003" s="5">
        <v>1</v>
      </c>
      <c r="O1003" s="10">
        <f t="shared" si="95"/>
        <v>0.48303378338280983</v>
      </c>
    </row>
    <row r="1004" spans="2:15" ht="13.5" customHeight="1">
      <c r="B1004" s="24">
        <v>174</v>
      </c>
      <c r="C1004" s="25"/>
      <c r="D1004" s="25"/>
      <c r="E1004" s="26"/>
      <c r="F1004" s="15" t="s">
        <v>15</v>
      </c>
      <c r="G1004" s="6">
        <v>20906.37</v>
      </c>
      <c r="H1004" s="6">
        <v>3417.98</v>
      </c>
      <c r="I1004" s="27">
        <v>11905</v>
      </c>
      <c r="J1004" s="27"/>
      <c r="K1004" s="27">
        <f t="shared" si="96"/>
        <v>36229.35</v>
      </c>
      <c r="L1004" s="39">
        <v>14000</v>
      </c>
      <c r="M1004" s="9">
        <f t="shared" si="94"/>
        <v>0.38642702670624784</v>
      </c>
      <c r="N1004" s="5">
        <v>1</v>
      </c>
      <c r="O1004" s="10">
        <f t="shared" si="95"/>
        <v>0.38642702670624784</v>
      </c>
    </row>
    <row r="1005" spans="2:15" ht="13.5" customHeight="1">
      <c r="B1005" s="24">
        <v>175</v>
      </c>
      <c r="C1005" s="25"/>
      <c r="D1005" s="25"/>
      <c r="F1005" s="15" t="s">
        <v>15</v>
      </c>
      <c r="G1005" s="6">
        <v>20906.37</v>
      </c>
      <c r="H1005" s="6">
        <v>3417.98</v>
      </c>
      <c r="I1005" s="27">
        <v>11905</v>
      </c>
      <c r="J1005" s="27"/>
      <c r="K1005" s="27">
        <f t="shared" si="96"/>
        <v>36229.35</v>
      </c>
      <c r="L1005" s="39">
        <v>14000</v>
      </c>
      <c r="M1005" s="9">
        <f t="shared" si="94"/>
        <v>0.38642702670624784</v>
      </c>
      <c r="N1005" s="5">
        <v>1</v>
      </c>
      <c r="O1005" s="10">
        <f t="shared" si="95"/>
        <v>0.38642702670624784</v>
      </c>
    </row>
    <row r="1006" spans="2:15" ht="13.5" customHeight="1">
      <c r="B1006" s="24">
        <v>176</v>
      </c>
      <c r="C1006" s="25"/>
      <c r="D1006" s="25"/>
      <c r="F1006" s="15" t="s">
        <v>15</v>
      </c>
      <c r="G1006" s="6">
        <v>20906.37</v>
      </c>
      <c r="H1006" s="6">
        <v>3417.98</v>
      </c>
      <c r="I1006" s="27">
        <v>11905</v>
      </c>
      <c r="J1006" s="27"/>
      <c r="K1006" s="27">
        <f t="shared" si="96"/>
        <v>36229.35</v>
      </c>
      <c r="L1006" s="39">
        <v>14000</v>
      </c>
      <c r="M1006" s="9">
        <f t="shared" si="94"/>
        <v>0.38642702670624784</v>
      </c>
      <c r="N1006" s="5">
        <v>1</v>
      </c>
      <c r="O1006" s="10">
        <f t="shared" si="95"/>
        <v>0.38642702670624784</v>
      </c>
    </row>
    <row r="1007" spans="2:15" ht="13.5" customHeight="1">
      <c r="B1007" s="24">
        <v>177</v>
      </c>
      <c r="C1007" s="25"/>
      <c r="D1007" s="25"/>
      <c r="E1007" s="26"/>
      <c r="F1007" s="15" t="s">
        <v>15</v>
      </c>
      <c r="G1007" s="6">
        <v>20906.37</v>
      </c>
      <c r="H1007" s="6">
        <v>3417.98</v>
      </c>
      <c r="I1007" s="27">
        <v>11905</v>
      </c>
      <c r="J1007" s="27"/>
      <c r="K1007" s="27">
        <f t="shared" si="96"/>
        <v>36229.35</v>
      </c>
      <c r="L1007" s="39">
        <v>14000</v>
      </c>
      <c r="M1007" s="9">
        <f t="shared" si="94"/>
        <v>0.38642702670624784</v>
      </c>
      <c r="N1007" s="5">
        <v>1</v>
      </c>
      <c r="O1007" s="10">
        <f t="shared" si="95"/>
        <v>0.38642702670624784</v>
      </c>
    </row>
    <row r="1008" spans="2:15" ht="13.5" customHeight="1">
      <c r="B1008" s="24">
        <v>178</v>
      </c>
      <c r="C1008" s="25"/>
      <c r="D1008" s="25"/>
      <c r="E1008" s="26"/>
      <c r="F1008" s="15" t="s">
        <v>15</v>
      </c>
      <c r="G1008" s="6">
        <v>20906.37</v>
      </c>
      <c r="H1008" s="6">
        <v>3417.98</v>
      </c>
      <c r="I1008" s="27">
        <v>11905</v>
      </c>
      <c r="J1008" s="27"/>
      <c r="K1008" s="27">
        <f t="shared" si="96"/>
        <v>36229.35</v>
      </c>
      <c r="L1008" s="39">
        <v>14000</v>
      </c>
      <c r="M1008" s="9">
        <f t="shared" si="94"/>
        <v>0.38642702670624784</v>
      </c>
      <c r="N1008" s="5">
        <v>1</v>
      </c>
      <c r="O1008" s="10">
        <f t="shared" si="95"/>
        <v>0.38642702670624784</v>
      </c>
    </row>
    <row r="1009" spans="2:15" ht="13.5" customHeight="1">
      <c r="B1009" s="24">
        <v>179</v>
      </c>
      <c r="C1009" s="25"/>
      <c r="D1009" s="25"/>
      <c r="F1009" s="15" t="s">
        <v>15</v>
      </c>
      <c r="G1009" s="6">
        <v>20906.37</v>
      </c>
      <c r="H1009" s="6">
        <v>3417.98</v>
      </c>
      <c r="I1009" s="27">
        <v>11905</v>
      </c>
      <c r="J1009" s="27"/>
      <c r="K1009" s="27">
        <f t="shared" si="96"/>
        <v>36229.35</v>
      </c>
      <c r="L1009" s="39">
        <v>14000</v>
      </c>
      <c r="M1009" s="9">
        <f t="shared" si="94"/>
        <v>0.38642702670624784</v>
      </c>
      <c r="N1009" s="5">
        <v>1</v>
      </c>
      <c r="O1009" s="10">
        <f t="shared" si="95"/>
        <v>0.38642702670624784</v>
      </c>
    </row>
    <row r="1010" spans="2:15" ht="13.5" customHeight="1">
      <c r="B1010" s="24">
        <v>180</v>
      </c>
      <c r="C1010" s="25"/>
      <c r="D1010" s="25"/>
      <c r="E1010" s="26"/>
      <c r="F1010" s="15" t="s">
        <v>15</v>
      </c>
      <c r="G1010" s="6">
        <v>20906.37</v>
      </c>
      <c r="H1010" s="6">
        <v>3417.98</v>
      </c>
      <c r="I1010" s="27">
        <v>11905</v>
      </c>
      <c r="J1010" s="27"/>
      <c r="K1010" s="27">
        <f t="shared" si="96"/>
        <v>36229.35</v>
      </c>
      <c r="L1010" s="39">
        <v>14000</v>
      </c>
      <c r="M1010" s="9">
        <f t="shared" si="94"/>
        <v>0.38642702670624784</v>
      </c>
      <c r="N1010" s="5">
        <v>1</v>
      </c>
      <c r="O1010" s="10">
        <f t="shared" si="95"/>
        <v>0.38642702670624784</v>
      </c>
    </row>
    <row r="1011" spans="2:15" ht="13.5" customHeight="1">
      <c r="B1011" s="24">
        <v>181</v>
      </c>
      <c r="C1011" s="25"/>
      <c r="D1011" s="25"/>
      <c r="F1011" s="15" t="s">
        <v>15</v>
      </c>
      <c r="G1011" s="6">
        <v>20906.37</v>
      </c>
      <c r="H1011" s="6">
        <v>3417.98</v>
      </c>
      <c r="I1011" s="27">
        <v>11905</v>
      </c>
      <c r="J1011" s="27"/>
      <c r="K1011" s="27">
        <f t="shared" si="96"/>
        <v>36229.35</v>
      </c>
      <c r="L1011" s="39">
        <v>14000</v>
      </c>
      <c r="M1011" s="9">
        <f t="shared" si="94"/>
        <v>0.38642702670624784</v>
      </c>
      <c r="N1011" s="5">
        <v>1</v>
      </c>
      <c r="O1011" s="10">
        <f t="shared" si="95"/>
        <v>0.38642702670624784</v>
      </c>
    </row>
    <row r="1012" spans="2:15" ht="13.5" customHeight="1">
      <c r="B1012" s="24">
        <v>182</v>
      </c>
      <c r="C1012" s="25"/>
      <c r="D1012" s="25"/>
      <c r="E1012" s="26"/>
      <c r="F1012" s="15" t="s">
        <v>15</v>
      </c>
      <c r="G1012" s="6">
        <v>20906.37</v>
      </c>
      <c r="H1012" s="6">
        <v>3417.98</v>
      </c>
      <c r="I1012" s="27">
        <v>11905</v>
      </c>
      <c r="J1012" s="27"/>
      <c r="K1012" s="27">
        <f t="shared" si="96"/>
        <v>36229.35</v>
      </c>
      <c r="L1012" s="39">
        <v>14000</v>
      </c>
      <c r="M1012" s="9">
        <f t="shared" si="94"/>
        <v>0.38642702670624784</v>
      </c>
      <c r="N1012" s="5">
        <v>1</v>
      </c>
      <c r="O1012" s="10">
        <f t="shared" si="95"/>
        <v>0.38642702670624784</v>
      </c>
    </row>
    <row r="1013" spans="2:15" ht="13.5" customHeight="1">
      <c r="B1013" s="24">
        <v>183</v>
      </c>
      <c r="C1013" s="25"/>
      <c r="D1013" s="25"/>
      <c r="E1013" s="26"/>
      <c r="F1013" s="15" t="s">
        <v>15</v>
      </c>
      <c r="G1013" s="6">
        <v>20906.37</v>
      </c>
      <c r="H1013" s="6">
        <v>3417.98</v>
      </c>
      <c r="I1013" s="27">
        <v>11905</v>
      </c>
      <c r="J1013" s="27"/>
      <c r="K1013" s="27">
        <f t="shared" si="96"/>
        <v>36229.35</v>
      </c>
      <c r="L1013" s="39">
        <v>14000</v>
      </c>
      <c r="M1013" s="9">
        <f t="shared" si="94"/>
        <v>0.38642702670624784</v>
      </c>
      <c r="N1013" s="5">
        <v>1</v>
      </c>
      <c r="O1013" s="10">
        <f t="shared" si="95"/>
        <v>0.38642702670624784</v>
      </c>
    </row>
    <row r="1014" spans="2:15" ht="13.5" customHeight="1">
      <c r="B1014" s="24">
        <v>184</v>
      </c>
      <c r="C1014" s="25"/>
      <c r="D1014" s="25"/>
      <c r="E1014" s="26"/>
      <c r="F1014" s="15" t="s">
        <v>15</v>
      </c>
      <c r="G1014" s="6">
        <v>20906.37</v>
      </c>
      <c r="H1014" s="6">
        <v>3417.98</v>
      </c>
      <c r="I1014" s="27">
        <v>11905</v>
      </c>
      <c r="J1014" s="27"/>
      <c r="K1014" s="27">
        <f t="shared" si="96"/>
        <v>36229.35</v>
      </c>
      <c r="L1014" s="39">
        <v>14000</v>
      </c>
      <c r="M1014" s="9">
        <f t="shared" si="94"/>
        <v>0.38642702670624784</v>
      </c>
      <c r="N1014" s="5">
        <v>1</v>
      </c>
      <c r="O1014" s="10">
        <f t="shared" si="95"/>
        <v>0.38642702670624784</v>
      </c>
    </row>
    <row r="1015" spans="2:15" ht="13.5" customHeight="1">
      <c r="B1015" s="24">
        <v>185</v>
      </c>
      <c r="C1015" s="25"/>
      <c r="D1015" s="25"/>
      <c r="E1015" s="26"/>
      <c r="F1015" s="15" t="s">
        <v>15</v>
      </c>
      <c r="G1015" s="6">
        <v>20906.37</v>
      </c>
      <c r="H1015" s="6">
        <v>3417.98</v>
      </c>
      <c r="I1015" s="27">
        <v>11905</v>
      </c>
      <c r="J1015" s="27"/>
      <c r="K1015" s="27">
        <f t="shared" si="96"/>
        <v>36229.35</v>
      </c>
      <c r="L1015" s="39">
        <v>14000</v>
      </c>
      <c r="M1015" s="9">
        <f t="shared" si="94"/>
        <v>0.38642702670624784</v>
      </c>
      <c r="N1015" s="5">
        <v>1</v>
      </c>
      <c r="O1015" s="10">
        <f t="shared" si="95"/>
        <v>0.38642702670624784</v>
      </c>
    </row>
    <row r="1016" spans="2:15" ht="13.5" customHeight="1">
      <c r="B1016" s="24">
        <v>186</v>
      </c>
      <c r="C1016" s="25"/>
      <c r="D1016" s="25"/>
      <c r="E1016" s="26"/>
      <c r="F1016" s="15" t="s">
        <v>15</v>
      </c>
      <c r="G1016" s="6">
        <v>20906.37</v>
      </c>
      <c r="H1016" s="6">
        <v>3417.98</v>
      </c>
      <c r="I1016" s="27">
        <v>11905</v>
      </c>
      <c r="J1016" s="27"/>
      <c r="K1016" s="27">
        <f t="shared" si="96"/>
        <v>36229.35</v>
      </c>
      <c r="L1016" s="39">
        <v>17500</v>
      </c>
      <c r="M1016" s="9">
        <f t="shared" si="94"/>
        <v>0.48303378338280983</v>
      </c>
      <c r="N1016" s="5">
        <v>1</v>
      </c>
      <c r="O1016" s="10">
        <f t="shared" si="95"/>
        <v>0.48303378338280983</v>
      </c>
    </row>
    <row r="1017" spans="2:15" ht="13.5" customHeight="1">
      <c r="B1017" s="24">
        <v>187</v>
      </c>
      <c r="C1017" s="25"/>
      <c r="D1017" s="25"/>
      <c r="E1017" s="26"/>
      <c r="F1017" s="15" t="s">
        <v>15</v>
      </c>
      <c r="G1017" s="6">
        <v>20906.37</v>
      </c>
      <c r="H1017" s="6">
        <v>3417.98</v>
      </c>
      <c r="I1017" s="27">
        <v>11905</v>
      </c>
      <c r="J1017" s="27"/>
      <c r="K1017" s="27">
        <f t="shared" si="96"/>
        <v>36229.35</v>
      </c>
      <c r="L1017" s="39">
        <v>14000</v>
      </c>
      <c r="M1017" s="9">
        <f t="shared" si="94"/>
        <v>0.38642702670624784</v>
      </c>
      <c r="N1017" s="5">
        <v>1</v>
      </c>
      <c r="O1017" s="10">
        <f t="shared" si="95"/>
        <v>0.38642702670624784</v>
      </c>
    </row>
    <row r="1018" spans="2:15" ht="13.5" customHeight="1">
      <c r="B1018" s="24">
        <v>188</v>
      </c>
      <c r="C1018" s="25"/>
      <c r="D1018" s="25"/>
      <c r="E1018" s="26"/>
      <c r="F1018" s="15" t="s">
        <v>15</v>
      </c>
      <c r="G1018" s="6">
        <v>20906.37</v>
      </c>
      <c r="H1018" s="6">
        <v>3417.98</v>
      </c>
      <c r="I1018" s="27">
        <v>11905</v>
      </c>
      <c r="J1018" s="27"/>
      <c r="K1018" s="27">
        <f t="shared" si="96"/>
        <v>36229.35</v>
      </c>
      <c r="L1018" s="39">
        <v>14000</v>
      </c>
      <c r="M1018" s="9">
        <f t="shared" si="94"/>
        <v>0.38642702670624784</v>
      </c>
      <c r="N1018" s="5">
        <v>1</v>
      </c>
      <c r="O1018" s="10">
        <f t="shared" si="95"/>
        <v>0.38642702670624784</v>
      </c>
    </row>
    <row r="1019" spans="2:15" ht="13.5" customHeight="1">
      <c r="B1019" s="24">
        <v>189</v>
      </c>
      <c r="C1019" s="25"/>
      <c r="D1019" s="25"/>
      <c r="E1019" s="26"/>
      <c r="F1019" s="15" t="s">
        <v>15</v>
      </c>
      <c r="G1019" s="6">
        <v>20906.37</v>
      </c>
      <c r="H1019" s="6">
        <v>3417.98</v>
      </c>
      <c r="I1019" s="27">
        <v>11905</v>
      </c>
      <c r="J1019" s="27"/>
      <c r="K1019" s="27">
        <f t="shared" si="96"/>
        <v>36229.35</v>
      </c>
      <c r="L1019" s="39">
        <v>17500</v>
      </c>
      <c r="M1019" s="9">
        <f t="shared" si="94"/>
        <v>0.48303378338280983</v>
      </c>
      <c r="N1019" s="5">
        <v>1</v>
      </c>
      <c r="O1019" s="10">
        <f t="shared" si="95"/>
        <v>0.48303378338280983</v>
      </c>
    </row>
    <row r="1020" spans="2:15" ht="13.5" customHeight="1">
      <c r="B1020" s="24">
        <v>190</v>
      </c>
      <c r="C1020" s="25"/>
      <c r="D1020" s="25"/>
      <c r="E1020" s="26"/>
      <c r="F1020" s="15" t="s">
        <v>15</v>
      </c>
      <c r="G1020" s="6">
        <v>20906.37</v>
      </c>
      <c r="H1020" s="6">
        <v>3417.98</v>
      </c>
      <c r="I1020" s="27">
        <v>11905</v>
      </c>
      <c r="J1020" s="27"/>
      <c r="K1020" s="27">
        <f t="shared" si="96"/>
        <v>36229.35</v>
      </c>
      <c r="L1020" s="39">
        <v>14000</v>
      </c>
      <c r="M1020" s="9">
        <f t="shared" si="94"/>
        <v>0.38642702670624784</v>
      </c>
      <c r="N1020" s="5">
        <v>1</v>
      </c>
      <c r="O1020" s="10">
        <f t="shared" si="95"/>
        <v>0.38642702670624784</v>
      </c>
    </row>
    <row r="1021" spans="2:15" ht="13.5" customHeight="1">
      <c r="B1021" s="24">
        <v>191</v>
      </c>
      <c r="C1021" s="25"/>
      <c r="D1021" s="25"/>
      <c r="E1021" s="26"/>
      <c r="F1021" s="15" t="s">
        <v>15</v>
      </c>
      <c r="G1021" s="6">
        <v>20906.37</v>
      </c>
      <c r="H1021" s="6">
        <v>3417.98</v>
      </c>
      <c r="I1021" s="27">
        <v>11905</v>
      </c>
      <c r="J1021" s="27"/>
      <c r="K1021" s="27">
        <f t="shared" si="96"/>
        <v>36229.35</v>
      </c>
      <c r="L1021" s="39">
        <v>14000</v>
      </c>
      <c r="M1021" s="9">
        <f t="shared" si="94"/>
        <v>0.38642702670624784</v>
      </c>
      <c r="N1021" s="5">
        <v>1</v>
      </c>
      <c r="O1021" s="10">
        <f t="shared" si="95"/>
        <v>0.38642702670624784</v>
      </c>
    </row>
    <row r="1022" spans="2:15" ht="13.5" customHeight="1">
      <c r="B1022" s="24">
        <v>192</v>
      </c>
      <c r="C1022" s="25"/>
      <c r="D1022" s="25"/>
      <c r="E1022" s="26"/>
      <c r="F1022" s="15" t="s">
        <v>15</v>
      </c>
      <c r="G1022" s="6">
        <v>20906.37</v>
      </c>
      <c r="H1022" s="6">
        <v>3417.98</v>
      </c>
      <c r="I1022" s="27">
        <v>11905</v>
      </c>
      <c r="J1022" s="27"/>
      <c r="K1022" s="27">
        <f t="shared" si="96"/>
        <v>36229.35</v>
      </c>
      <c r="L1022" s="39">
        <v>14000</v>
      </c>
      <c r="M1022" s="9">
        <f t="shared" ref="M1022:M1050" si="97">L1022/K1022</f>
        <v>0.38642702670624784</v>
      </c>
      <c r="N1022" s="5">
        <v>1</v>
      </c>
      <c r="O1022" s="10">
        <f t="shared" ref="O1022:O1050" si="98">N1022*M1022</f>
        <v>0.38642702670624784</v>
      </c>
    </row>
    <row r="1023" spans="2:15" ht="13.5" customHeight="1">
      <c r="B1023" s="24">
        <v>193</v>
      </c>
      <c r="C1023" s="25"/>
      <c r="D1023" s="25"/>
      <c r="E1023" s="26"/>
      <c r="F1023" s="15" t="s">
        <v>15</v>
      </c>
      <c r="G1023" s="6">
        <v>20906.37</v>
      </c>
      <c r="H1023" s="6">
        <v>3417.98</v>
      </c>
      <c r="I1023" s="27">
        <v>11905</v>
      </c>
      <c r="J1023" s="27"/>
      <c r="K1023" s="27">
        <f t="shared" si="96"/>
        <v>36229.35</v>
      </c>
      <c r="L1023" s="39">
        <v>14000</v>
      </c>
      <c r="M1023" s="9">
        <f t="shared" si="97"/>
        <v>0.38642702670624784</v>
      </c>
      <c r="N1023" s="5">
        <v>1</v>
      </c>
      <c r="O1023" s="10">
        <f t="shared" si="98"/>
        <v>0.38642702670624784</v>
      </c>
    </row>
    <row r="1024" spans="2:15" ht="13.5" customHeight="1">
      <c r="B1024" s="24">
        <v>194</v>
      </c>
      <c r="C1024" s="25"/>
      <c r="D1024" s="25"/>
      <c r="E1024" s="26"/>
      <c r="F1024" s="15" t="s">
        <v>15</v>
      </c>
      <c r="G1024" s="6">
        <v>20906.37</v>
      </c>
      <c r="H1024" s="6">
        <v>3417.98</v>
      </c>
      <c r="I1024" s="27">
        <v>11905</v>
      </c>
      <c r="J1024" s="27"/>
      <c r="K1024" s="27">
        <f t="shared" ref="K1024:K1050" si="99">SUM(G1024:I1024)</f>
        <v>36229.35</v>
      </c>
      <c r="L1024" s="39">
        <v>14000</v>
      </c>
      <c r="M1024" s="9">
        <f t="shared" si="97"/>
        <v>0.38642702670624784</v>
      </c>
      <c r="N1024" s="5">
        <v>1</v>
      </c>
      <c r="O1024" s="10">
        <f t="shared" si="98"/>
        <v>0.38642702670624784</v>
      </c>
    </row>
    <row r="1025" spans="2:15" ht="13.5" customHeight="1">
      <c r="B1025" s="24">
        <v>195</v>
      </c>
      <c r="C1025" s="25"/>
      <c r="D1025" s="25"/>
      <c r="E1025" s="26"/>
      <c r="F1025" s="15" t="s">
        <v>15</v>
      </c>
      <c r="G1025" s="6">
        <v>20906.37</v>
      </c>
      <c r="H1025" s="6">
        <v>3417.98</v>
      </c>
      <c r="I1025" s="27">
        <v>11905</v>
      </c>
      <c r="J1025" s="27"/>
      <c r="K1025" s="27">
        <f t="shared" si="99"/>
        <v>36229.35</v>
      </c>
      <c r="L1025" s="39">
        <v>14000</v>
      </c>
      <c r="M1025" s="9">
        <f t="shared" si="97"/>
        <v>0.38642702670624784</v>
      </c>
      <c r="N1025" s="5">
        <v>1</v>
      </c>
      <c r="O1025" s="10">
        <f t="shared" si="98"/>
        <v>0.38642702670624784</v>
      </c>
    </row>
    <row r="1026" spans="2:15" ht="13.5" customHeight="1">
      <c r="B1026" s="24">
        <v>196</v>
      </c>
      <c r="C1026" s="25"/>
      <c r="D1026" s="25"/>
      <c r="E1026" s="26"/>
      <c r="F1026" s="15" t="s">
        <v>15</v>
      </c>
      <c r="G1026" s="6">
        <v>20906.37</v>
      </c>
      <c r="H1026" s="6">
        <v>3417.98</v>
      </c>
      <c r="I1026" s="27">
        <v>11905</v>
      </c>
      <c r="J1026" s="27"/>
      <c r="K1026" s="27">
        <f t="shared" si="99"/>
        <v>36229.35</v>
      </c>
      <c r="L1026" s="39">
        <v>14000</v>
      </c>
      <c r="M1026" s="9">
        <f t="shared" si="97"/>
        <v>0.38642702670624784</v>
      </c>
      <c r="N1026" s="5">
        <v>1</v>
      </c>
      <c r="O1026" s="10">
        <f t="shared" si="98"/>
        <v>0.38642702670624784</v>
      </c>
    </row>
    <row r="1027" spans="2:15" ht="13.5" customHeight="1">
      <c r="B1027" s="24">
        <v>197</v>
      </c>
      <c r="C1027" s="25"/>
      <c r="D1027" s="25"/>
      <c r="E1027" s="26"/>
      <c r="F1027" s="15" t="s">
        <v>15</v>
      </c>
      <c r="G1027" s="6">
        <v>20906.37</v>
      </c>
      <c r="H1027" s="6">
        <v>3417.98</v>
      </c>
      <c r="I1027" s="27">
        <v>11905</v>
      </c>
      <c r="J1027" s="27"/>
      <c r="K1027" s="27">
        <f t="shared" si="99"/>
        <v>36229.35</v>
      </c>
      <c r="L1027" s="39">
        <v>14000</v>
      </c>
      <c r="M1027" s="9">
        <f t="shared" si="97"/>
        <v>0.38642702670624784</v>
      </c>
      <c r="N1027" s="5">
        <v>1</v>
      </c>
      <c r="O1027" s="10">
        <f t="shared" si="98"/>
        <v>0.38642702670624784</v>
      </c>
    </row>
    <row r="1028" spans="2:15" ht="13.5" customHeight="1">
      <c r="B1028" s="24">
        <v>198</v>
      </c>
      <c r="C1028" s="25"/>
      <c r="D1028" s="25"/>
      <c r="F1028" s="15" t="s">
        <v>15</v>
      </c>
      <c r="G1028" s="6">
        <v>20906.37</v>
      </c>
      <c r="H1028" s="6">
        <v>3417.98</v>
      </c>
      <c r="I1028" s="27">
        <v>11905</v>
      </c>
      <c r="J1028" s="27"/>
      <c r="K1028" s="27">
        <f t="shared" si="99"/>
        <v>36229.35</v>
      </c>
      <c r="L1028" s="39">
        <v>14000</v>
      </c>
      <c r="M1028" s="9">
        <f t="shared" si="97"/>
        <v>0.38642702670624784</v>
      </c>
      <c r="N1028" s="5">
        <v>1</v>
      </c>
      <c r="O1028" s="10">
        <f t="shared" si="98"/>
        <v>0.38642702670624784</v>
      </c>
    </row>
    <row r="1029" spans="2:15" ht="13.5" customHeight="1">
      <c r="B1029" s="24">
        <v>199</v>
      </c>
      <c r="C1029" s="25"/>
      <c r="D1029" s="25"/>
      <c r="E1029" s="26"/>
      <c r="F1029" s="15" t="s">
        <v>15</v>
      </c>
      <c r="G1029" s="6">
        <v>20906.37</v>
      </c>
      <c r="H1029" s="6">
        <v>3417.98</v>
      </c>
      <c r="I1029" s="27">
        <v>11905</v>
      </c>
      <c r="J1029" s="27"/>
      <c r="K1029" s="27">
        <f t="shared" si="99"/>
        <v>36229.35</v>
      </c>
      <c r="L1029" s="39">
        <v>14000</v>
      </c>
      <c r="M1029" s="9">
        <f t="shared" si="97"/>
        <v>0.38642702670624784</v>
      </c>
      <c r="N1029" s="5">
        <v>1</v>
      </c>
      <c r="O1029" s="10">
        <f t="shared" si="98"/>
        <v>0.38642702670624784</v>
      </c>
    </row>
    <row r="1030" spans="2:15" ht="13.5" customHeight="1">
      <c r="B1030" s="24">
        <v>200</v>
      </c>
      <c r="C1030" s="25"/>
      <c r="D1030" s="25"/>
      <c r="E1030" s="26"/>
      <c r="F1030" s="15" t="s">
        <v>15</v>
      </c>
      <c r="G1030" s="6">
        <v>20906.37</v>
      </c>
      <c r="H1030" s="6">
        <v>3417.98</v>
      </c>
      <c r="I1030" s="27">
        <v>11905</v>
      </c>
      <c r="J1030" s="27"/>
      <c r="K1030" s="27">
        <f t="shared" si="99"/>
        <v>36229.35</v>
      </c>
      <c r="L1030" s="39">
        <v>14000</v>
      </c>
      <c r="M1030" s="9">
        <f t="shared" si="97"/>
        <v>0.38642702670624784</v>
      </c>
      <c r="N1030" s="5">
        <v>1</v>
      </c>
      <c r="O1030" s="10">
        <f t="shared" si="98"/>
        <v>0.38642702670624784</v>
      </c>
    </row>
    <row r="1031" spans="2:15" ht="13.5" customHeight="1">
      <c r="B1031" s="24">
        <v>201</v>
      </c>
      <c r="C1031" s="25"/>
      <c r="D1031" s="25"/>
      <c r="E1031" s="26"/>
      <c r="F1031" s="15" t="s">
        <v>15</v>
      </c>
      <c r="G1031" s="6">
        <v>20906.37</v>
      </c>
      <c r="H1031" s="6">
        <v>3417.98</v>
      </c>
      <c r="I1031" s="27">
        <v>11905</v>
      </c>
      <c r="J1031" s="27"/>
      <c r="K1031" s="27">
        <f t="shared" si="99"/>
        <v>36229.35</v>
      </c>
      <c r="L1031" s="39">
        <v>14000</v>
      </c>
      <c r="M1031" s="9">
        <f t="shared" si="97"/>
        <v>0.38642702670624784</v>
      </c>
      <c r="N1031" s="5">
        <v>1</v>
      </c>
      <c r="O1031" s="10">
        <f t="shared" si="98"/>
        <v>0.38642702670624784</v>
      </c>
    </row>
    <row r="1032" spans="2:15" ht="13.5" customHeight="1">
      <c r="B1032" s="24">
        <v>202</v>
      </c>
      <c r="C1032" s="25"/>
      <c r="D1032" s="25"/>
      <c r="E1032" s="26"/>
      <c r="F1032" s="15" t="s">
        <v>15</v>
      </c>
      <c r="G1032" s="6">
        <v>20906.37</v>
      </c>
      <c r="H1032" s="6">
        <v>3417.98</v>
      </c>
      <c r="I1032" s="27">
        <v>11905</v>
      </c>
      <c r="J1032" s="27"/>
      <c r="K1032" s="27">
        <f t="shared" si="99"/>
        <v>36229.35</v>
      </c>
      <c r="L1032" s="39">
        <v>14000</v>
      </c>
      <c r="M1032" s="9">
        <f t="shared" si="97"/>
        <v>0.38642702670624784</v>
      </c>
      <c r="N1032" s="5">
        <v>1</v>
      </c>
      <c r="O1032" s="10">
        <f t="shared" si="98"/>
        <v>0.38642702670624784</v>
      </c>
    </row>
    <row r="1033" spans="2:15" ht="13.5" customHeight="1">
      <c r="B1033" s="24">
        <v>203</v>
      </c>
      <c r="C1033" s="25"/>
      <c r="D1033" s="25"/>
      <c r="E1033" s="26"/>
      <c r="F1033" s="15" t="s">
        <v>15</v>
      </c>
      <c r="G1033" s="6">
        <v>20906.37</v>
      </c>
      <c r="H1033" s="6">
        <v>3417.98</v>
      </c>
      <c r="I1033" s="27">
        <v>11905</v>
      </c>
      <c r="J1033" s="27"/>
      <c r="K1033" s="27">
        <f t="shared" si="99"/>
        <v>36229.35</v>
      </c>
      <c r="L1033" s="39">
        <v>14000</v>
      </c>
      <c r="M1033" s="9">
        <f t="shared" si="97"/>
        <v>0.38642702670624784</v>
      </c>
      <c r="N1033" s="5">
        <v>1</v>
      </c>
      <c r="O1033" s="10">
        <f t="shared" si="98"/>
        <v>0.38642702670624784</v>
      </c>
    </row>
    <row r="1034" spans="2:15" ht="13.5" customHeight="1">
      <c r="B1034" s="24">
        <v>204</v>
      </c>
      <c r="C1034" s="25"/>
      <c r="D1034" s="25"/>
      <c r="E1034" s="26"/>
      <c r="F1034" s="15" t="s">
        <v>15</v>
      </c>
      <c r="G1034" s="6">
        <v>20906.37</v>
      </c>
      <c r="H1034" s="6">
        <v>3417.98</v>
      </c>
      <c r="I1034" s="27">
        <v>11905</v>
      </c>
      <c r="J1034" s="27"/>
      <c r="K1034" s="27">
        <f t="shared" si="99"/>
        <v>36229.35</v>
      </c>
      <c r="L1034" s="39">
        <v>14000</v>
      </c>
      <c r="M1034" s="9">
        <f t="shared" si="97"/>
        <v>0.38642702670624784</v>
      </c>
      <c r="N1034" s="5">
        <v>1</v>
      </c>
      <c r="O1034" s="10">
        <f t="shared" si="98"/>
        <v>0.38642702670624784</v>
      </c>
    </row>
    <row r="1035" spans="2:15" ht="13.5" customHeight="1">
      <c r="B1035" s="24">
        <v>205</v>
      </c>
      <c r="C1035" s="25"/>
      <c r="D1035" s="25"/>
      <c r="E1035" s="26"/>
      <c r="F1035" s="15" t="s">
        <v>15</v>
      </c>
      <c r="G1035" s="6">
        <v>20906.37</v>
      </c>
      <c r="H1035" s="6">
        <v>3417.98</v>
      </c>
      <c r="I1035" s="27">
        <v>11905</v>
      </c>
      <c r="J1035" s="27"/>
      <c r="K1035" s="27">
        <f t="shared" si="99"/>
        <v>36229.35</v>
      </c>
      <c r="L1035" s="39">
        <v>14000</v>
      </c>
      <c r="M1035" s="9">
        <f t="shared" si="97"/>
        <v>0.38642702670624784</v>
      </c>
      <c r="N1035" s="5">
        <v>1</v>
      </c>
      <c r="O1035" s="10">
        <f t="shared" si="98"/>
        <v>0.38642702670624784</v>
      </c>
    </row>
    <row r="1036" spans="2:15" ht="13.5" customHeight="1">
      <c r="B1036" s="24">
        <v>206</v>
      </c>
      <c r="C1036" s="25"/>
      <c r="D1036" s="25"/>
      <c r="E1036" s="26"/>
      <c r="F1036" s="15" t="s">
        <v>15</v>
      </c>
      <c r="G1036" s="6">
        <v>20906.37</v>
      </c>
      <c r="H1036" s="6">
        <v>3417.98</v>
      </c>
      <c r="I1036" s="27">
        <v>11905</v>
      </c>
      <c r="J1036" s="27"/>
      <c r="K1036" s="27">
        <f t="shared" si="99"/>
        <v>36229.35</v>
      </c>
      <c r="L1036" s="39">
        <v>14000</v>
      </c>
      <c r="M1036" s="9">
        <f t="shared" si="97"/>
        <v>0.38642702670624784</v>
      </c>
      <c r="N1036" s="5">
        <v>1</v>
      </c>
      <c r="O1036" s="10">
        <f t="shared" si="98"/>
        <v>0.38642702670624784</v>
      </c>
    </row>
    <row r="1037" spans="2:15" ht="13.5" customHeight="1">
      <c r="B1037" s="24">
        <v>207</v>
      </c>
      <c r="C1037" s="25"/>
      <c r="D1037" s="25"/>
      <c r="E1037" s="26"/>
      <c r="F1037" s="15" t="s">
        <v>15</v>
      </c>
      <c r="G1037" s="6">
        <v>20906.37</v>
      </c>
      <c r="H1037" s="6">
        <v>3417.98</v>
      </c>
      <c r="I1037" s="27">
        <v>11905</v>
      </c>
      <c r="J1037" s="27"/>
      <c r="K1037" s="27">
        <f t="shared" si="99"/>
        <v>36229.35</v>
      </c>
      <c r="L1037" s="39">
        <v>14000</v>
      </c>
      <c r="M1037" s="9">
        <f t="shared" si="97"/>
        <v>0.38642702670624784</v>
      </c>
      <c r="N1037" s="5">
        <v>1</v>
      </c>
      <c r="O1037" s="10">
        <f t="shared" si="98"/>
        <v>0.38642702670624784</v>
      </c>
    </row>
    <row r="1038" spans="2:15" ht="13.5" customHeight="1">
      <c r="B1038" s="24">
        <v>208</v>
      </c>
      <c r="C1038" s="25"/>
      <c r="D1038" s="25"/>
      <c r="E1038" s="26"/>
      <c r="F1038" s="15" t="s">
        <v>15</v>
      </c>
      <c r="G1038" s="6">
        <v>20906.37</v>
      </c>
      <c r="H1038" s="6">
        <v>3417.98</v>
      </c>
      <c r="I1038" s="27">
        <v>11905</v>
      </c>
      <c r="J1038" s="27"/>
      <c r="K1038" s="27">
        <f t="shared" si="99"/>
        <v>36229.35</v>
      </c>
      <c r="L1038" s="39">
        <v>14000</v>
      </c>
      <c r="M1038" s="9">
        <f t="shared" si="97"/>
        <v>0.38642702670624784</v>
      </c>
      <c r="N1038" s="5">
        <v>1</v>
      </c>
      <c r="O1038" s="10">
        <f t="shared" si="98"/>
        <v>0.38642702670624784</v>
      </c>
    </row>
    <row r="1039" spans="2:15" ht="13.5" customHeight="1">
      <c r="B1039" s="24">
        <v>209</v>
      </c>
      <c r="C1039" s="25"/>
      <c r="D1039" s="25"/>
      <c r="E1039" s="26"/>
      <c r="F1039" s="15" t="s">
        <v>15</v>
      </c>
      <c r="G1039" s="6">
        <v>20906.37</v>
      </c>
      <c r="H1039" s="6">
        <v>3417.98</v>
      </c>
      <c r="I1039" s="27">
        <v>11905</v>
      </c>
      <c r="J1039" s="27"/>
      <c r="K1039" s="27">
        <f t="shared" si="99"/>
        <v>36229.35</v>
      </c>
      <c r="L1039" s="39">
        <v>17500</v>
      </c>
      <c r="M1039" s="9">
        <f t="shared" si="97"/>
        <v>0.48303378338280983</v>
      </c>
      <c r="N1039" s="5">
        <v>1</v>
      </c>
      <c r="O1039" s="10">
        <f t="shared" si="98"/>
        <v>0.48303378338280983</v>
      </c>
    </row>
    <row r="1040" spans="2:15" ht="13.5" customHeight="1">
      <c r="B1040" s="24">
        <v>210</v>
      </c>
      <c r="C1040" s="25"/>
      <c r="D1040" s="25"/>
      <c r="E1040" s="26"/>
      <c r="F1040" s="15" t="s">
        <v>15</v>
      </c>
      <c r="G1040" s="6">
        <v>20906.37</v>
      </c>
      <c r="H1040" s="6">
        <v>3417.98</v>
      </c>
      <c r="I1040" s="27">
        <v>11905</v>
      </c>
      <c r="J1040" s="27"/>
      <c r="K1040" s="27">
        <f t="shared" si="99"/>
        <v>36229.35</v>
      </c>
      <c r="L1040" s="39">
        <v>14000</v>
      </c>
      <c r="M1040" s="9">
        <f t="shared" si="97"/>
        <v>0.38642702670624784</v>
      </c>
      <c r="N1040" s="5">
        <v>1</v>
      </c>
      <c r="O1040" s="10">
        <f t="shared" si="98"/>
        <v>0.38642702670624784</v>
      </c>
    </row>
    <row r="1041" spans="1:15" ht="13.5" customHeight="1">
      <c r="B1041" s="24">
        <v>211</v>
      </c>
      <c r="C1041" s="25"/>
      <c r="D1041" s="25"/>
      <c r="E1041" s="26"/>
      <c r="F1041" s="15" t="s">
        <v>15</v>
      </c>
      <c r="G1041" s="6">
        <v>20906.37</v>
      </c>
      <c r="H1041" s="6">
        <v>3417.98</v>
      </c>
      <c r="I1041" s="27">
        <v>11905</v>
      </c>
      <c r="J1041" s="27"/>
      <c r="K1041" s="27">
        <f t="shared" si="99"/>
        <v>36229.35</v>
      </c>
      <c r="L1041" s="39">
        <v>17500</v>
      </c>
      <c r="M1041" s="9">
        <f t="shared" si="97"/>
        <v>0.48303378338280983</v>
      </c>
      <c r="N1041" s="5">
        <v>1</v>
      </c>
      <c r="O1041" s="10">
        <f t="shared" si="98"/>
        <v>0.48303378338280983</v>
      </c>
    </row>
    <row r="1042" spans="1:15" ht="13.5" customHeight="1">
      <c r="B1042" s="24">
        <v>212</v>
      </c>
      <c r="C1042" s="25"/>
      <c r="D1042" s="25"/>
      <c r="E1042" s="26"/>
      <c r="F1042" s="15" t="s">
        <v>15</v>
      </c>
      <c r="G1042" s="6">
        <v>20906.37</v>
      </c>
      <c r="H1042" s="6">
        <v>3417.98</v>
      </c>
      <c r="I1042" s="27">
        <v>11905</v>
      </c>
      <c r="J1042" s="27"/>
      <c r="K1042" s="27">
        <f t="shared" si="99"/>
        <v>36229.35</v>
      </c>
      <c r="L1042" s="39">
        <v>14000</v>
      </c>
      <c r="M1042" s="9">
        <f t="shared" si="97"/>
        <v>0.38642702670624784</v>
      </c>
      <c r="N1042" s="5">
        <v>1</v>
      </c>
      <c r="O1042" s="10">
        <f t="shared" si="98"/>
        <v>0.38642702670624784</v>
      </c>
    </row>
    <row r="1043" spans="1:15" ht="13.5" customHeight="1">
      <c r="B1043" s="24">
        <v>213</v>
      </c>
      <c r="C1043" s="25"/>
      <c r="D1043" s="25"/>
      <c r="E1043" s="26"/>
      <c r="F1043" s="15" t="s">
        <v>15</v>
      </c>
      <c r="G1043" s="6">
        <v>20906.37</v>
      </c>
      <c r="H1043" s="6">
        <v>3417.98</v>
      </c>
      <c r="I1043" s="27">
        <v>11905</v>
      </c>
      <c r="J1043" s="27"/>
      <c r="K1043" s="27">
        <f t="shared" si="99"/>
        <v>36229.35</v>
      </c>
      <c r="L1043" s="39">
        <v>14000</v>
      </c>
      <c r="M1043" s="9">
        <f t="shared" si="97"/>
        <v>0.38642702670624784</v>
      </c>
      <c r="N1043" s="5">
        <v>1</v>
      </c>
      <c r="O1043" s="10">
        <f t="shared" si="98"/>
        <v>0.38642702670624784</v>
      </c>
    </row>
    <row r="1044" spans="1:15" ht="13.5" customHeight="1">
      <c r="B1044" s="24">
        <v>214</v>
      </c>
      <c r="C1044" s="25"/>
      <c r="D1044" s="25"/>
      <c r="E1044" s="26"/>
      <c r="F1044" s="15" t="s">
        <v>15</v>
      </c>
      <c r="G1044" s="6">
        <v>20906.37</v>
      </c>
      <c r="H1044" s="6">
        <v>3417.98</v>
      </c>
      <c r="I1044" s="27">
        <v>11905</v>
      </c>
      <c r="J1044" s="27"/>
      <c r="K1044" s="27">
        <f t="shared" si="99"/>
        <v>36229.35</v>
      </c>
      <c r="L1044" s="39">
        <v>14000</v>
      </c>
      <c r="M1044" s="9">
        <f t="shared" si="97"/>
        <v>0.38642702670624784</v>
      </c>
      <c r="N1044" s="5">
        <v>1</v>
      </c>
      <c r="O1044" s="10">
        <f t="shared" si="98"/>
        <v>0.38642702670624784</v>
      </c>
    </row>
    <row r="1045" spans="1:15" ht="13.5" customHeight="1">
      <c r="B1045" s="24">
        <v>215</v>
      </c>
      <c r="C1045" s="25"/>
      <c r="D1045" s="25"/>
      <c r="E1045" s="26"/>
      <c r="F1045" s="15" t="s">
        <v>15</v>
      </c>
      <c r="G1045" s="6">
        <v>20906.37</v>
      </c>
      <c r="H1045" s="6">
        <v>3417.98</v>
      </c>
      <c r="I1045" s="27">
        <v>11905</v>
      </c>
      <c r="J1045" s="27"/>
      <c r="K1045" s="27">
        <f t="shared" si="99"/>
        <v>36229.35</v>
      </c>
      <c r="L1045" s="39">
        <v>14000</v>
      </c>
      <c r="M1045" s="9">
        <f t="shared" si="97"/>
        <v>0.38642702670624784</v>
      </c>
      <c r="N1045" s="5">
        <v>1</v>
      </c>
      <c r="O1045" s="10">
        <f t="shared" si="98"/>
        <v>0.38642702670624784</v>
      </c>
    </row>
    <row r="1046" spans="1:15" ht="13.5" customHeight="1">
      <c r="B1046" s="24">
        <v>216</v>
      </c>
      <c r="C1046" s="25"/>
      <c r="D1046" s="25"/>
      <c r="F1046" s="15" t="s">
        <v>15</v>
      </c>
      <c r="G1046" s="6">
        <v>20906.37</v>
      </c>
      <c r="H1046" s="6">
        <v>3417.98</v>
      </c>
      <c r="I1046" s="27">
        <v>11905</v>
      </c>
      <c r="J1046" s="27"/>
      <c r="K1046" s="27">
        <f t="shared" si="99"/>
        <v>36229.35</v>
      </c>
      <c r="L1046" s="39">
        <v>14000</v>
      </c>
      <c r="M1046" s="9">
        <f t="shared" si="97"/>
        <v>0.38642702670624784</v>
      </c>
      <c r="N1046" s="5">
        <v>1</v>
      </c>
      <c r="O1046" s="10">
        <f t="shared" si="98"/>
        <v>0.38642702670624784</v>
      </c>
    </row>
    <row r="1047" spans="1:15" ht="13.5" customHeight="1">
      <c r="B1047" s="24">
        <v>217</v>
      </c>
      <c r="C1047" s="25"/>
      <c r="D1047" s="25"/>
      <c r="E1047" s="26"/>
      <c r="F1047" s="15" t="s">
        <v>15</v>
      </c>
      <c r="G1047" s="6">
        <v>20906.37</v>
      </c>
      <c r="H1047" s="6">
        <v>3417.98</v>
      </c>
      <c r="I1047" s="27">
        <v>11905</v>
      </c>
      <c r="J1047" s="27"/>
      <c r="K1047" s="27">
        <f t="shared" si="99"/>
        <v>36229.35</v>
      </c>
      <c r="L1047" s="39">
        <v>14000</v>
      </c>
      <c r="M1047" s="9">
        <f t="shared" si="97"/>
        <v>0.38642702670624784</v>
      </c>
      <c r="N1047" s="5">
        <v>1</v>
      </c>
      <c r="O1047" s="10">
        <f t="shared" si="98"/>
        <v>0.38642702670624784</v>
      </c>
    </row>
    <row r="1048" spans="1:15" ht="13.5" customHeight="1">
      <c r="B1048" s="24">
        <v>218</v>
      </c>
      <c r="C1048" s="25"/>
      <c r="D1048" s="25"/>
      <c r="E1048" s="26"/>
      <c r="F1048" s="15" t="s">
        <v>15</v>
      </c>
      <c r="G1048" s="6">
        <v>20906.37</v>
      </c>
      <c r="H1048" s="6">
        <v>3417.98</v>
      </c>
      <c r="I1048" s="27">
        <v>11905</v>
      </c>
      <c r="J1048" s="27"/>
      <c r="K1048" s="27">
        <f t="shared" si="99"/>
        <v>36229.35</v>
      </c>
      <c r="L1048" s="39">
        <v>14000</v>
      </c>
      <c r="M1048" s="9">
        <f t="shared" si="97"/>
        <v>0.38642702670624784</v>
      </c>
      <c r="N1048" s="5">
        <v>1</v>
      </c>
      <c r="O1048" s="10">
        <f t="shared" si="98"/>
        <v>0.38642702670624784</v>
      </c>
    </row>
    <row r="1049" spans="1:15" ht="13.5" customHeight="1">
      <c r="B1049" s="24">
        <v>219</v>
      </c>
      <c r="C1049" s="25"/>
      <c r="D1049" s="25"/>
      <c r="E1049" s="26"/>
      <c r="F1049" s="15" t="s">
        <v>15</v>
      </c>
      <c r="G1049" s="6">
        <v>20906.37</v>
      </c>
      <c r="H1049" s="6">
        <v>3417.98</v>
      </c>
      <c r="I1049" s="27">
        <v>11905</v>
      </c>
      <c r="J1049" s="27"/>
      <c r="K1049" s="27">
        <f t="shared" si="99"/>
        <v>36229.35</v>
      </c>
      <c r="L1049" s="39">
        <v>14000</v>
      </c>
      <c r="M1049" s="9">
        <f t="shared" si="97"/>
        <v>0.38642702670624784</v>
      </c>
      <c r="N1049" s="5">
        <v>1</v>
      </c>
      <c r="O1049" s="10">
        <f t="shared" si="98"/>
        <v>0.38642702670624784</v>
      </c>
    </row>
    <row r="1050" spans="1:15" ht="13.5" customHeight="1">
      <c r="B1050" s="24">
        <v>220</v>
      </c>
      <c r="C1050" s="25"/>
      <c r="D1050" s="25"/>
      <c r="E1050" s="26"/>
      <c r="F1050" s="15" t="s">
        <v>15</v>
      </c>
      <c r="G1050" s="6">
        <v>20906.37</v>
      </c>
      <c r="H1050" s="6">
        <v>3417.98</v>
      </c>
      <c r="I1050" s="27">
        <v>11905</v>
      </c>
      <c r="J1050" s="27"/>
      <c r="K1050" s="27">
        <f t="shared" si="99"/>
        <v>36229.35</v>
      </c>
      <c r="L1050" s="39">
        <v>14000</v>
      </c>
      <c r="M1050" s="9">
        <f t="shared" si="97"/>
        <v>0.38642702670624784</v>
      </c>
      <c r="N1050" s="5">
        <v>1</v>
      </c>
      <c r="O1050" s="10">
        <f t="shared" si="98"/>
        <v>0.38642702670624784</v>
      </c>
    </row>
    <row r="1051" spans="1:15" ht="15.95" customHeight="1">
      <c r="A1051" s="66" t="s">
        <v>45</v>
      </c>
      <c r="B1051" s="66"/>
      <c r="C1051" s="66"/>
      <c r="D1051" s="66"/>
      <c r="E1051" s="66"/>
      <c r="F1051" s="66"/>
      <c r="G1051" s="66"/>
      <c r="H1051" s="66"/>
      <c r="I1051" s="66"/>
      <c r="J1051" s="66"/>
      <c r="K1051" s="66"/>
      <c r="L1051" s="66"/>
      <c r="M1051" s="66"/>
      <c r="N1051" s="22">
        <f>SUM(N605:N1050)</f>
        <v>467</v>
      </c>
      <c r="O1051" s="23">
        <f>SUM(O605:O1050)</f>
        <v>190.65787176819134</v>
      </c>
    </row>
    <row r="1053" spans="1:15" ht="13.5" customHeight="1">
      <c r="A1053" s="70" t="s">
        <v>132</v>
      </c>
      <c r="B1053" s="70"/>
      <c r="C1053" s="70"/>
      <c r="D1053" s="70"/>
      <c r="E1053" s="70"/>
      <c r="F1053" s="70"/>
      <c r="G1053" s="70"/>
      <c r="H1053" s="70"/>
      <c r="I1053" s="70"/>
      <c r="J1053" s="70"/>
      <c r="K1053" s="70"/>
      <c r="L1053" s="70"/>
      <c r="M1053" s="70"/>
      <c r="N1053" s="70"/>
      <c r="O1053" s="70"/>
    </row>
    <row r="1054" spans="1:15" s="46" customFormat="1" ht="25.5" customHeight="1">
      <c r="A1054" s="67" t="s">
        <v>129</v>
      </c>
      <c r="B1054" s="67"/>
      <c r="C1054" s="67"/>
      <c r="D1054" s="67"/>
      <c r="E1054" s="67"/>
      <c r="F1054" s="45"/>
      <c r="G1054" s="45"/>
      <c r="H1054" s="45"/>
      <c r="I1054" s="45"/>
      <c r="J1054" s="45"/>
      <c r="K1054" s="45"/>
      <c r="L1054" s="45"/>
      <c r="M1054" s="45"/>
      <c r="N1054" s="45"/>
      <c r="O1054" s="45"/>
    </row>
    <row r="1055" spans="1:15" ht="13.5" hidden="1" customHeight="1">
      <c r="A1055" s="44" t="s">
        <v>135</v>
      </c>
      <c r="B1055" s="44"/>
      <c r="C1055" s="44"/>
      <c r="D1055" s="44"/>
      <c r="E1055" s="44"/>
      <c r="F1055" s="44"/>
      <c r="G1055" s="44"/>
      <c r="H1055" s="44"/>
      <c r="I1055" s="44"/>
      <c r="J1055" s="44"/>
      <c r="K1055" s="44"/>
      <c r="L1055" s="44"/>
      <c r="M1055" s="44"/>
      <c r="N1055" s="44"/>
      <c r="O1055" s="44"/>
    </row>
    <row r="1056" spans="1:15" ht="13.5" hidden="1" customHeight="1">
      <c r="B1056" s="33">
        <v>1</v>
      </c>
      <c r="C1056" s="35" t="s">
        <v>133</v>
      </c>
      <c r="D1056" s="35" t="s">
        <v>499</v>
      </c>
      <c r="F1056" s="30" t="s">
        <v>32</v>
      </c>
      <c r="G1056" s="36">
        <f>300*17</f>
        <v>5100</v>
      </c>
      <c r="H1056" s="36">
        <v>1861.6</v>
      </c>
      <c r="I1056" s="36">
        <v>3240</v>
      </c>
      <c r="J1056" s="36">
        <v>900</v>
      </c>
      <c r="K1056" s="36">
        <f>SUM(G1056:J1056)</f>
        <v>11101.6</v>
      </c>
      <c r="L1056" s="36">
        <f>K1056</f>
        <v>11101.6</v>
      </c>
      <c r="M1056" s="9">
        <f t="shared" ref="M1056:M1057" si="100">L1056/K1056</f>
        <v>1</v>
      </c>
      <c r="N1056" s="5">
        <v>1</v>
      </c>
      <c r="O1056" s="10">
        <f t="shared" ref="O1056:O1057" si="101">N1056*M1056</f>
        <v>1</v>
      </c>
    </row>
    <row r="1057" spans="1:15" ht="13.5" hidden="1" customHeight="1">
      <c r="A1057" s="41"/>
      <c r="B1057" s="33">
        <v>2</v>
      </c>
      <c r="C1057" s="35" t="s">
        <v>60</v>
      </c>
      <c r="D1057" s="35" t="s">
        <v>134</v>
      </c>
      <c r="F1057" s="30" t="s">
        <v>26</v>
      </c>
      <c r="G1057" s="36">
        <f>333*19</f>
        <v>6327</v>
      </c>
      <c r="H1057" s="36">
        <v>1861.6</v>
      </c>
      <c r="I1057" s="36">
        <v>3240</v>
      </c>
      <c r="J1057" s="36">
        <v>1800</v>
      </c>
      <c r="K1057" s="36">
        <f>SUM(G1057:J1057)</f>
        <v>13228.6</v>
      </c>
      <c r="L1057" s="36">
        <f>K1057</f>
        <v>13228.6</v>
      </c>
      <c r="M1057" s="9">
        <f t="shared" si="100"/>
        <v>1</v>
      </c>
      <c r="N1057" s="5">
        <v>1</v>
      </c>
      <c r="O1057" s="10">
        <f t="shared" si="101"/>
        <v>1</v>
      </c>
    </row>
    <row r="1058" spans="1:15" ht="15.95" hidden="1" customHeight="1">
      <c r="A1058" s="66" t="s">
        <v>45</v>
      </c>
      <c r="B1058" s="66"/>
      <c r="C1058" s="66"/>
      <c r="D1058" s="66"/>
      <c r="E1058" s="66"/>
      <c r="F1058" s="66"/>
      <c r="G1058" s="66"/>
      <c r="H1058" s="66"/>
      <c r="I1058" s="66"/>
      <c r="J1058" s="66"/>
      <c r="K1058" s="66"/>
      <c r="L1058" s="66"/>
      <c r="M1058" s="66"/>
      <c r="N1058" s="22">
        <f>SUM(N1056:N1057)</f>
        <v>2</v>
      </c>
      <c r="O1058" s="23">
        <f>SUM(O1056:O1057)</f>
        <v>2</v>
      </c>
    </row>
    <row r="1059" spans="1:15" ht="13.5" hidden="1" customHeight="1">
      <c r="A1059" s="44" t="s">
        <v>137</v>
      </c>
      <c r="B1059" s="44"/>
      <c r="C1059" s="44"/>
      <c r="D1059" s="44"/>
      <c r="E1059" s="44"/>
      <c r="F1059" s="44"/>
      <c r="G1059" s="44"/>
      <c r="H1059" s="44"/>
      <c r="I1059" s="44"/>
      <c r="J1059" s="44"/>
      <c r="K1059" s="44"/>
      <c r="L1059" s="44"/>
      <c r="M1059" s="44"/>
      <c r="N1059" s="44"/>
      <c r="O1059" s="44"/>
    </row>
    <row r="1060" spans="1:15" ht="13.5" hidden="1" customHeight="1">
      <c r="B1060" s="33">
        <v>1</v>
      </c>
      <c r="C1060" s="35" t="s">
        <v>133</v>
      </c>
      <c r="D1060" s="35" t="s">
        <v>499</v>
      </c>
      <c r="F1060" s="30" t="s">
        <v>32</v>
      </c>
      <c r="G1060" s="36">
        <f>300*17</f>
        <v>5100</v>
      </c>
      <c r="H1060" s="36">
        <v>1861.6</v>
      </c>
      <c r="I1060" s="36">
        <v>3240</v>
      </c>
      <c r="J1060" s="36">
        <v>900</v>
      </c>
      <c r="K1060" s="36">
        <f>SUM(G1060:J1060)</f>
        <v>11101.6</v>
      </c>
      <c r="L1060" s="36">
        <f>K1060</f>
        <v>11101.6</v>
      </c>
      <c r="M1060" s="9">
        <f t="shared" ref="M1060:M1061" si="102">L1060/K1060</f>
        <v>1</v>
      </c>
      <c r="N1060" s="5">
        <v>1</v>
      </c>
      <c r="O1060" s="10">
        <f t="shared" ref="O1060:O1061" si="103">N1060*M1060</f>
        <v>1</v>
      </c>
    </row>
    <row r="1061" spans="1:15" ht="13.5" hidden="1" customHeight="1">
      <c r="A1061" s="41"/>
      <c r="B1061" s="33">
        <v>2</v>
      </c>
      <c r="C1061" s="35" t="s">
        <v>60</v>
      </c>
      <c r="D1061" s="35" t="s">
        <v>134</v>
      </c>
      <c r="F1061" s="30" t="s">
        <v>26</v>
      </c>
      <c r="G1061" s="36">
        <f>333*19</f>
        <v>6327</v>
      </c>
      <c r="H1061" s="36">
        <v>1861.6</v>
      </c>
      <c r="I1061" s="36">
        <v>3240</v>
      </c>
      <c r="J1061" s="36">
        <v>1800</v>
      </c>
      <c r="K1061" s="36">
        <f>SUM(G1061:J1061)</f>
        <v>13228.6</v>
      </c>
      <c r="L1061" s="36">
        <f>K1061</f>
        <v>13228.6</v>
      </c>
      <c r="M1061" s="9">
        <f t="shared" si="102"/>
        <v>1</v>
      </c>
      <c r="N1061" s="5">
        <v>1</v>
      </c>
      <c r="O1061" s="10">
        <f t="shared" si="103"/>
        <v>1</v>
      </c>
    </row>
    <row r="1062" spans="1:15" ht="15.95" hidden="1" customHeight="1">
      <c r="A1062" s="66" t="s">
        <v>45</v>
      </c>
      <c r="B1062" s="66"/>
      <c r="C1062" s="66"/>
      <c r="D1062" s="66"/>
      <c r="E1062" s="66"/>
      <c r="F1062" s="66"/>
      <c r="G1062" s="66"/>
      <c r="H1062" s="66"/>
      <c r="I1062" s="66"/>
      <c r="J1062" s="66"/>
      <c r="K1062" s="66"/>
      <c r="L1062" s="66"/>
      <c r="M1062" s="66"/>
      <c r="N1062" s="22">
        <f>SUM(N1060:N1061)</f>
        <v>2</v>
      </c>
      <c r="O1062" s="23">
        <f>SUM(O1060:O1061)</f>
        <v>2</v>
      </c>
    </row>
    <row r="1063" spans="1:15" ht="13.5" hidden="1" customHeight="1">
      <c r="A1063" s="44" t="s">
        <v>138</v>
      </c>
      <c r="B1063" s="44"/>
      <c r="C1063" s="44"/>
      <c r="D1063" s="44"/>
      <c r="E1063" s="44"/>
      <c r="F1063" s="44"/>
      <c r="G1063" s="44"/>
      <c r="H1063" s="44"/>
      <c r="I1063" s="44"/>
      <c r="J1063" s="44"/>
      <c r="K1063" s="44"/>
      <c r="L1063" s="44"/>
      <c r="M1063" s="44"/>
      <c r="N1063" s="44"/>
      <c r="O1063" s="44"/>
    </row>
    <row r="1064" spans="1:15" ht="13.5" hidden="1" customHeight="1">
      <c r="B1064" s="33">
        <v>1</v>
      </c>
      <c r="C1064" s="35" t="s">
        <v>133</v>
      </c>
      <c r="D1064" s="35" t="s">
        <v>499</v>
      </c>
      <c r="F1064" s="30" t="s">
        <v>32</v>
      </c>
      <c r="G1064" s="36">
        <f>300*14</f>
        <v>4200</v>
      </c>
      <c r="H1064" s="36">
        <v>1861.6</v>
      </c>
      <c r="I1064" s="36">
        <v>3240</v>
      </c>
      <c r="J1064" s="36">
        <v>900</v>
      </c>
      <c r="K1064" s="36">
        <f>SUM(G1064:J1064)</f>
        <v>10201.6</v>
      </c>
      <c r="L1064" s="36">
        <f>K1064</f>
        <v>10201.6</v>
      </c>
      <c r="M1064" s="9">
        <f t="shared" ref="M1064:M1065" si="104">L1064/K1064</f>
        <v>1</v>
      </c>
      <c r="N1064" s="5">
        <v>1</v>
      </c>
      <c r="O1064" s="10">
        <f t="shared" ref="O1064:O1065" si="105">N1064*M1064</f>
        <v>1</v>
      </c>
    </row>
    <row r="1065" spans="1:15" ht="13.5" hidden="1" customHeight="1">
      <c r="A1065" s="41"/>
      <c r="B1065" s="33">
        <v>2</v>
      </c>
      <c r="C1065" s="35" t="s">
        <v>60</v>
      </c>
      <c r="D1065" s="35" t="s">
        <v>134</v>
      </c>
      <c r="F1065" s="30" t="s">
        <v>26</v>
      </c>
      <c r="G1065" s="36">
        <f>333*22</f>
        <v>7326</v>
      </c>
      <c r="H1065" s="36">
        <v>1861.6</v>
      </c>
      <c r="I1065" s="36">
        <v>3240</v>
      </c>
      <c r="J1065" s="36">
        <v>1800</v>
      </c>
      <c r="K1065" s="36">
        <f>SUM(G1065:J1065)</f>
        <v>14227.6</v>
      </c>
      <c r="L1065" s="36">
        <f>K1065</f>
        <v>14227.6</v>
      </c>
      <c r="M1065" s="9">
        <f t="shared" si="104"/>
        <v>1</v>
      </c>
      <c r="N1065" s="5">
        <v>1</v>
      </c>
      <c r="O1065" s="10">
        <f t="shared" si="105"/>
        <v>1</v>
      </c>
    </row>
    <row r="1066" spans="1:15" ht="13.5" customHeight="1">
      <c r="A1066" s="44" t="s">
        <v>500</v>
      </c>
      <c r="B1066" s="44"/>
      <c r="C1066" s="44"/>
      <c r="D1066" s="44"/>
      <c r="E1066" s="44"/>
      <c r="F1066" s="44"/>
      <c r="G1066" s="44"/>
      <c r="H1066" s="44"/>
      <c r="I1066" s="44"/>
      <c r="J1066" s="44"/>
      <c r="K1066" s="44"/>
      <c r="L1066" s="44"/>
      <c r="M1066" s="44"/>
      <c r="N1066" s="44"/>
      <c r="O1066" s="44"/>
    </row>
    <row r="1067" spans="1:15" ht="15.95" customHeight="1">
      <c r="A1067" s="41"/>
      <c r="B1067" s="33">
        <v>1</v>
      </c>
      <c r="C1067" s="35"/>
      <c r="D1067" s="35"/>
      <c r="F1067" s="30" t="s">
        <v>32</v>
      </c>
      <c r="G1067" s="36">
        <f>G1056+G1060+G1064</f>
        <v>14400</v>
      </c>
      <c r="H1067" s="36">
        <f t="shared" ref="H1067:L1067" si="106">H1056+H1060+H1064</f>
        <v>5584.7999999999993</v>
      </c>
      <c r="I1067" s="36">
        <f t="shared" si="106"/>
        <v>9720</v>
      </c>
      <c r="J1067" s="36">
        <f t="shared" si="106"/>
        <v>2700</v>
      </c>
      <c r="K1067" s="36">
        <f t="shared" si="106"/>
        <v>32404.800000000003</v>
      </c>
      <c r="L1067" s="36">
        <f t="shared" si="106"/>
        <v>32404.800000000003</v>
      </c>
      <c r="M1067" s="9">
        <f t="shared" ref="M1067" si="107">L1067/K1067</f>
        <v>1</v>
      </c>
      <c r="N1067" s="5">
        <v>1</v>
      </c>
      <c r="O1067" s="10">
        <f t="shared" ref="O1067" si="108">N1067*M1067</f>
        <v>1</v>
      </c>
    </row>
    <row r="1068" spans="1:15" ht="15.95" customHeight="1">
      <c r="A1068" s="41"/>
      <c r="B1068" s="33">
        <v>2</v>
      </c>
      <c r="C1068" s="35"/>
      <c r="D1068" s="35"/>
      <c r="F1068" s="30" t="s">
        <v>26</v>
      </c>
      <c r="G1068" s="36">
        <f>+G1057+G1061+G1065</f>
        <v>19980</v>
      </c>
      <c r="H1068" s="36">
        <f t="shared" ref="H1068:L1068" si="109">+H1057+H1061+H1065</f>
        <v>5584.7999999999993</v>
      </c>
      <c r="I1068" s="36">
        <f t="shared" si="109"/>
        <v>9720</v>
      </c>
      <c r="J1068" s="36">
        <f t="shared" si="109"/>
        <v>5400</v>
      </c>
      <c r="K1068" s="36">
        <f t="shared" si="109"/>
        <v>40684.800000000003</v>
      </c>
      <c r="L1068" s="36">
        <f t="shared" si="109"/>
        <v>40684.800000000003</v>
      </c>
      <c r="M1068" s="9">
        <f t="shared" ref="M1068" si="110">L1068/K1068</f>
        <v>1</v>
      </c>
      <c r="N1068" s="5">
        <v>1</v>
      </c>
      <c r="O1068" s="10">
        <f t="shared" ref="O1068" si="111">N1068*M1068</f>
        <v>1</v>
      </c>
    </row>
    <row r="1069" spans="1:15" ht="15.95" customHeight="1">
      <c r="A1069" s="66" t="s">
        <v>45</v>
      </c>
      <c r="B1069" s="66"/>
      <c r="C1069" s="66"/>
      <c r="D1069" s="66"/>
      <c r="E1069" s="66"/>
      <c r="F1069" s="66"/>
      <c r="G1069" s="66"/>
      <c r="H1069" s="66"/>
      <c r="I1069" s="66"/>
      <c r="J1069" s="66"/>
      <c r="K1069" s="66"/>
      <c r="L1069" s="66"/>
      <c r="M1069" s="66"/>
      <c r="N1069" s="22">
        <f>SUM(N1064:N1065)</f>
        <v>2</v>
      </c>
      <c r="O1069" s="23">
        <f>SUM(O1064:O1065)</f>
        <v>2</v>
      </c>
    </row>
    <row r="1070" spans="1:15" s="46" customFormat="1" ht="25.5" customHeight="1">
      <c r="A1070" s="67" t="s">
        <v>139</v>
      </c>
      <c r="B1070" s="67"/>
      <c r="C1070" s="67"/>
      <c r="D1070" s="67"/>
      <c r="E1070" s="67"/>
      <c r="F1070" s="45"/>
      <c r="G1070" s="45"/>
      <c r="H1070" s="45"/>
      <c r="I1070" s="45"/>
      <c r="J1070" s="45"/>
      <c r="K1070" s="45"/>
      <c r="L1070" s="45"/>
      <c r="M1070" s="45"/>
      <c r="N1070" s="45"/>
      <c r="O1070" s="45"/>
    </row>
    <row r="1071" spans="1:15" ht="13.5" hidden="1" customHeight="1">
      <c r="A1071" s="44" t="s">
        <v>135</v>
      </c>
      <c r="B1071" s="44"/>
      <c r="C1071" s="44"/>
      <c r="D1071" s="44"/>
      <c r="E1071" s="44"/>
      <c r="F1071" s="44"/>
      <c r="G1071" s="44"/>
      <c r="H1071" s="44"/>
      <c r="I1071" s="44"/>
      <c r="J1071" s="44"/>
      <c r="K1071" s="44"/>
      <c r="L1071" s="44"/>
      <c r="M1071" s="44"/>
      <c r="N1071" s="44"/>
      <c r="O1071" s="44"/>
    </row>
    <row r="1072" spans="1:15" ht="13.5" hidden="1" customHeight="1">
      <c r="B1072" s="33">
        <v>1</v>
      </c>
      <c r="C1072" s="25" t="s">
        <v>141</v>
      </c>
      <c r="D1072" s="25" t="s">
        <v>148</v>
      </c>
      <c r="F1072" s="30" t="s">
        <v>38</v>
      </c>
      <c r="G1072" s="36">
        <f>333*20</f>
        <v>6660</v>
      </c>
      <c r="H1072" s="36">
        <v>1861.6</v>
      </c>
      <c r="I1072" s="36">
        <v>3240</v>
      </c>
      <c r="J1072" s="36">
        <v>500</v>
      </c>
      <c r="K1072" s="36">
        <f>SUM(G1072:J1072)</f>
        <v>12261.6</v>
      </c>
      <c r="L1072" s="36">
        <f>K1072</f>
        <v>12261.6</v>
      </c>
      <c r="M1072" s="9">
        <f t="shared" ref="M1072:M1081" si="112">L1072/K1072</f>
        <v>1</v>
      </c>
      <c r="N1072" s="5">
        <v>1</v>
      </c>
      <c r="O1072" s="10">
        <f t="shared" ref="O1072:O1081" si="113">N1072*M1072</f>
        <v>1</v>
      </c>
    </row>
    <row r="1073" spans="1:15" ht="13.5" hidden="1" customHeight="1">
      <c r="B1073" s="33">
        <v>2</v>
      </c>
      <c r="C1073" s="35" t="s">
        <v>54</v>
      </c>
      <c r="D1073" s="35" t="s">
        <v>149</v>
      </c>
      <c r="F1073" s="30" t="s">
        <v>38</v>
      </c>
      <c r="G1073" s="36">
        <f>333*17</f>
        <v>5661</v>
      </c>
      <c r="H1073" s="36">
        <v>1861.6</v>
      </c>
      <c r="I1073" s="36">
        <v>3240</v>
      </c>
      <c r="J1073" s="36">
        <v>500</v>
      </c>
      <c r="K1073" s="36">
        <f t="shared" ref="K1073:K1081" si="114">SUM(G1073:J1073)</f>
        <v>11262.6</v>
      </c>
      <c r="L1073" s="36">
        <f t="shared" ref="L1073:L1081" si="115">K1073</f>
        <v>11262.6</v>
      </c>
      <c r="M1073" s="9">
        <f t="shared" si="112"/>
        <v>1</v>
      </c>
      <c r="N1073" s="5">
        <v>1</v>
      </c>
      <c r="O1073" s="10">
        <f t="shared" si="113"/>
        <v>1</v>
      </c>
    </row>
    <row r="1074" spans="1:15" ht="13.5" hidden="1" customHeight="1">
      <c r="B1074" s="33">
        <v>3</v>
      </c>
      <c r="C1074" s="35" t="s">
        <v>142</v>
      </c>
      <c r="D1074" s="35" t="s">
        <v>150</v>
      </c>
      <c r="F1074" s="30" t="s">
        <v>38</v>
      </c>
      <c r="G1074" s="36">
        <f>333*20</f>
        <v>6660</v>
      </c>
      <c r="H1074" s="36">
        <v>1861.6</v>
      </c>
      <c r="I1074" s="36">
        <v>3240</v>
      </c>
      <c r="J1074" s="36">
        <v>500</v>
      </c>
      <c r="K1074" s="36">
        <f t="shared" si="114"/>
        <v>12261.6</v>
      </c>
      <c r="L1074" s="36">
        <f t="shared" si="115"/>
        <v>12261.6</v>
      </c>
      <c r="M1074" s="9">
        <f t="shared" si="112"/>
        <v>1</v>
      </c>
      <c r="N1074" s="5">
        <v>1</v>
      </c>
      <c r="O1074" s="10">
        <f t="shared" si="113"/>
        <v>1</v>
      </c>
    </row>
    <row r="1075" spans="1:15" ht="13.5" hidden="1" customHeight="1">
      <c r="B1075" s="33">
        <v>4</v>
      </c>
      <c r="C1075" s="35" t="s">
        <v>144</v>
      </c>
      <c r="D1075" s="35" t="s">
        <v>153</v>
      </c>
      <c r="F1075" s="30" t="s">
        <v>38</v>
      </c>
      <c r="G1075" s="36">
        <f>333*20</f>
        <v>6660</v>
      </c>
      <c r="H1075" s="36">
        <v>1861.6</v>
      </c>
      <c r="I1075" s="36">
        <v>3240</v>
      </c>
      <c r="J1075" s="36">
        <v>500</v>
      </c>
      <c r="K1075" s="36">
        <f t="shared" si="114"/>
        <v>12261.6</v>
      </c>
      <c r="L1075" s="36">
        <f t="shared" si="115"/>
        <v>12261.6</v>
      </c>
      <c r="M1075" s="9">
        <f t="shared" si="112"/>
        <v>1</v>
      </c>
      <c r="N1075" s="5">
        <v>1</v>
      </c>
      <c r="O1075" s="10">
        <f t="shared" si="113"/>
        <v>1</v>
      </c>
    </row>
    <row r="1076" spans="1:15" ht="13.5" hidden="1" customHeight="1">
      <c r="B1076" s="33">
        <v>5</v>
      </c>
      <c r="C1076" s="35" t="s">
        <v>147</v>
      </c>
      <c r="D1076" s="35" t="s">
        <v>157</v>
      </c>
      <c r="F1076" s="30" t="s">
        <v>38</v>
      </c>
      <c r="G1076" s="36">
        <f>333*15</f>
        <v>4995</v>
      </c>
      <c r="H1076" s="36">
        <v>1861.6</v>
      </c>
      <c r="I1076" s="36">
        <v>3240</v>
      </c>
      <c r="J1076" s="36">
        <v>500</v>
      </c>
      <c r="K1076" s="36">
        <f t="shared" si="114"/>
        <v>10596.6</v>
      </c>
      <c r="L1076" s="36">
        <f t="shared" si="115"/>
        <v>10596.6</v>
      </c>
      <c r="M1076" s="9">
        <f t="shared" si="112"/>
        <v>1</v>
      </c>
      <c r="N1076" s="5">
        <v>1</v>
      </c>
      <c r="O1076" s="10">
        <f t="shared" si="113"/>
        <v>1</v>
      </c>
    </row>
    <row r="1077" spans="1:15" ht="13.5" hidden="1" customHeight="1">
      <c r="B1077" s="33">
        <v>6</v>
      </c>
      <c r="C1077" s="35" t="s">
        <v>143</v>
      </c>
      <c r="D1077" s="35" t="s">
        <v>151</v>
      </c>
      <c r="F1077" s="30" t="s">
        <v>140</v>
      </c>
      <c r="G1077" s="36">
        <f>333*15</f>
        <v>4995</v>
      </c>
      <c r="H1077" s="36">
        <v>1861.6</v>
      </c>
      <c r="I1077" s="36">
        <v>3240</v>
      </c>
      <c r="J1077" s="36">
        <v>500</v>
      </c>
      <c r="K1077" s="36">
        <f t="shared" si="114"/>
        <v>10596.6</v>
      </c>
      <c r="L1077" s="36">
        <f t="shared" si="115"/>
        <v>10596.6</v>
      </c>
      <c r="M1077" s="9">
        <f t="shared" si="112"/>
        <v>1</v>
      </c>
      <c r="N1077" s="5">
        <v>1</v>
      </c>
      <c r="O1077" s="10">
        <f t="shared" si="113"/>
        <v>1</v>
      </c>
    </row>
    <row r="1078" spans="1:15" ht="13.5" hidden="1" customHeight="1">
      <c r="B1078" s="33">
        <v>7</v>
      </c>
      <c r="C1078" s="35" t="s">
        <v>158</v>
      </c>
      <c r="D1078" s="35" t="s">
        <v>152</v>
      </c>
      <c r="F1078" s="30" t="s">
        <v>140</v>
      </c>
      <c r="G1078" s="36">
        <f>333*18</f>
        <v>5994</v>
      </c>
      <c r="H1078" s="36">
        <v>1861.6</v>
      </c>
      <c r="I1078" s="36">
        <v>3240</v>
      </c>
      <c r="J1078" s="36">
        <v>500</v>
      </c>
      <c r="K1078" s="36">
        <f t="shared" si="114"/>
        <v>11595.6</v>
      </c>
      <c r="L1078" s="36">
        <f t="shared" si="115"/>
        <v>11595.6</v>
      </c>
      <c r="M1078" s="9">
        <f t="shared" si="112"/>
        <v>1</v>
      </c>
      <c r="N1078" s="5">
        <v>1</v>
      </c>
      <c r="O1078" s="10">
        <f t="shared" si="113"/>
        <v>1</v>
      </c>
    </row>
    <row r="1079" spans="1:15" ht="13.5" hidden="1" customHeight="1">
      <c r="B1079" s="33">
        <v>8</v>
      </c>
      <c r="C1079" s="35" t="s">
        <v>70</v>
      </c>
      <c r="D1079" s="35" t="s">
        <v>154</v>
      </c>
      <c r="F1079" s="30" t="s">
        <v>140</v>
      </c>
      <c r="G1079" s="36">
        <f>333*15</f>
        <v>4995</v>
      </c>
      <c r="H1079" s="36">
        <v>1861.6</v>
      </c>
      <c r="I1079" s="36">
        <v>3240</v>
      </c>
      <c r="J1079" s="36">
        <v>500</v>
      </c>
      <c r="K1079" s="36">
        <f t="shared" si="114"/>
        <v>10596.6</v>
      </c>
      <c r="L1079" s="36">
        <f t="shared" si="115"/>
        <v>10596.6</v>
      </c>
      <c r="M1079" s="9">
        <f t="shared" si="112"/>
        <v>1</v>
      </c>
      <c r="N1079" s="5">
        <v>1</v>
      </c>
      <c r="O1079" s="10">
        <f t="shared" si="113"/>
        <v>1</v>
      </c>
    </row>
    <row r="1080" spans="1:15" ht="13.5" hidden="1" customHeight="1">
      <c r="B1080" s="33">
        <v>9</v>
      </c>
      <c r="C1080" s="35" t="s">
        <v>145</v>
      </c>
      <c r="D1080" s="35" t="s">
        <v>155</v>
      </c>
      <c r="F1080" s="30" t="s">
        <v>140</v>
      </c>
      <c r="G1080" s="36">
        <f t="shared" ref="G1080:G1081" si="116">333*15</f>
        <v>4995</v>
      </c>
      <c r="H1080" s="36">
        <v>1861.6</v>
      </c>
      <c r="I1080" s="36">
        <v>3240</v>
      </c>
      <c r="J1080" s="36">
        <v>500</v>
      </c>
      <c r="K1080" s="36">
        <f t="shared" si="114"/>
        <v>10596.6</v>
      </c>
      <c r="L1080" s="36">
        <f t="shared" si="115"/>
        <v>10596.6</v>
      </c>
      <c r="M1080" s="9">
        <f t="shared" si="112"/>
        <v>1</v>
      </c>
      <c r="N1080" s="5">
        <v>1</v>
      </c>
      <c r="O1080" s="10">
        <f t="shared" si="113"/>
        <v>1</v>
      </c>
    </row>
    <row r="1081" spans="1:15" ht="13.5" hidden="1" customHeight="1">
      <c r="B1081" s="33">
        <v>10</v>
      </c>
      <c r="C1081" s="35" t="s">
        <v>146</v>
      </c>
      <c r="D1081" s="35" t="s">
        <v>156</v>
      </c>
      <c r="F1081" s="30" t="s">
        <v>140</v>
      </c>
      <c r="G1081" s="36">
        <f t="shared" si="116"/>
        <v>4995</v>
      </c>
      <c r="H1081" s="36">
        <v>1861.6</v>
      </c>
      <c r="I1081" s="36">
        <v>3240</v>
      </c>
      <c r="J1081" s="36">
        <v>500</v>
      </c>
      <c r="K1081" s="36">
        <f t="shared" si="114"/>
        <v>10596.6</v>
      </c>
      <c r="L1081" s="36">
        <f t="shared" si="115"/>
        <v>10596.6</v>
      </c>
      <c r="M1081" s="9">
        <f t="shared" si="112"/>
        <v>1</v>
      </c>
      <c r="N1081" s="5">
        <v>1</v>
      </c>
      <c r="O1081" s="10">
        <f t="shared" si="113"/>
        <v>1</v>
      </c>
    </row>
    <row r="1082" spans="1:15" ht="15.95" hidden="1" customHeight="1">
      <c r="A1082" s="66" t="s">
        <v>45</v>
      </c>
      <c r="B1082" s="66"/>
      <c r="C1082" s="66"/>
      <c r="D1082" s="66"/>
      <c r="E1082" s="66"/>
      <c r="F1082" s="66"/>
      <c r="G1082" s="66"/>
      <c r="H1082" s="66"/>
      <c r="I1082" s="66"/>
      <c r="J1082" s="66"/>
      <c r="K1082" s="66"/>
      <c r="L1082" s="66"/>
      <c r="M1082" s="66"/>
      <c r="N1082" s="22">
        <f>SUM(N1072:N1081)</f>
        <v>10</v>
      </c>
      <c r="O1082" s="23">
        <f>SUM(O1072:O1081)</f>
        <v>10</v>
      </c>
    </row>
    <row r="1083" spans="1:15" ht="13.5" hidden="1" customHeight="1">
      <c r="A1083" s="44" t="s">
        <v>137</v>
      </c>
      <c r="B1083" s="44"/>
      <c r="C1083" s="44"/>
      <c r="D1083" s="44"/>
      <c r="E1083" s="44"/>
      <c r="F1083" s="44"/>
      <c r="G1083" s="44"/>
      <c r="H1083" s="44"/>
      <c r="I1083" s="44"/>
      <c r="J1083" s="44"/>
      <c r="K1083" s="44"/>
      <c r="L1083" s="44"/>
      <c r="M1083" s="44"/>
      <c r="N1083" s="44"/>
      <c r="O1083" s="44"/>
    </row>
    <row r="1084" spans="1:15" ht="13.5" hidden="1" customHeight="1">
      <c r="B1084" s="33">
        <v>1</v>
      </c>
      <c r="C1084" s="25" t="s">
        <v>141</v>
      </c>
      <c r="D1084" s="25" t="s">
        <v>148</v>
      </c>
      <c r="F1084" s="30" t="s">
        <v>38</v>
      </c>
      <c r="G1084" s="36">
        <f>333*18</f>
        <v>5994</v>
      </c>
      <c r="H1084" s="36">
        <v>1861.6</v>
      </c>
      <c r="I1084" s="36">
        <v>3240</v>
      </c>
      <c r="J1084" s="36"/>
      <c r="K1084" s="36">
        <f>SUM(G1084:J1084)</f>
        <v>11095.6</v>
      </c>
      <c r="L1084" s="36">
        <f>K1084</f>
        <v>11095.6</v>
      </c>
      <c r="M1084" s="9">
        <f t="shared" ref="M1084:M1093" si="117">L1084/K1084</f>
        <v>1</v>
      </c>
      <c r="N1084" s="5">
        <v>1</v>
      </c>
      <c r="O1084" s="10">
        <f t="shared" ref="O1084:O1093" si="118">N1084*M1084</f>
        <v>1</v>
      </c>
    </row>
    <row r="1085" spans="1:15" ht="13.5" hidden="1" customHeight="1">
      <c r="B1085" s="33">
        <v>2</v>
      </c>
      <c r="C1085" s="35" t="s">
        <v>54</v>
      </c>
      <c r="D1085" s="35" t="s">
        <v>149</v>
      </c>
      <c r="F1085" s="30" t="s">
        <v>38</v>
      </c>
      <c r="G1085" s="36">
        <f t="shared" ref="G1085:G1088" si="119">333*18</f>
        <v>5994</v>
      </c>
      <c r="H1085" s="36">
        <v>1861.6</v>
      </c>
      <c r="I1085" s="36">
        <v>3240</v>
      </c>
      <c r="J1085" s="36"/>
      <c r="K1085" s="36">
        <f t="shared" ref="K1085:K1093" si="120">SUM(G1085:J1085)</f>
        <v>11095.6</v>
      </c>
      <c r="L1085" s="36">
        <f t="shared" ref="L1085:L1093" si="121">K1085</f>
        <v>11095.6</v>
      </c>
      <c r="M1085" s="9">
        <f t="shared" si="117"/>
        <v>1</v>
      </c>
      <c r="N1085" s="5">
        <v>1</v>
      </c>
      <c r="O1085" s="10">
        <f t="shared" si="118"/>
        <v>1</v>
      </c>
    </row>
    <row r="1086" spans="1:15" ht="13.5" hidden="1" customHeight="1">
      <c r="B1086" s="33">
        <v>3</v>
      </c>
      <c r="C1086" s="35" t="s">
        <v>142</v>
      </c>
      <c r="D1086" s="35" t="s">
        <v>150</v>
      </c>
      <c r="F1086" s="30" t="s">
        <v>38</v>
      </c>
      <c r="G1086" s="36">
        <f t="shared" si="119"/>
        <v>5994</v>
      </c>
      <c r="H1086" s="36">
        <v>1861.6</v>
      </c>
      <c r="I1086" s="36">
        <v>3240</v>
      </c>
      <c r="J1086" s="36"/>
      <c r="K1086" s="36">
        <f t="shared" si="120"/>
        <v>11095.6</v>
      </c>
      <c r="L1086" s="36">
        <f t="shared" si="121"/>
        <v>11095.6</v>
      </c>
      <c r="M1086" s="9">
        <f t="shared" si="117"/>
        <v>1</v>
      </c>
      <c r="N1086" s="5">
        <v>1</v>
      </c>
      <c r="O1086" s="10">
        <f t="shared" si="118"/>
        <v>1</v>
      </c>
    </row>
    <row r="1087" spans="1:15" ht="13.5" hidden="1" customHeight="1">
      <c r="B1087" s="33">
        <v>4</v>
      </c>
      <c r="C1087" s="35" t="s">
        <v>144</v>
      </c>
      <c r="D1087" s="35" t="s">
        <v>153</v>
      </c>
      <c r="F1087" s="30" t="s">
        <v>38</v>
      </c>
      <c r="G1087" s="36">
        <f t="shared" si="119"/>
        <v>5994</v>
      </c>
      <c r="H1087" s="36">
        <v>1861.6</v>
      </c>
      <c r="I1087" s="36">
        <v>3240</v>
      </c>
      <c r="J1087" s="36"/>
      <c r="K1087" s="36">
        <f t="shared" si="120"/>
        <v>11095.6</v>
      </c>
      <c r="L1087" s="36">
        <f t="shared" si="121"/>
        <v>11095.6</v>
      </c>
      <c r="M1087" s="9">
        <f t="shared" si="117"/>
        <v>1</v>
      </c>
      <c r="N1087" s="5">
        <v>1</v>
      </c>
      <c r="O1087" s="10">
        <f t="shared" si="118"/>
        <v>1</v>
      </c>
    </row>
    <row r="1088" spans="1:15" ht="13.5" hidden="1" customHeight="1">
      <c r="B1088" s="33">
        <v>5</v>
      </c>
      <c r="C1088" s="35" t="s">
        <v>147</v>
      </c>
      <c r="D1088" s="35" t="s">
        <v>157</v>
      </c>
      <c r="F1088" s="30" t="s">
        <v>38</v>
      </c>
      <c r="G1088" s="36">
        <f t="shared" si="119"/>
        <v>5994</v>
      </c>
      <c r="H1088" s="36">
        <v>1861.6</v>
      </c>
      <c r="I1088" s="36">
        <v>3240</v>
      </c>
      <c r="J1088" s="36"/>
      <c r="K1088" s="36">
        <f t="shared" si="120"/>
        <v>11095.6</v>
      </c>
      <c r="L1088" s="36">
        <f t="shared" si="121"/>
        <v>11095.6</v>
      </c>
      <c r="M1088" s="9">
        <f t="shared" si="117"/>
        <v>1</v>
      </c>
      <c r="N1088" s="5">
        <v>1</v>
      </c>
      <c r="O1088" s="10">
        <f t="shared" si="118"/>
        <v>1</v>
      </c>
    </row>
    <row r="1089" spans="1:15" ht="13.5" hidden="1" customHeight="1">
      <c r="B1089" s="33">
        <v>6</v>
      </c>
      <c r="C1089" s="35" t="s">
        <v>143</v>
      </c>
      <c r="D1089" s="35" t="s">
        <v>151</v>
      </c>
      <c r="F1089" s="30" t="s">
        <v>140</v>
      </c>
      <c r="G1089" s="36">
        <f>333*15</f>
        <v>4995</v>
      </c>
      <c r="H1089" s="36">
        <v>1861.6</v>
      </c>
      <c r="I1089" s="36">
        <v>3240</v>
      </c>
      <c r="J1089" s="36"/>
      <c r="K1089" s="36">
        <f t="shared" si="120"/>
        <v>10096.6</v>
      </c>
      <c r="L1089" s="36">
        <f t="shared" si="121"/>
        <v>10096.6</v>
      </c>
      <c r="M1089" s="9">
        <f t="shared" si="117"/>
        <v>1</v>
      </c>
      <c r="N1089" s="5">
        <v>1</v>
      </c>
      <c r="O1089" s="10">
        <f t="shared" si="118"/>
        <v>1</v>
      </c>
    </row>
    <row r="1090" spans="1:15" ht="13.5" hidden="1" customHeight="1">
      <c r="B1090" s="33">
        <v>7</v>
      </c>
      <c r="C1090" s="35" t="s">
        <v>158</v>
      </c>
      <c r="D1090" s="35" t="s">
        <v>152</v>
      </c>
      <c r="F1090" s="30" t="s">
        <v>140</v>
      </c>
      <c r="G1090" s="36">
        <f>333*18</f>
        <v>5994</v>
      </c>
      <c r="H1090" s="36">
        <v>1861.6</v>
      </c>
      <c r="I1090" s="36">
        <v>3240</v>
      </c>
      <c r="J1090" s="36"/>
      <c r="K1090" s="36">
        <f t="shared" si="120"/>
        <v>11095.6</v>
      </c>
      <c r="L1090" s="36">
        <f t="shared" si="121"/>
        <v>11095.6</v>
      </c>
      <c r="M1090" s="9">
        <f t="shared" si="117"/>
        <v>1</v>
      </c>
      <c r="N1090" s="5">
        <v>1</v>
      </c>
      <c r="O1090" s="10">
        <f t="shared" si="118"/>
        <v>1</v>
      </c>
    </row>
    <row r="1091" spans="1:15" ht="13.5" hidden="1" customHeight="1">
      <c r="B1091" s="33">
        <v>8</v>
      </c>
      <c r="C1091" s="35" t="s">
        <v>70</v>
      </c>
      <c r="D1091" s="35" t="s">
        <v>154</v>
      </c>
      <c r="F1091" s="30" t="s">
        <v>140</v>
      </c>
      <c r="G1091" s="36">
        <f>333*12</f>
        <v>3996</v>
      </c>
      <c r="H1091" s="36">
        <v>1861.6</v>
      </c>
      <c r="I1091" s="36">
        <v>3240</v>
      </c>
      <c r="J1091" s="36"/>
      <c r="K1091" s="36">
        <f t="shared" si="120"/>
        <v>9097.6</v>
      </c>
      <c r="L1091" s="36">
        <f t="shared" si="121"/>
        <v>9097.6</v>
      </c>
      <c r="M1091" s="9">
        <f t="shared" si="117"/>
        <v>1</v>
      </c>
      <c r="N1091" s="5">
        <v>1</v>
      </c>
      <c r="O1091" s="10">
        <f t="shared" si="118"/>
        <v>1</v>
      </c>
    </row>
    <row r="1092" spans="1:15" ht="13.5" hidden="1" customHeight="1">
      <c r="B1092" s="33">
        <v>9</v>
      </c>
      <c r="C1092" s="35" t="s">
        <v>145</v>
      </c>
      <c r="D1092" s="35" t="s">
        <v>155</v>
      </c>
      <c r="F1092" s="30" t="s">
        <v>140</v>
      </c>
      <c r="G1092" s="36">
        <f t="shared" ref="G1092" si="122">333*15</f>
        <v>4995</v>
      </c>
      <c r="H1092" s="36">
        <v>1861.6</v>
      </c>
      <c r="I1092" s="36">
        <v>3240</v>
      </c>
      <c r="J1092" s="36"/>
      <c r="K1092" s="36">
        <f t="shared" si="120"/>
        <v>10096.6</v>
      </c>
      <c r="L1092" s="36">
        <f t="shared" si="121"/>
        <v>10096.6</v>
      </c>
      <c r="M1092" s="9">
        <f t="shared" si="117"/>
        <v>1</v>
      </c>
      <c r="N1092" s="5">
        <v>1</v>
      </c>
      <c r="O1092" s="10">
        <f t="shared" si="118"/>
        <v>1</v>
      </c>
    </row>
    <row r="1093" spans="1:15" ht="13.5" hidden="1" customHeight="1">
      <c r="B1093" s="33">
        <v>10</v>
      </c>
      <c r="C1093" s="35" t="s">
        <v>146</v>
      </c>
      <c r="D1093" s="35" t="s">
        <v>156</v>
      </c>
      <c r="F1093" s="30" t="s">
        <v>140</v>
      </c>
      <c r="G1093" s="36">
        <f>333*8</f>
        <v>2664</v>
      </c>
      <c r="H1093" s="36">
        <v>1861.6</v>
      </c>
      <c r="I1093" s="36">
        <v>3240</v>
      </c>
      <c r="J1093" s="36"/>
      <c r="K1093" s="36">
        <f t="shared" si="120"/>
        <v>7765.6</v>
      </c>
      <c r="L1093" s="36">
        <f t="shared" si="121"/>
        <v>7765.6</v>
      </c>
      <c r="M1093" s="9">
        <f t="shared" si="117"/>
        <v>1</v>
      </c>
      <c r="N1093" s="5">
        <v>1</v>
      </c>
      <c r="O1093" s="10">
        <f t="shared" si="118"/>
        <v>1</v>
      </c>
    </row>
    <row r="1094" spans="1:15" ht="15.95" hidden="1" customHeight="1">
      <c r="A1094" s="66" t="s">
        <v>45</v>
      </c>
      <c r="B1094" s="66"/>
      <c r="C1094" s="66"/>
      <c r="D1094" s="66"/>
      <c r="E1094" s="66"/>
      <c r="F1094" s="66"/>
      <c r="G1094" s="66"/>
      <c r="H1094" s="66"/>
      <c r="I1094" s="66"/>
      <c r="J1094" s="66"/>
      <c r="K1094" s="66"/>
      <c r="L1094" s="66"/>
      <c r="M1094" s="66"/>
      <c r="N1094" s="22">
        <f>SUM(N1084:N1093)</f>
        <v>10</v>
      </c>
      <c r="O1094" s="23">
        <f>SUM(O1084:O1093)</f>
        <v>10</v>
      </c>
    </row>
    <row r="1095" spans="1:15" ht="13.5" hidden="1" customHeight="1">
      <c r="A1095" s="44" t="s">
        <v>138</v>
      </c>
      <c r="B1095" s="44"/>
      <c r="C1095" s="44"/>
      <c r="D1095" s="44"/>
      <c r="E1095" s="44"/>
      <c r="F1095" s="44"/>
      <c r="G1095" s="44"/>
      <c r="H1095" s="44"/>
      <c r="I1095" s="44"/>
      <c r="J1095" s="44"/>
      <c r="K1095" s="44"/>
      <c r="L1095" s="44"/>
      <c r="M1095" s="44"/>
      <c r="N1095" s="44"/>
      <c r="O1095" s="44"/>
    </row>
    <row r="1096" spans="1:15" ht="13.5" hidden="1" customHeight="1">
      <c r="B1096" s="33">
        <v>1</v>
      </c>
      <c r="C1096" s="25" t="s">
        <v>141</v>
      </c>
      <c r="D1096" s="25" t="s">
        <v>148</v>
      </c>
      <c r="F1096" s="30" t="s">
        <v>38</v>
      </c>
      <c r="G1096" s="36">
        <f>333*21</f>
        <v>6993</v>
      </c>
      <c r="H1096" s="36">
        <v>1861.6</v>
      </c>
      <c r="I1096" s="36">
        <v>3240</v>
      </c>
      <c r="J1096" s="36"/>
      <c r="K1096" s="36">
        <f>SUM(G1096:J1096)</f>
        <v>12094.6</v>
      </c>
      <c r="L1096" s="36">
        <f>K1096</f>
        <v>12094.6</v>
      </c>
      <c r="M1096" s="9">
        <f t="shared" ref="M1096:M1105" si="123">L1096/K1096</f>
        <v>1</v>
      </c>
      <c r="N1096" s="5">
        <v>1</v>
      </c>
      <c r="O1096" s="10">
        <f t="shared" ref="O1096:O1105" si="124">N1096*M1096</f>
        <v>1</v>
      </c>
    </row>
    <row r="1097" spans="1:15" ht="13.5" hidden="1" customHeight="1">
      <c r="B1097" s="33">
        <v>2</v>
      </c>
      <c r="C1097" s="35" t="s">
        <v>54</v>
      </c>
      <c r="D1097" s="35" t="s">
        <v>149</v>
      </c>
      <c r="F1097" s="30" t="s">
        <v>38</v>
      </c>
      <c r="G1097" s="36">
        <f t="shared" ref="G1097:G1100" si="125">333*21</f>
        <v>6993</v>
      </c>
      <c r="H1097" s="36">
        <v>1861.6</v>
      </c>
      <c r="I1097" s="36">
        <v>3240</v>
      </c>
      <c r="J1097" s="36"/>
      <c r="K1097" s="36">
        <f t="shared" ref="K1097:K1105" si="126">SUM(G1097:J1097)</f>
        <v>12094.6</v>
      </c>
      <c r="L1097" s="36">
        <f t="shared" ref="L1097:L1105" si="127">K1097</f>
        <v>12094.6</v>
      </c>
      <c r="M1097" s="9">
        <f t="shared" si="123"/>
        <v>1</v>
      </c>
      <c r="N1097" s="5">
        <v>1</v>
      </c>
      <c r="O1097" s="10">
        <f t="shared" si="124"/>
        <v>1</v>
      </c>
    </row>
    <row r="1098" spans="1:15" ht="13.5" hidden="1" customHeight="1">
      <c r="B1098" s="33">
        <v>3</v>
      </c>
      <c r="C1098" s="35" t="s">
        <v>142</v>
      </c>
      <c r="D1098" s="35" t="s">
        <v>150</v>
      </c>
      <c r="F1098" s="30" t="s">
        <v>38</v>
      </c>
      <c r="G1098" s="36">
        <f t="shared" si="125"/>
        <v>6993</v>
      </c>
      <c r="H1098" s="36">
        <v>1861.6</v>
      </c>
      <c r="I1098" s="36">
        <v>3240</v>
      </c>
      <c r="J1098" s="36"/>
      <c r="K1098" s="36">
        <f t="shared" si="126"/>
        <v>12094.6</v>
      </c>
      <c r="L1098" s="36">
        <f t="shared" si="127"/>
        <v>12094.6</v>
      </c>
      <c r="M1098" s="9">
        <f t="shared" si="123"/>
        <v>1</v>
      </c>
      <c r="N1098" s="5">
        <v>1</v>
      </c>
      <c r="O1098" s="10">
        <f t="shared" si="124"/>
        <v>1</v>
      </c>
    </row>
    <row r="1099" spans="1:15" ht="13.5" hidden="1" customHeight="1">
      <c r="B1099" s="33">
        <v>4</v>
      </c>
      <c r="C1099" s="35" t="s">
        <v>144</v>
      </c>
      <c r="D1099" s="35" t="s">
        <v>153</v>
      </c>
      <c r="F1099" s="30" t="s">
        <v>38</v>
      </c>
      <c r="G1099" s="36">
        <f t="shared" si="125"/>
        <v>6993</v>
      </c>
      <c r="H1099" s="36">
        <v>1861.6</v>
      </c>
      <c r="I1099" s="36">
        <v>3240</v>
      </c>
      <c r="J1099" s="36"/>
      <c r="K1099" s="36">
        <f t="shared" si="126"/>
        <v>12094.6</v>
      </c>
      <c r="L1099" s="36">
        <f t="shared" si="127"/>
        <v>12094.6</v>
      </c>
      <c r="M1099" s="9">
        <f t="shared" si="123"/>
        <v>1</v>
      </c>
      <c r="N1099" s="5">
        <v>1</v>
      </c>
      <c r="O1099" s="10">
        <f t="shared" si="124"/>
        <v>1</v>
      </c>
    </row>
    <row r="1100" spans="1:15" ht="13.5" hidden="1" customHeight="1">
      <c r="B1100" s="33">
        <v>5</v>
      </c>
      <c r="C1100" s="35" t="s">
        <v>147</v>
      </c>
      <c r="D1100" s="35" t="s">
        <v>157</v>
      </c>
      <c r="F1100" s="30" t="s">
        <v>38</v>
      </c>
      <c r="G1100" s="36">
        <f t="shared" si="125"/>
        <v>6993</v>
      </c>
      <c r="H1100" s="36">
        <v>1861.6</v>
      </c>
      <c r="I1100" s="36">
        <v>3240</v>
      </c>
      <c r="J1100" s="36"/>
      <c r="K1100" s="36">
        <f t="shared" si="126"/>
        <v>12094.6</v>
      </c>
      <c r="L1100" s="36">
        <f t="shared" si="127"/>
        <v>12094.6</v>
      </c>
      <c r="M1100" s="9">
        <f t="shared" si="123"/>
        <v>1</v>
      </c>
      <c r="N1100" s="5">
        <v>1</v>
      </c>
      <c r="O1100" s="10">
        <f t="shared" si="124"/>
        <v>1</v>
      </c>
    </row>
    <row r="1101" spans="1:15" ht="13.5" hidden="1" customHeight="1">
      <c r="B1101" s="33">
        <v>6</v>
      </c>
      <c r="C1101" s="35" t="s">
        <v>143</v>
      </c>
      <c r="D1101" s="35" t="s">
        <v>151</v>
      </c>
      <c r="F1101" s="30" t="s">
        <v>140</v>
      </c>
      <c r="G1101" s="36">
        <f>333*9</f>
        <v>2997</v>
      </c>
      <c r="H1101" s="36">
        <v>1861.6</v>
      </c>
      <c r="I1101" s="36">
        <v>3240</v>
      </c>
      <c r="J1101" s="36"/>
      <c r="K1101" s="36">
        <f t="shared" si="126"/>
        <v>8098.6</v>
      </c>
      <c r="L1101" s="36">
        <f t="shared" si="127"/>
        <v>8098.6</v>
      </c>
      <c r="M1101" s="9">
        <f t="shared" si="123"/>
        <v>1</v>
      </c>
      <c r="N1101" s="5">
        <v>1</v>
      </c>
      <c r="O1101" s="10">
        <f t="shared" si="124"/>
        <v>1</v>
      </c>
    </row>
    <row r="1102" spans="1:15" ht="13.5" hidden="1" customHeight="1">
      <c r="B1102" s="33">
        <v>7</v>
      </c>
      <c r="C1102" s="35" t="s">
        <v>158</v>
      </c>
      <c r="D1102" s="35" t="s">
        <v>152</v>
      </c>
      <c r="F1102" s="30" t="s">
        <v>140</v>
      </c>
      <c r="G1102" s="36">
        <f t="shared" ref="G1102:G1105" si="128">333*9</f>
        <v>2997</v>
      </c>
      <c r="H1102" s="36">
        <v>1861.6</v>
      </c>
      <c r="I1102" s="36">
        <v>3240</v>
      </c>
      <c r="J1102" s="36"/>
      <c r="K1102" s="36">
        <f t="shared" si="126"/>
        <v>8098.6</v>
      </c>
      <c r="L1102" s="36">
        <f t="shared" si="127"/>
        <v>8098.6</v>
      </c>
      <c r="M1102" s="9">
        <f t="shared" si="123"/>
        <v>1</v>
      </c>
      <c r="N1102" s="5">
        <v>1</v>
      </c>
      <c r="O1102" s="10">
        <f t="shared" si="124"/>
        <v>1</v>
      </c>
    </row>
    <row r="1103" spans="1:15" ht="13.5" hidden="1" customHeight="1">
      <c r="B1103" s="33">
        <v>8</v>
      </c>
      <c r="C1103" s="35" t="s">
        <v>70</v>
      </c>
      <c r="D1103" s="35" t="s">
        <v>154</v>
      </c>
      <c r="F1103" s="30" t="s">
        <v>140</v>
      </c>
      <c r="G1103" s="36">
        <f t="shared" si="128"/>
        <v>2997</v>
      </c>
      <c r="H1103" s="36">
        <v>1861.6</v>
      </c>
      <c r="I1103" s="36">
        <v>3240</v>
      </c>
      <c r="J1103" s="36"/>
      <c r="K1103" s="36">
        <f t="shared" si="126"/>
        <v>8098.6</v>
      </c>
      <c r="L1103" s="36">
        <f t="shared" si="127"/>
        <v>8098.6</v>
      </c>
      <c r="M1103" s="9">
        <f t="shared" si="123"/>
        <v>1</v>
      </c>
      <c r="N1103" s="5">
        <v>1</v>
      </c>
      <c r="O1103" s="10">
        <f t="shared" si="124"/>
        <v>1</v>
      </c>
    </row>
    <row r="1104" spans="1:15" ht="13.5" hidden="1" customHeight="1">
      <c r="B1104" s="33">
        <v>9</v>
      </c>
      <c r="C1104" s="35" t="s">
        <v>145</v>
      </c>
      <c r="D1104" s="35" t="s">
        <v>155</v>
      </c>
      <c r="F1104" s="30" t="s">
        <v>140</v>
      </c>
      <c r="G1104" s="36">
        <f t="shared" si="128"/>
        <v>2997</v>
      </c>
      <c r="H1104" s="36">
        <v>1861.6</v>
      </c>
      <c r="I1104" s="36">
        <v>3240</v>
      </c>
      <c r="J1104" s="36"/>
      <c r="K1104" s="36">
        <f t="shared" si="126"/>
        <v>8098.6</v>
      </c>
      <c r="L1104" s="36">
        <f t="shared" si="127"/>
        <v>8098.6</v>
      </c>
      <c r="M1104" s="9">
        <f t="shared" si="123"/>
        <v>1</v>
      </c>
      <c r="N1104" s="5">
        <v>1</v>
      </c>
      <c r="O1104" s="10">
        <f t="shared" si="124"/>
        <v>1</v>
      </c>
    </row>
    <row r="1105" spans="1:15" ht="13.5" hidden="1" customHeight="1">
      <c r="B1105" s="33">
        <v>10</v>
      </c>
      <c r="C1105" s="35" t="s">
        <v>146</v>
      </c>
      <c r="D1105" s="35" t="s">
        <v>156</v>
      </c>
      <c r="F1105" s="30" t="s">
        <v>140</v>
      </c>
      <c r="G1105" s="36">
        <f t="shared" si="128"/>
        <v>2997</v>
      </c>
      <c r="H1105" s="36">
        <v>1861.6</v>
      </c>
      <c r="I1105" s="36">
        <v>3240</v>
      </c>
      <c r="J1105" s="36"/>
      <c r="K1105" s="36">
        <f t="shared" si="126"/>
        <v>8098.6</v>
      </c>
      <c r="L1105" s="36">
        <f t="shared" si="127"/>
        <v>8098.6</v>
      </c>
      <c r="M1105" s="9">
        <f t="shared" si="123"/>
        <v>1</v>
      </c>
      <c r="N1105" s="5">
        <v>1</v>
      </c>
      <c r="O1105" s="10">
        <f t="shared" si="124"/>
        <v>1</v>
      </c>
    </row>
    <row r="1106" spans="1:15" ht="15.95" hidden="1" customHeight="1">
      <c r="A1106" s="66" t="s">
        <v>45</v>
      </c>
      <c r="B1106" s="66"/>
      <c r="C1106" s="66"/>
      <c r="D1106" s="66"/>
      <c r="E1106" s="66"/>
      <c r="F1106" s="66"/>
      <c r="G1106" s="66"/>
      <c r="H1106" s="66"/>
      <c r="I1106" s="66"/>
      <c r="J1106" s="66"/>
      <c r="K1106" s="66"/>
      <c r="L1106" s="66"/>
      <c r="M1106" s="66"/>
      <c r="N1106" s="22">
        <f>SUM(N1096:N1105)</f>
        <v>10</v>
      </c>
      <c r="O1106" s="23">
        <f>SUM(O1096:O1105)</f>
        <v>10</v>
      </c>
    </row>
    <row r="1107" spans="1:15" ht="13.5" customHeight="1">
      <c r="A1107" s="44" t="s">
        <v>501</v>
      </c>
      <c r="B1107" s="44"/>
      <c r="C1107" s="44"/>
      <c r="D1107" s="44"/>
      <c r="E1107" s="44"/>
      <c r="F1107" s="44"/>
      <c r="G1107" s="44"/>
      <c r="H1107" s="44"/>
      <c r="I1107" s="44"/>
      <c r="J1107" s="44"/>
      <c r="K1107" s="44"/>
      <c r="L1107" s="44"/>
      <c r="M1107" s="44"/>
      <c r="N1107" s="44"/>
      <c r="O1107" s="44"/>
    </row>
    <row r="1108" spans="1:15" ht="13.5" customHeight="1">
      <c r="B1108" s="33">
        <v>1</v>
      </c>
      <c r="C1108" s="25" t="s">
        <v>141</v>
      </c>
      <c r="D1108" s="25" t="s">
        <v>148</v>
      </c>
      <c r="F1108" s="30" t="s">
        <v>38</v>
      </c>
      <c r="G1108" s="36">
        <f>+G1072+G1084+G1096</f>
        <v>19647</v>
      </c>
      <c r="H1108" s="36">
        <f t="shared" ref="H1108:K1108" si="129">+H1072+H1084+H1096</f>
        <v>5584.7999999999993</v>
      </c>
      <c r="I1108" s="36">
        <f t="shared" si="129"/>
        <v>9720</v>
      </c>
      <c r="J1108" s="36">
        <f t="shared" si="129"/>
        <v>500</v>
      </c>
      <c r="K1108" s="36">
        <f t="shared" si="129"/>
        <v>35451.800000000003</v>
      </c>
      <c r="L1108" s="36">
        <f>K1108</f>
        <v>35451.800000000003</v>
      </c>
      <c r="M1108" s="9">
        <f t="shared" ref="M1108:M1117" si="130">L1108/K1108</f>
        <v>1</v>
      </c>
      <c r="N1108" s="5">
        <v>1</v>
      </c>
      <c r="O1108" s="10">
        <f t="shared" ref="O1108:O1117" si="131">N1108*M1108</f>
        <v>1</v>
      </c>
    </row>
    <row r="1109" spans="1:15" ht="13.5" customHeight="1">
      <c r="B1109" s="33">
        <v>2</v>
      </c>
      <c r="C1109" s="35" t="s">
        <v>54</v>
      </c>
      <c r="D1109" s="35" t="s">
        <v>149</v>
      </c>
      <c r="F1109" s="30" t="s">
        <v>38</v>
      </c>
      <c r="G1109" s="36">
        <f t="shared" ref="G1109:K1117" si="132">+G1073+G1085+G1097</f>
        <v>18648</v>
      </c>
      <c r="H1109" s="36">
        <f t="shared" si="132"/>
        <v>5584.7999999999993</v>
      </c>
      <c r="I1109" s="36">
        <f t="shared" si="132"/>
        <v>9720</v>
      </c>
      <c r="J1109" s="36">
        <f t="shared" si="132"/>
        <v>500</v>
      </c>
      <c r="K1109" s="36">
        <f t="shared" si="132"/>
        <v>34452.800000000003</v>
      </c>
      <c r="L1109" s="36">
        <f t="shared" ref="L1109:L1117" si="133">K1109</f>
        <v>34452.800000000003</v>
      </c>
      <c r="M1109" s="9">
        <f t="shared" si="130"/>
        <v>1</v>
      </c>
      <c r="N1109" s="5">
        <v>1</v>
      </c>
      <c r="O1109" s="10">
        <f t="shared" si="131"/>
        <v>1</v>
      </c>
    </row>
    <row r="1110" spans="1:15" ht="13.5" customHeight="1">
      <c r="B1110" s="33">
        <v>3</v>
      </c>
      <c r="C1110" s="35" t="s">
        <v>142</v>
      </c>
      <c r="D1110" s="35" t="s">
        <v>150</v>
      </c>
      <c r="F1110" s="30" t="s">
        <v>38</v>
      </c>
      <c r="G1110" s="36">
        <f t="shared" si="132"/>
        <v>19647</v>
      </c>
      <c r="H1110" s="36">
        <f t="shared" si="132"/>
        <v>5584.7999999999993</v>
      </c>
      <c r="I1110" s="36">
        <f t="shared" si="132"/>
        <v>9720</v>
      </c>
      <c r="J1110" s="36">
        <f t="shared" si="132"/>
        <v>500</v>
      </c>
      <c r="K1110" s="36">
        <f t="shared" si="132"/>
        <v>35451.800000000003</v>
      </c>
      <c r="L1110" s="36">
        <f t="shared" si="133"/>
        <v>35451.800000000003</v>
      </c>
      <c r="M1110" s="9">
        <f t="shared" si="130"/>
        <v>1</v>
      </c>
      <c r="N1110" s="5">
        <v>1</v>
      </c>
      <c r="O1110" s="10">
        <f t="shared" si="131"/>
        <v>1</v>
      </c>
    </row>
    <row r="1111" spans="1:15" ht="13.5" customHeight="1">
      <c r="B1111" s="33">
        <v>4</v>
      </c>
      <c r="C1111" s="35" t="s">
        <v>144</v>
      </c>
      <c r="D1111" s="35" t="s">
        <v>153</v>
      </c>
      <c r="F1111" s="30" t="s">
        <v>38</v>
      </c>
      <c r="G1111" s="36">
        <f t="shared" si="132"/>
        <v>19647</v>
      </c>
      <c r="H1111" s="36">
        <f t="shared" si="132"/>
        <v>5584.7999999999993</v>
      </c>
      <c r="I1111" s="36">
        <f t="shared" si="132"/>
        <v>9720</v>
      </c>
      <c r="J1111" s="36">
        <f t="shared" si="132"/>
        <v>500</v>
      </c>
      <c r="K1111" s="36">
        <f t="shared" si="132"/>
        <v>35451.800000000003</v>
      </c>
      <c r="L1111" s="36">
        <f t="shared" si="133"/>
        <v>35451.800000000003</v>
      </c>
      <c r="M1111" s="9">
        <f t="shared" si="130"/>
        <v>1</v>
      </c>
      <c r="N1111" s="5">
        <v>1</v>
      </c>
      <c r="O1111" s="10">
        <f t="shared" si="131"/>
        <v>1</v>
      </c>
    </row>
    <row r="1112" spans="1:15" ht="13.5" customHeight="1">
      <c r="B1112" s="33">
        <v>5</v>
      </c>
      <c r="C1112" s="35" t="s">
        <v>147</v>
      </c>
      <c r="D1112" s="35" t="s">
        <v>157</v>
      </c>
      <c r="F1112" s="30" t="s">
        <v>38</v>
      </c>
      <c r="G1112" s="36">
        <f t="shared" si="132"/>
        <v>17982</v>
      </c>
      <c r="H1112" s="36">
        <f t="shared" si="132"/>
        <v>5584.7999999999993</v>
      </c>
      <c r="I1112" s="36">
        <f t="shared" si="132"/>
        <v>9720</v>
      </c>
      <c r="J1112" s="36">
        <f t="shared" si="132"/>
        <v>500</v>
      </c>
      <c r="K1112" s="36">
        <f t="shared" si="132"/>
        <v>33786.800000000003</v>
      </c>
      <c r="L1112" s="36">
        <f t="shared" si="133"/>
        <v>33786.800000000003</v>
      </c>
      <c r="M1112" s="9">
        <f t="shared" si="130"/>
        <v>1</v>
      </c>
      <c r="N1112" s="5">
        <v>1</v>
      </c>
      <c r="O1112" s="10">
        <f t="shared" si="131"/>
        <v>1</v>
      </c>
    </row>
    <row r="1113" spans="1:15" ht="13.5" customHeight="1">
      <c r="B1113" s="33">
        <v>6</v>
      </c>
      <c r="C1113" s="35" t="s">
        <v>143</v>
      </c>
      <c r="D1113" s="35" t="s">
        <v>151</v>
      </c>
      <c r="F1113" s="30" t="s">
        <v>140</v>
      </c>
      <c r="G1113" s="36">
        <f t="shared" si="132"/>
        <v>12987</v>
      </c>
      <c r="H1113" s="36">
        <f t="shared" si="132"/>
        <v>5584.7999999999993</v>
      </c>
      <c r="I1113" s="36">
        <f t="shared" si="132"/>
        <v>9720</v>
      </c>
      <c r="J1113" s="36">
        <f t="shared" si="132"/>
        <v>500</v>
      </c>
      <c r="K1113" s="36">
        <f t="shared" si="132"/>
        <v>28791.800000000003</v>
      </c>
      <c r="L1113" s="36">
        <f t="shared" si="133"/>
        <v>28791.800000000003</v>
      </c>
      <c r="M1113" s="9">
        <f t="shared" si="130"/>
        <v>1</v>
      </c>
      <c r="N1113" s="5">
        <v>1</v>
      </c>
      <c r="O1113" s="10">
        <f t="shared" si="131"/>
        <v>1</v>
      </c>
    </row>
    <row r="1114" spans="1:15" ht="13.5" customHeight="1">
      <c r="B1114" s="33">
        <v>7</v>
      </c>
      <c r="C1114" s="35" t="s">
        <v>158</v>
      </c>
      <c r="D1114" s="35" t="s">
        <v>152</v>
      </c>
      <c r="F1114" s="30" t="s">
        <v>140</v>
      </c>
      <c r="G1114" s="36">
        <f t="shared" si="132"/>
        <v>14985</v>
      </c>
      <c r="H1114" s="36">
        <f t="shared" si="132"/>
        <v>5584.7999999999993</v>
      </c>
      <c r="I1114" s="36">
        <f t="shared" si="132"/>
        <v>9720</v>
      </c>
      <c r="J1114" s="36">
        <f t="shared" si="132"/>
        <v>500</v>
      </c>
      <c r="K1114" s="36">
        <f t="shared" si="132"/>
        <v>30789.800000000003</v>
      </c>
      <c r="L1114" s="36">
        <f t="shared" si="133"/>
        <v>30789.800000000003</v>
      </c>
      <c r="M1114" s="9">
        <f t="shared" si="130"/>
        <v>1</v>
      </c>
      <c r="N1114" s="5">
        <v>1</v>
      </c>
      <c r="O1114" s="10">
        <f t="shared" si="131"/>
        <v>1</v>
      </c>
    </row>
    <row r="1115" spans="1:15" ht="13.5" customHeight="1">
      <c r="B1115" s="33">
        <v>8</v>
      </c>
      <c r="C1115" s="35" t="s">
        <v>70</v>
      </c>
      <c r="D1115" s="35" t="s">
        <v>154</v>
      </c>
      <c r="F1115" s="30" t="s">
        <v>140</v>
      </c>
      <c r="G1115" s="36">
        <f t="shared" si="132"/>
        <v>11988</v>
      </c>
      <c r="H1115" s="36">
        <f t="shared" si="132"/>
        <v>5584.7999999999993</v>
      </c>
      <c r="I1115" s="36">
        <f t="shared" si="132"/>
        <v>9720</v>
      </c>
      <c r="J1115" s="36">
        <f t="shared" si="132"/>
        <v>500</v>
      </c>
      <c r="K1115" s="36">
        <f t="shared" si="132"/>
        <v>27792.800000000003</v>
      </c>
      <c r="L1115" s="36">
        <f t="shared" si="133"/>
        <v>27792.800000000003</v>
      </c>
      <c r="M1115" s="9">
        <f t="shared" si="130"/>
        <v>1</v>
      </c>
      <c r="N1115" s="5">
        <v>1</v>
      </c>
      <c r="O1115" s="10">
        <f t="shared" si="131"/>
        <v>1</v>
      </c>
    </row>
    <row r="1116" spans="1:15" ht="13.5" customHeight="1">
      <c r="B1116" s="33">
        <v>9</v>
      </c>
      <c r="C1116" s="35" t="s">
        <v>145</v>
      </c>
      <c r="D1116" s="35" t="s">
        <v>155</v>
      </c>
      <c r="F1116" s="30" t="s">
        <v>140</v>
      </c>
      <c r="G1116" s="36">
        <f t="shared" si="132"/>
        <v>12987</v>
      </c>
      <c r="H1116" s="36">
        <f t="shared" si="132"/>
        <v>5584.7999999999993</v>
      </c>
      <c r="I1116" s="36">
        <f t="shared" si="132"/>
        <v>9720</v>
      </c>
      <c r="J1116" s="36">
        <f t="shared" si="132"/>
        <v>500</v>
      </c>
      <c r="K1116" s="36">
        <f t="shared" si="132"/>
        <v>28791.800000000003</v>
      </c>
      <c r="L1116" s="36">
        <f t="shared" si="133"/>
        <v>28791.800000000003</v>
      </c>
      <c r="M1116" s="9">
        <f t="shared" si="130"/>
        <v>1</v>
      </c>
      <c r="N1116" s="5">
        <v>1</v>
      </c>
      <c r="O1116" s="10">
        <f t="shared" si="131"/>
        <v>1</v>
      </c>
    </row>
    <row r="1117" spans="1:15" ht="13.5" customHeight="1">
      <c r="B1117" s="33">
        <v>10</v>
      </c>
      <c r="C1117" s="35" t="s">
        <v>146</v>
      </c>
      <c r="D1117" s="35" t="s">
        <v>156</v>
      </c>
      <c r="F1117" s="30" t="s">
        <v>140</v>
      </c>
      <c r="G1117" s="36">
        <f t="shared" si="132"/>
        <v>10656</v>
      </c>
      <c r="H1117" s="36">
        <f t="shared" si="132"/>
        <v>5584.7999999999993</v>
      </c>
      <c r="I1117" s="36">
        <f t="shared" si="132"/>
        <v>9720</v>
      </c>
      <c r="J1117" s="36">
        <f t="shared" si="132"/>
        <v>500</v>
      </c>
      <c r="K1117" s="36">
        <f t="shared" si="132"/>
        <v>26460.800000000003</v>
      </c>
      <c r="L1117" s="36">
        <f t="shared" si="133"/>
        <v>26460.800000000003</v>
      </c>
      <c r="M1117" s="9">
        <f t="shared" si="130"/>
        <v>1</v>
      </c>
      <c r="N1117" s="5">
        <v>1</v>
      </c>
      <c r="O1117" s="10">
        <f t="shared" si="131"/>
        <v>1</v>
      </c>
    </row>
    <row r="1118" spans="1:15" ht="15.95" customHeight="1">
      <c r="A1118" s="66" t="s">
        <v>45</v>
      </c>
      <c r="B1118" s="66"/>
      <c r="C1118" s="66"/>
      <c r="D1118" s="66"/>
      <c r="E1118" s="66"/>
      <c r="F1118" s="66"/>
      <c r="G1118" s="66"/>
      <c r="H1118" s="66"/>
      <c r="I1118" s="66"/>
      <c r="J1118" s="66"/>
      <c r="K1118" s="66"/>
      <c r="L1118" s="66"/>
      <c r="M1118" s="66"/>
      <c r="N1118" s="22">
        <f>SUM(N1108:N1114)</f>
        <v>7</v>
      </c>
      <c r="O1118" s="23">
        <f>SUM(O1108:O1114)</f>
        <v>7</v>
      </c>
    </row>
    <row r="1119" spans="1:15" s="46" customFormat="1" ht="25.5" customHeight="1">
      <c r="A1119" s="67" t="s">
        <v>16</v>
      </c>
      <c r="B1119" s="67"/>
      <c r="C1119" s="67"/>
      <c r="D1119" s="67"/>
      <c r="E1119" s="67"/>
      <c r="F1119" s="45"/>
      <c r="G1119" s="45"/>
      <c r="H1119" s="45"/>
      <c r="I1119" s="45"/>
      <c r="J1119" s="45"/>
      <c r="K1119" s="45"/>
      <c r="L1119" s="45"/>
      <c r="M1119" s="45"/>
      <c r="N1119" s="45"/>
      <c r="O1119" s="45"/>
    </row>
    <row r="1120" spans="1:15" ht="13.5" hidden="1" customHeight="1">
      <c r="A1120" s="44" t="s">
        <v>135</v>
      </c>
      <c r="B1120" s="44"/>
      <c r="C1120" s="44"/>
      <c r="D1120" s="44"/>
      <c r="E1120" s="44"/>
      <c r="F1120" s="44"/>
      <c r="G1120" s="44"/>
      <c r="H1120" s="44"/>
      <c r="I1120" s="44"/>
      <c r="J1120" s="44"/>
      <c r="K1120" s="44"/>
      <c r="L1120" s="44"/>
      <c r="M1120" s="44"/>
      <c r="N1120" s="44"/>
      <c r="O1120" s="44"/>
    </row>
    <row r="1121" spans="2:15" ht="13.5" hidden="1" customHeight="1">
      <c r="B1121" s="33">
        <v>1</v>
      </c>
      <c r="C1121" s="25" t="s">
        <v>162</v>
      </c>
      <c r="D1121" s="25" t="s">
        <v>180</v>
      </c>
      <c r="F1121" s="30" t="s">
        <v>42</v>
      </c>
      <c r="G1121" s="36">
        <f>333*20</f>
        <v>6660</v>
      </c>
      <c r="H1121" s="36">
        <v>1861</v>
      </c>
      <c r="I1121" s="36">
        <v>3240</v>
      </c>
      <c r="J1121" s="36">
        <v>500</v>
      </c>
      <c r="K1121" s="36">
        <f t="shared" ref="K1121:K1145" si="134">SUM(G1121:J1121)</f>
        <v>12261</v>
      </c>
      <c r="L1121" s="36">
        <f>K1121</f>
        <v>12261</v>
      </c>
      <c r="M1121" s="9">
        <f t="shared" ref="M1121:M1145" si="135">L1121/K1121</f>
        <v>1</v>
      </c>
      <c r="N1121" s="5">
        <v>1</v>
      </c>
      <c r="O1121" s="10">
        <f t="shared" ref="O1121:O1145" si="136">N1121*M1121</f>
        <v>1</v>
      </c>
    </row>
    <row r="1122" spans="2:15" ht="13.5" hidden="1" customHeight="1">
      <c r="B1122" s="33">
        <f>B1121+1</f>
        <v>2</v>
      </c>
      <c r="C1122" s="25" t="s">
        <v>96</v>
      </c>
      <c r="D1122" s="25" t="s">
        <v>181</v>
      </c>
      <c r="F1122" s="30" t="s">
        <v>42</v>
      </c>
      <c r="G1122" s="36">
        <f>333*20</f>
        <v>6660</v>
      </c>
      <c r="H1122" s="36">
        <v>1861</v>
      </c>
      <c r="I1122" s="36">
        <v>3240</v>
      </c>
      <c r="J1122" s="36">
        <v>500</v>
      </c>
      <c r="K1122" s="36">
        <f t="shared" si="134"/>
        <v>12261</v>
      </c>
      <c r="L1122" s="36">
        <f t="shared" ref="L1122:L1145" si="137">K1122</f>
        <v>12261</v>
      </c>
      <c r="M1122" s="9">
        <f t="shared" si="135"/>
        <v>1</v>
      </c>
      <c r="N1122" s="5">
        <v>1</v>
      </c>
      <c r="O1122" s="10">
        <f t="shared" si="136"/>
        <v>1</v>
      </c>
    </row>
    <row r="1123" spans="2:15" ht="13.5" hidden="1" customHeight="1">
      <c r="B1123" s="33">
        <f t="shared" ref="B1123:B1145" si="138">B1122+1</f>
        <v>3</v>
      </c>
      <c r="C1123" s="25" t="s">
        <v>165</v>
      </c>
      <c r="D1123" s="25" t="s">
        <v>200</v>
      </c>
      <c r="E1123" s="1" t="s">
        <v>123</v>
      </c>
      <c r="F1123" s="30" t="s">
        <v>42</v>
      </c>
      <c r="G1123" s="36">
        <f t="shared" ref="G1123:G1126" si="139">333*20</f>
        <v>6660</v>
      </c>
      <c r="H1123" s="36">
        <v>1861</v>
      </c>
      <c r="I1123" s="36">
        <v>3240</v>
      </c>
      <c r="J1123" s="36">
        <v>500</v>
      </c>
      <c r="K1123" s="36">
        <f t="shared" si="134"/>
        <v>12261</v>
      </c>
      <c r="L1123" s="36">
        <f t="shared" si="137"/>
        <v>12261</v>
      </c>
      <c r="M1123" s="9">
        <f t="shared" si="135"/>
        <v>1</v>
      </c>
      <c r="N1123" s="5">
        <v>1</v>
      </c>
      <c r="O1123" s="10">
        <f t="shared" si="136"/>
        <v>1</v>
      </c>
    </row>
    <row r="1124" spans="2:15" ht="13.5" hidden="1" customHeight="1">
      <c r="B1124" s="33">
        <f t="shared" si="138"/>
        <v>4</v>
      </c>
      <c r="C1124" s="25" t="s">
        <v>166</v>
      </c>
      <c r="D1124" s="25" t="s">
        <v>182</v>
      </c>
      <c r="F1124" s="30" t="s">
        <v>42</v>
      </c>
      <c r="G1124" s="36">
        <f t="shared" si="139"/>
        <v>6660</v>
      </c>
      <c r="H1124" s="36">
        <v>1861</v>
      </c>
      <c r="I1124" s="36">
        <v>3240</v>
      </c>
      <c r="J1124" s="36">
        <v>500</v>
      </c>
      <c r="K1124" s="36">
        <f t="shared" si="134"/>
        <v>12261</v>
      </c>
      <c r="L1124" s="36">
        <f t="shared" si="137"/>
        <v>12261</v>
      </c>
      <c r="M1124" s="9">
        <f t="shared" si="135"/>
        <v>1</v>
      </c>
      <c r="N1124" s="5">
        <v>1</v>
      </c>
      <c r="O1124" s="10">
        <f t="shared" si="136"/>
        <v>1</v>
      </c>
    </row>
    <row r="1125" spans="2:15" ht="13.5" hidden="1" customHeight="1">
      <c r="B1125" s="33">
        <f t="shared" si="138"/>
        <v>5</v>
      </c>
      <c r="C1125" s="25" t="s">
        <v>177</v>
      </c>
      <c r="D1125" s="25" t="s">
        <v>210</v>
      </c>
      <c r="E1125" s="1" t="s">
        <v>191</v>
      </c>
      <c r="F1125" s="30" t="s">
        <v>42</v>
      </c>
      <c r="G1125" s="36">
        <f t="shared" si="139"/>
        <v>6660</v>
      </c>
      <c r="H1125" s="36">
        <v>1861</v>
      </c>
      <c r="I1125" s="36">
        <v>3240</v>
      </c>
      <c r="J1125" s="36">
        <v>500</v>
      </c>
      <c r="K1125" s="36">
        <f t="shared" si="134"/>
        <v>12261</v>
      </c>
      <c r="L1125" s="36">
        <f t="shared" si="137"/>
        <v>12261</v>
      </c>
      <c r="M1125" s="9">
        <f t="shared" si="135"/>
        <v>1</v>
      </c>
      <c r="N1125" s="5">
        <v>1</v>
      </c>
      <c r="O1125" s="10">
        <f t="shared" si="136"/>
        <v>1</v>
      </c>
    </row>
    <row r="1126" spans="2:15" ht="13.5" hidden="1" customHeight="1">
      <c r="B1126" s="33">
        <f t="shared" si="138"/>
        <v>6</v>
      </c>
      <c r="C1126" s="25" t="s">
        <v>178</v>
      </c>
      <c r="D1126" s="25" t="s">
        <v>209</v>
      </c>
      <c r="E1126" s="1" t="s">
        <v>192</v>
      </c>
      <c r="F1126" s="30" t="s">
        <v>42</v>
      </c>
      <c r="G1126" s="36">
        <f t="shared" si="139"/>
        <v>6660</v>
      </c>
      <c r="H1126" s="36">
        <v>1861</v>
      </c>
      <c r="I1126" s="36">
        <v>3240</v>
      </c>
      <c r="J1126" s="36">
        <v>500</v>
      </c>
      <c r="K1126" s="36">
        <f t="shared" si="134"/>
        <v>12261</v>
      </c>
      <c r="L1126" s="36">
        <f t="shared" si="137"/>
        <v>12261</v>
      </c>
      <c r="M1126" s="9">
        <f t="shared" si="135"/>
        <v>1</v>
      </c>
      <c r="N1126" s="5">
        <v>1</v>
      </c>
      <c r="O1126" s="10">
        <f t="shared" si="136"/>
        <v>1</v>
      </c>
    </row>
    <row r="1127" spans="2:15" ht="13.5" hidden="1" customHeight="1">
      <c r="B1127" s="33">
        <f t="shared" si="138"/>
        <v>7</v>
      </c>
      <c r="C1127" s="25" t="s">
        <v>160</v>
      </c>
      <c r="D1127" s="25" t="s">
        <v>193</v>
      </c>
      <c r="E1127" s="1" t="s">
        <v>127</v>
      </c>
      <c r="F1127" s="30" t="s">
        <v>159</v>
      </c>
      <c r="G1127" s="36">
        <f>333*19</f>
        <v>6327</v>
      </c>
      <c r="H1127" s="36">
        <v>1861</v>
      </c>
      <c r="I1127" s="36">
        <v>3240</v>
      </c>
      <c r="J1127" s="36">
        <v>900</v>
      </c>
      <c r="K1127" s="36">
        <f t="shared" si="134"/>
        <v>12328</v>
      </c>
      <c r="L1127" s="36">
        <f t="shared" si="137"/>
        <v>12328</v>
      </c>
      <c r="M1127" s="9">
        <f t="shared" si="135"/>
        <v>1</v>
      </c>
      <c r="N1127" s="5">
        <v>1</v>
      </c>
      <c r="O1127" s="10">
        <f t="shared" si="136"/>
        <v>1</v>
      </c>
    </row>
    <row r="1128" spans="2:15" ht="13.5" hidden="1" customHeight="1">
      <c r="B1128" s="33">
        <f t="shared" si="138"/>
        <v>8</v>
      </c>
      <c r="C1128" s="25" t="s">
        <v>163</v>
      </c>
      <c r="D1128" s="25" t="s">
        <v>195</v>
      </c>
      <c r="E1128" s="1" t="s">
        <v>127</v>
      </c>
      <c r="F1128" s="30" t="s">
        <v>159</v>
      </c>
      <c r="G1128" s="36">
        <f t="shared" ref="G1128:G1130" si="140">333*19</f>
        <v>6327</v>
      </c>
      <c r="H1128" s="36">
        <v>1861</v>
      </c>
      <c r="I1128" s="36">
        <v>3240</v>
      </c>
      <c r="J1128" s="36">
        <v>900</v>
      </c>
      <c r="K1128" s="36">
        <f t="shared" si="134"/>
        <v>12328</v>
      </c>
      <c r="L1128" s="36">
        <f t="shared" si="137"/>
        <v>12328</v>
      </c>
      <c r="M1128" s="9">
        <f t="shared" si="135"/>
        <v>1</v>
      </c>
      <c r="N1128" s="5">
        <v>1</v>
      </c>
      <c r="O1128" s="10">
        <f t="shared" si="136"/>
        <v>1</v>
      </c>
    </row>
    <row r="1129" spans="2:15" ht="13.5" hidden="1" customHeight="1">
      <c r="B1129" s="33">
        <f t="shared" si="138"/>
        <v>9</v>
      </c>
      <c r="C1129" s="25" t="s">
        <v>164</v>
      </c>
      <c r="D1129" s="25" t="s">
        <v>198</v>
      </c>
      <c r="E1129" s="1" t="s">
        <v>125</v>
      </c>
      <c r="F1129" s="30" t="s">
        <v>159</v>
      </c>
      <c r="G1129" s="36">
        <f t="shared" si="140"/>
        <v>6327</v>
      </c>
      <c r="H1129" s="36">
        <v>1861</v>
      </c>
      <c r="I1129" s="36">
        <v>3240</v>
      </c>
      <c r="J1129" s="36">
        <v>900</v>
      </c>
      <c r="K1129" s="36">
        <f t="shared" si="134"/>
        <v>12328</v>
      </c>
      <c r="L1129" s="36">
        <f t="shared" si="137"/>
        <v>12328</v>
      </c>
      <c r="M1129" s="9">
        <f t="shared" si="135"/>
        <v>1</v>
      </c>
      <c r="N1129" s="5">
        <v>1</v>
      </c>
      <c r="O1129" s="10">
        <f t="shared" si="136"/>
        <v>1</v>
      </c>
    </row>
    <row r="1130" spans="2:15" ht="13.5" hidden="1" customHeight="1">
      <c r="B1130" s="33">
        <f t="shared" si="138"/>
        <v>10</v>
      </c>
      <c r="C1130" s="25" t="s">
        <v>175</v>
      </c>
      <c r="D1130" s="25" t="s">
        <v>207</v>
      </c>
      <c r="E1130" s="1" t="s">
        <v>124</v>
      </c>
      <c r="F1130" s="30" t="s">
        <v>159</v>
      </c>
      <c r="G1130" s="36">
        <f t="shared" si="140"/>
        <v>6327</v>
      </c>
      <c r="H1130" s="36">
        <v>1861</v>
      </c>
      <c r="I1130" s="36">
        <v>3240</v>
      </c>
      <c r="J1130" s="36">
        <v>900</v>
      </c>
      <c r="K1130" s="36">
        <f t="shared" si="134"/>
        <v>12328</v>
      </c>
      <c r="L1130" s="36">
        <f t="shared" si="137"/>
        <v>12328</v>
      </c>
      <c r="M1130" s="9">
        <f t="shared" si="135"/>
        <v>1</v>
      </c>
      <c r="N1130" s="5">
        <v>1</v>
      </c>
      <c r="O1130" s="10">
        <f t="shared" si="136"/>
        <v>1</v>
      </c>
    </row>
    <row r="1131" spans="2:15" ht="13.5" hidden="1" customHeight="1">
      <c r="B1131" s="33">
        <f t="shared" si="138"/>
        <v>11</v>
      </c>
      <c r="C1131" s="25" t="s">
        <v>161</v>
      </c>
      <c r="D1131" s="25" t="s">
        <v>194</v>
      </c>
      <c r="E1131" s="1" t="s">
        <v>128</v>
      </c>
      <c r="F1131" s="30" t="s">
        <v>37</v>
      </c>
      <c r="G1131" s="36">
        <f t="shared" ref="G1131:G1134" si="141">333*20</f>
        <v>6660</v>
      </c>
      <c r="H1131" s="36">
        <v>1861</v>
      </c>
      <c r="I1131" s="36">
        <v>3240</v>
      </c>
      <c r="J1131" s="36">
        <v>500</v>
      </c>
      <c r="K1131" s="36">
        <f t="shared" si="134"/>
        <v>12261</v>
      </c>
      <c r="L1131" s="36">
        <f t="shared" si="137"/>
        <v>12261</v>
      </c>
      <c r="M1131" s="9">
        <f t="shared" si="135"/>
        <v>1</v>
      </c>
      <c r="N1131" s="5">
        <v>1</v>
      </c>
      <c r="O1131" s="10">
        <f t="shared" si="136"/>
        <v>1</v>
      </c>
    </row>
    <row r="1132" spans="2:15" ht="13.5" hidden="1" customHeight="1">
      <c r="B1132" s="33">
        <f t="shared" si="138"/>
        <v>12</v>
      </c>
      <c r="C1132" s="25" t="s">
        <v>95</v>
      </c>
      <c r="D1132" s="25" t="s">
        <v>196</v>
      </c>
      <c r="E1132" s="1" t="s">
        <v>127</v>
      </c>
      <c r="F1132" s="30" t="s">
        <v>37</v>
      </c>
      <c r="G1132" s="36">
        <f t="shared" si="141"/>
        <v>6660</v>
      </c>
      <c r="H1132" s="36">
        <v>1861</v>
      </c>
      <c r="I1132" s="36">
        <v>3240</v>
      </c>
      <c r="J1132" s="36">
        <v>500</v>
      </c>
      <c r="K1132" s="36">
        <f t="shared" si="134"/>
        <v>12261</v>
      </c>
      <c r="L1132" s="36">
        <f t="shared" si="137"/>
        <v>12261</v>
      </c>
      <c r="M1132" s="9">
        <f t="shared" si="135"/>
        <v>1</v>
      </c>
      <c r="N1132" s="5">
        <v>1</v>
      </c>
      <c r="O1132" s="10">
        <f t="shared" si="136"/>
        <v>1</v>
      </c>
    </row>
    <row r="1133" spans="2:15" ht="13.5" hidden="1" customHeight="1">
      <c r="B1133" s="33">
        <f t="shared" si="138"/>
        <v>13</v>
      </c>
      <c r="C1133" s="25" t="s">
        <v>173</v>
      </c>
      <c r="D1133" s="25" t="s">
        <v>205</v>
      </c>
      <c r="E1133" s="1" t="s">
        <v>123</v>
      </c>
      <c r="F1133" s="30" t="s">
        <v>37</v>
      </c>
      <c r="G1133" s="36">
        <f t="shared" si="141"/>
        <v>6660</v>
      </c>
      <c r="H1133" s="36">
        <v>1861</v>
      </c>
      <c r="I1133" s="36">
        <v>3240</v>
      </c>
      <c r="J1133" s="36">
        <v>500</v>
      </c>
      <c r="K1133" s="36">
        <f t="shared" si="134"/>
        <v>12261</v>
      </c>
      <c r="L1133" s="36">
        <f t="shared" si="137"/>
        <v>12261</v>
      </c>
      <c r="M1133" s="9">
        <f t="shared" si="135"/>
        <v>1</v>
      </c>
      <c r="N1133" s="5">
        <v>1</v>
      </c>
      <c r="O1133" s="10">
        <f t="shared" si="136"/>
        <v>1</v>
      </c>
    </row>
    <row r="1134" spans="2:15" ht="13.5" hidden="1" customHeight="1">
      <c r="B1134" s="33">
        <f t="shared" si="138"/>
        <v>14</v>
      </c>
      <c r="C1134" s="25" t="s">
        <v>179</v>
      </c>
      <c r="D1134" s="25" t="s">
        <v>211</v>
      </c>
      <c r="E1134" s="1" t="s">
        <v>192</v>
      </c>
      <c r="F1134" s="30" t="s">
        <v>37</v>
      </c>
      <c r="G1134" s="36">
        <f t="shared" si="141"/>
        <v>6660</v>
      </c>
      <c r="H1134" s="36">
        <v>1861</v>
      </c>
      <c r="I1134" s="36">
        <v>3240</v>
      </c>
      <c r="J1134" s="36">
        <v>500</v>
      </c>
      <c r="K1134" s="36">
        <f t="shared" si="134"/>
        <v>12261</v>
      </c>
      <c r="L1134" s="36">
        <f t="shared" si="137"/>
        <v>12261</v>
      </c>
      <c r="M1134" s="9">
        <f t="shared" si="135"/>
        <v>1</v>
      </c>
      <c r="N1134" s="5">
        <v>1</v>
      </c>
      <c r="O1134" s="10">
        <f t="shared" si="136"/>
        <v>1</v>
      </c>
    </row>
    <row r="1135" spans="2:15" ht="13.5" hidden="1" customHeight="1">
      <c r="B1135" s="33">
        <f t="shared" si="138"/>
        <v>15</v>
      </c>
      <c r="C1135" s="25" t="s">
        <v>52</v>
      </c>
      <c r="D1135" s="25" t="s">
        <v>197</v>
      </c>
      <c r="E1135" s="1" t="s">
        <v>186</v>
      </c>
      <c r="F1135" s="30" t="s">
        <v>44</v>
      </c>
      <c r="G1135" s="36">
        <f>333*24</f>
        <v>7992</v>
      </c>
      <c r="H1135" s="36">
        <v>1861</v>
      </c>
      <c r="I1135" s="36">
        <v>3240</v>
      </c>
      <c r="J1135" s="36">
        <v>750</v>
      </c>
      <c r="K1135" s="36">
        <f t="shared" si="134"/>
        <v>13843</v>
      </c>
      <c r="L1135" s="36">
        <f t="shared" si="137"/>
        <v>13843</v>
      </c>
      <c r="M1135" s="9">
        <f t="shared" si="135"/>
        <v>1</v>
      </c>
      <c r="N1135" s="5">
        <v>1</v>
      </c>
      <c r="O1135" s="10">
        <f t="shared" si="136"/>
        <v>1</v>
      </c>
    </row>
    <row r="1136" spans="2:15" ht="13.5" hidden="1" customHeight="1">
      <c r="B1136" s="33">
        <f t="shared" si="138"/>
        <v>16</v>
      </c>
      <c r="C1136" s="25" t="s">
        <v>167</v>
      </c>
      <c r="D1136" s="25" t="s">
        <v>201</v>
      </c>
      <c r="E1136" s="1" t="s">
        <v>128</v>
      </c>
      <c r="F1136" s="30" t="s">
        <v>44</v>
      </c>
      <c r="G1136" s="36">
        <f t="shared" ref="G1136:G1138" si="142">333*24</f>
        <v>7992</v>
      </c>
      <c r="H1136" s="36">
        <v>1861</v>
      </c>
      <c r="I1136" s="36">
        <v>3240</v>
      </c>
      <c r="J1136" s="36">
        <v>750</v>
      </c>
      <c r="K1136" s="36">
        <f t="shared" si="134"/>
        <v>13843</v>
      </c>
      <c r="L1136" s="36">
        <f t="shared" si="137"/>
        <v>13843</v>
      </c>
      <c r="M1136" s="9">
        <f t="shared" si="135"/>
        <v>1</v>
      </c>
      <c r="N1136" s="5">
        <v>1</v>
      </c>
      <c r="O1136" s="10">
        <f t="shared" si="136"/>
        <v>1</v>
      </c>
    </row>
    <row r="1137" spans="1:15" ht="13.5" hidden="1" customHeight="1">
      <c r="B1137" s="33">
        <f t="shared" si="138"/>
        <v>17</v>
      </c>
      <c r="C1137" s="25" t="s">
        <v>172</v>
      </c>
      <c r="D1137" s="25" t="s">
        <v>204</v>
      </c>
      <c r="E1137" s="1" t="s">
        <v>126</v>
      </c>
      <c r="F1137" s="30" t="s">
        <v>44</v>
      </c>
      <c r="G1137" s="36">
        <f t="shared" si="142"/>
        <v>7992</v>
      </c>
      <c r="H1137" s="36">
        <v>1861</v>
      </c>
      <c r="I1137" s="36">
        <v>3240</v>
      </c>
      <c r="J1137" s="36">
        <v>750</v>
      </c>
      <c r="K1137" s="36">
        <f t="shared" si="134"/>
        <v>13843</v>
      </c>
      <c r="L1137" s="36">
        <f t="shared" si="137"/>
        <v>13843</v>
      </c>
      <c r="M1137" s="9">
        <f t="shared" si="135"/>
        <v>1</v>
      </c>
      <c r="N1137" s="5">
        <v>1</v>
      </c>
      <c r="O1137" s="10">
        <f t="shared" si="136"/>
        <v>1</v>
      </c>
    </row>
    <row r="1138" spans="1:15" ht="13.5" hidden="1" customHeight="1">
      <c r="B1138" s="33">
        <f t="shared" si="138"/>
        <v>18</v>
      </c>
      <c r="C1138" s="25" t="s">
        <v>176</v>
      </c>
      <c r="D1138" s="25" t="s">
        <v>185</v>
      </c>
      <c r="F1138" s="30" t="s">
        <v>44</v>
      </c>
      <c r="G1138" s="36">
        <f t="shared" si="142"/>
        <v>7992</v>
      </c>
      <c r="H1138" s="36">
        <v>1861</v>
      </c>
      <c r="I1138" s="36">
        <v>3240</v>
      </c>
      <c r="J1138" s="36">
        <v>750</v>
      </c>
      <c r="K1138" s="36">
        <f t="shared" si="134"/>
        <v>13843</v>
      </c>
      <c r="L1138" s="36">
        <f t="shared" si="137"/>
        <v>13843</v>
      </c>
      <c r="M1138" s="9">
        <f t="shared" si="135"/>
        <v>1</v>
      </c>
      <c r="N1138" s="5">
        <v>1</v>
      </c>
      <c r="O1138" s="10">
        <f t="shared" si="136"/>
        <v>1</v>
      </c>
    </row>
    <row r="1139" spans="1:15" ht="13.5" hidden="1" customHeight="1">
      <c r="B1139" s="33">
        <f t="shared" si="138"/>
        <v>19</v>
      </c>
      <c r="C1139" s="25" t="s">
        <v>170</v>
      </c>
      <c r="D1139" s="25" t="s">
        <v>203</v>
      </c>
      <c r="E1139" s="1" t="s">
        <v>189</v>
      </c>
      <c r="F1139" s="30" t="s">
        <v>26</v>
      </c>
      <c r="G1139" s="36">
        <f t="shared" ref="G1139:G1142" si="143">333*19</f>
        <v>6327</v>
      </c>
      <c r="H1139" s="36">
        <v>1861</v>
      </c>
      <c r="I1139" s="36">
        <v>3240</v>
      </c>
      <c r="J1139" s="36">
        <v>1800</v>
      </c>
      <c r="K1139" s="36">
        <f t="shared" si="134"/>
        <v>13228</v>
      </c>
      <c r="L1139" s="36">
        <f t="shared" si="137"/>
        <v>13228</v>
      </c>
      <c r="M1139" s="9">
        <f t="shared" si="135"/>
        <v>1</v>
      </c>
      <c r="N1139" s="5">
        <v>1</v>
      </c>
      <c r="O1139" s="10">
        <f t="shared" si="136"/>
        <v>1</v>
      </c>
    </row>
    <row r="1140" spans="1:15" ht="13.5" hidden="1" customHeight="1">
      <c r="B1140" s="33">
        <f t="shared" si="138"/>
        <v>20</v>
      </c>
      <c r="C1140" s="25" t="s">
        <v>171</v>
      </c>
      <c r="D1140" s="25" t="s">
        <v>184</v>
      </c>
      <c r="F1140" s="30" t="s">
        <v>26</v>
      </c>
      <c r="G1140" s="36">
        <f t="shared" si="143"/>
        <v>6327</v>
      </c>
      <c r="H1140" s="36">
        <v>1861</v>
      </c>
      <c r="I1140" s="36">
        <v>3240</v>
      </c>
      <c r="J1140" s="36">
        <v>1800</v>
      </c>
      <c r="K1140" s="36">
        <f t="shared" si="134"/>
        <v>13228</v>
      </c>
      <c r="L1140" s="36">
        <f t="shared" si="137"/>
        <v>13228</v>
      </c>
      <c r="M1140" s="9">
        <f t="shared" si="135"/>
        <v>1</v>
      </c>
      <c r="N1140" s="5">
        <v>1</v>
      </c>
      <c r="O1140" s="10">
        <f t="shared" si="136"/>
        <v>1</v>
      </c>
    </row>
    <row r="1141" spans="1:15" ht="13.5" hidden="1" customHeight="1">
      <c r="B1141" s="33">
        <f t="shared" si="138"/>
        <v>21</v>
      </c>
      <c r="C1141" s="25" t="s">
        <v>174</v>
      </c>
      <c r="D1141" s="25" t="s">
        <v>206</v>
      </c>
      <c r="E1141" s="1" t="s">
        <v>128</v>
      </c>
      <c r="F1141" s="30" t="s">
        <v>26</v>
      </c>
      <c r="G1141" s="36">
        <f t="shared" si="143"/>
        <v>6327</v>
      </c>
      <c r="H1141" s="36">
        <v>1861</v>
      </c>
      <c r="I1141" s="36">
        <v>3240</v>
      </c>
      <c r="J1141" s="36">
        <v>1800</v>
      </c>
      <c r="K1141" s="36">
        <f t="shared" si="134"/>
        <v>13228</v>
      </c>
      <c r="L1141" s="36">
        <f t="shared" si="137"/>
        <v>13228</v>
      </c>
      <c r="M1141" s="9">
        <f t="shared" si="135"/>
        <v>1</v>
      </c>
      <c r="N1141" s="5">
        <v>1</v>
      </c>
      <c r="O1141" s="10">
        <f t="shared" si="136"/>
        <v>1</v>
      </c>
    </row>
    <row r="1142" spans="1:15" ht="13.5" hidden="1" customHeight="1">
      <c r="B1142" s="33">
        <f t="shared" si="138"/>
        <v>22</v>
      </c>
      <c r="C1142" s="25" t="s">
        <v>69</v>
      </c>
      <c r="D1142" s="25" t="s">
        <v>208</v>
      </c>
      <c r="E1142" s="1" t="s">
        <v>190</v>
      </c>
      <c r="F1142" s="30" t="s">
        <v>26</v>
      </c>
      <c r="G1142" s="36">
        <f t="shared" si="143"/>
        <v>6327</v>
      </c>
      <c r="H1142" s="36">
        <v>1861</v>
      </c>
      <c r="I1142" s="36">
        <v>3240</v>
      </c>
      <c r="J1142" s="36">
        <v>1800</v>
      </c>
      <c r="K1142" s="36">
        <f t="shared" si="134"/>
        <v>13228</v>
      </c>
      <c r="L1142" s="36">
        <f t="shared" si="137"/>
        <v>13228</v>
      </c>
      <c r="M1142" s="9">
        <f t="shared" si="135"/>
        <v>1</v>
      </c>
      <c r="N1142" s="5">
        <v>1</v>
      </c>
      <c r="O1142" s="10">
        <f t="shared" si="136"/>
        <v>1</v>
      </c>
    </row>
    <row r="1143" spans="1:15" ht="13.5" hidden="1" customHeight="1">
      <c r="B1143" s="33">
        <f t="shared" si="138"/>
        <v>23</v>
      </c>
      <c r="C1143" s="25" t="s">
        <v>55</v>
      </c>
      <c r="D1143" s="25" t="s">
        <v>199</v>
      </c>
      <c r="E1143" s="1" t="s">
        <v>187</v>
      </c>
      <c r="F1143" s="30" t="s">
        <v>27</v>
      </c>
      <c r="G1143" s="36">
        <f t="shared" ref="G1143" si="144">333*24</f>
        <v>7992</v>
      </c>
      <c r="H1143" s="36">
        <v>1861</v>
      </c>
      <c r="I1143" s="36">
        <v>3240</v>
      </c>
      <c r="J1143" s="36">
        <v>500</v>
      </c>
      <c r="K1143" s="36">
        <f t="shared" si="134"/>
        <v>13593</v>
      </c>
      <c r="L1143" s="36">
        <f t="shared" si="137"/>
        <v>13593</v>
      </c>
      <c r="M1143" s="9">
        <f t="shared" si="135"/>
        <v>1</v>
      </c>
      <c r="N1143" s="5">
        <v>1</v>
      </c>
      <c r="O1143" s="10">
        <f t="shared" si="136"/>
        <v>1</v>
      </c>
    </row>
    <row r="1144" spans="1:15" ht="13.5" hidden="1" customHeight="1">
      <c r="B1144" s="33">
        <f t="shared" si="138"/>
        <v>24</v>
      </c>
      <c r="C1144" s="25" t="s">
        <v>168</v>
      </c>
      <c r="D1144" s="25" t="s">
        <v>202</v>
      </c>
      <c r="E1144" s="1" t="s">
        <v>188</v>
      </c>
      <c r="F1144" s="30" t="s">
        <v>27</v>
      </c>
      <c r="G1144" s="36">
        <f>333*18.5</f>
        <v>6160.5</v>
      </c>
      <c r="H1144" s="36">
        <v>1861</v>
      </c>
      <c r="I1144" s="36">
        <v>3240</v>
      </c>
      <c r="J1144" s="36">
        <v>500</v>
      </c>
      <c r="K1144" s="36">
        <f t="shared" si="134"/>
        <v>11761.5</v>
      </c>
      <c r="L1144" s="36">
        <f t="shared" si="137"/>
        <v>11761.5</v>
      </c>
      <c r="M1144" s="9">
        <f t="shared" si="135"/>
        <v>1</v>
      </c>
      <c r="N1144" s="5">
        <v>1</v>
      </c>
      <c r="O1144" s="10">
        <f t="shared" si="136"/>
        <v>1</v>
      </c>
    </row>
    <row r="1145" spans="1:15" ht="13.5" hidden="1" customHeight="1">
      <c r="B1145" s="33">
        <f t="shared" si="138"/>
        <v>25</v>
      </c>
      <c r="C1145" s="25" t="s">
        <v>169</v>
      </c>
      <c r="D1145" s="25" t="s">
        <v>183</v>
      </c>
      <c r="F1145" s="30" t="s">
        <v>27</v>
      </c>
      <c r="G1145" s="36">
        <f>333*21-3000</f>
        <v>3993</v>
      </c>
      <c r="H1145" s="36">
        <v>1861</v>
      </c>
      <c r="I1145" s="36">
        <v>3240</v>
      </c>
      <c r="J1145" s="36">
        <v>500</v>
      </c>
      <c r="K1145" s="36">
        <f t="shared" si="134"/>
        <v>9594</v>
      </c>
      <c r="L1145" s="36">
        <f t="shared" si="137"/>
        <v>9594</v>
      </c>
      <c r="M1145" s="9">
        <f t="shared" si="135"/>
        <v>1</v>
      </c>
      <c r="N1145" s="5">
        <v>1</v>
      </c>
      <c r="O1145" s="10">
        <f t="shared" si="136"/>
        <v>1</v>
      </c>
    </row>
    <row r="1146" spans="1:15" ht="15.95" hidden="1" customHeight="1">
      <c r="A1146" s="66" t="s">
        <v>45</v>
      </c>
      <c r="B1146" s="66"/>
      <c r="C1146" s="66"/>
      <c r="D1146" s="66"/>
      <c r="E1146" s="66"/>
      <c r="F1146" s="66"/>
      <c r="G1146" s="66"/>
      <c r="H1146" s="66"/>
      <c r="I1146" s="66"/>
      <c r="J1146" s="66"/>
      <c r="K1146" s="66"/>
      <c r="L1146" s="66"/>
      <c r="M1146" s="66"/>
      <c r="N1146" s="22">
        <f>SUM(N1121:N1145)</f>
        <v>25</v>
      </c>
      <c r="O1146" s="23">
        <f>SUM(O1121:O1145)</f>
        <v>25</v>
      </c>
    </row>
    <row r="1147" spans="1:15" ht="13.5" hidden="1" customHeight="1">
      <c r="A1147" s="44" t="s">
        <v>137</v>
      </c>
      <c r="B1147" s="44"/>
      <c r="C1147" s="44"/>
      <c r="D1147" s="44"/>
      <c r="E1147" s="44"/>
      <c r="F1147" s="44"/>
      <c r="G1147" s="44"/>
      <c r="H1147" s="44"/>
      <c r="I1147" s="44"/>
      <c r="J1147" s="44"/>
      <c r="K1147" s="44"/>
      <c r="L1147" s="44"/>
      <c r="M1147" s="44"/>
      <c r="N1147" s="44"/>
      <c r="O1147" s="44"/>
    </row>
    <row r="1148" spans="1:15" ht="13.5" hidden="1" customHeight="1">
      <c r="B1148" s="33">
        <v>1</v>
      </c>
      <c r="C1148" s="25" t="s">
        <v>162</v>
      </c>
      <c r="D1148" s="25" t="s">
        <v>180</v>
      </c>
      <c r="F1148" s="30" t="s">
        <v>42</v>
      </c>
      <c r="G1148" s="36">
        <f>333*21</f>
        <v>6993</v>
      </c>
      <c r="H1148" s="36">
        <v>1861</v>
      </c>
      <c r="I1148" s="36">
        <v>3240</v>
      </c>
      <c r="J1148" s="36">
        <v>500</v>
      </c>
      <c r="K1148" s="36">
        <f t="shared" ref="K1148:K1172" si="145">SUM(G1148:J1148)</f>
        <v>12594</v>
      </c>
      <c r="L1148" s="36">
        <f>K1148</f>
        <v>12594</v>
      </c>
      <c r="M1148" s="9">
        <f t="shared" ref="M1148:M1172" si="146">L1148/K1148</f>
        <v>1</v>
      </c>
      <c r="N1148" s="5">
        <v>1</v>
      </c>
      <c r="O1148" s="10">
        <f t="shared" ref="O1148:O1172" si="147">N1148*M1148</f>
        <v>1</v>
      </c>
    </row>
    <row r="1149" spans="1:15" ht="13.5" hidden="1" customHeight="1">
      <c r="B1149" s="33">
        <f>B1148+1</f>
        <v>2</v>
      </c>
      <c r="C1149" s="25" t="s">
        <v>96</v>
      </c>
      <c r="D1149" s="25" t="s">
        <v>181</v>
      </c>
      <c r="F1149" s="30" t="s">
        <v>42</v>
      </c>
      <c r="G1149" s="36">
        <f t="shared" ref="G1149:G1153" si="148">333*21</f>
        <v>6993</v>
      </c>
      <c r="H1149" s="36">
        <v>1861</v>
      </c>
      <c r="I1149" s="36">
        <v>3240</v>
      </c>
      <c r="J1149" s="36">
        <v>500</v>
      </c>
      <c r="K1149" s="36">
        <f t="shared" si="145"/>
        <v>12594</v>
      </c>
      <c r="L1149" s="36">
        <f t="shared" ref="L1149:L1172" si="149">K1149</f>
        <v>12594</v>
      </c>
      <c r="M1149" s="9">
        <f t="shared" si="146"/>
        <v>1</v>
      </c>
      <c r="N1149" s="5">
        <v>1</v>
      </c>
      <c r="O1149" s="10">
        <f t="shared" si="147"/>
        <v>1</v>
      </c>
    </row>
    <row r="1150" spans="1:15" ht="13.5" hidden="1" customHeight="1">
      <c r="B1150" s="33">
        <f t="shared" ref="B1150:B1172" si="150">B1149+1</f>
        <v>3</v>
      </c>
      <c r="C1150" s="25" t="s">
        <v>165</v>
      </c>
      <c r="D1150" s="25" t="s">
        <v>200</v>
      </c>
      <c r="E1150" s="1" t="s">
        <v>123</v>
      </c>
      <c r="F1150" s="30" t="s">
        <v>42</v>
      </c>
      <c r="G1150" s="36">
        <f t="shared" si="148"/>
        <v>6993</v>
      </c>
      <c r="H1150" s="36">
        <v>1861</v>
      </c>
      <c r="I1150" s="36">
        <v>3240</v>
      </c>
      <c r="J1150" s="36">
        <v>500</v>
      </c>
      <c r="K1150" s="36">
        <f t="shared" si="145"/>
        <v>12594</v>
      </c>
      <c r="L1150" s="36">
        <f t="shared" si="149"/>
        <v>12594</v>
      </c>
      <c r="M1150" s="9">
        <f t="shared" si="146"/>
        <v>1</v>
      </c>
      <c r="N1150" s="5">
        <v>1</v>
      </c>
      <c r="O1150" s="10">
        <f t="shared" si="147"/>
        <v>1</v>
      </c>
    </row>
    <row r="1151" spans="1:15" ht="13.5" hidden="1" customHeight="1">
      <c r="B1151" s="33">
        <f t="shared" si="150"/>
        <v>4</v>
      </c>
      <c r="C1151" s="25" t="s">
        <v>166</v>
      </c>
      <c r="D1151" s="25" t="s">
        <v>182</v>
      </c>
      <c r="F1151" s="30" t="s">
        <v>42</v>
      </c>
      <c r="G1151" s="36">
        <f t="shared" si="148"/>
        <v>6993</v>
      </c>
      <c r="H1151" s="36">
        <v>1861</v>
      </c>
      <c r="I1151" s="36">
        <v>3240</v>
      </c>
      <c r="J1151" s="36">
        <v>500</v>
      </c>
      <c r="K1151" s="36">
        <f t="shared" si="145"/>
        <v>12594</v>
      </c>
      <c r="L1151" s="36">
        <f t="shared" si="149"/>
        <v>12594</v>
      </c>
      <c r="M1151" s="9">
        <f t="shared" si="146"/>
        <v>1</v>
      </c>
      <c r="N1151" s="5">
        <v>1</v>
      </c>
      <c r="O1151" s="10">
        <f t="shared" si="147"/>
        <v>1</v>
      </c>
    </row>
    <row r="1152" spans="1:15" ht="13.5" hidden="1" customHeight="1">
      <c r="B1152" s="33">
        <f t="shared" si="150"/>
        <v>5</v>
      </c>
      <c r="C1152" s="25" t="s">
        <v>177</v>
      </c>
      <c r="D1152" s="25" t="s">
        <v>210</v>
      </c>
      <c r="E1152" s="1" t="s">
        <v>191</v>
      </c>
      <c r="F1152" s="30" t="s">
        <v>42</v>
      </c>
      <c r="G1152" s="36">
        <f t="shared" si="148"/>
        <v>6993</v>
      </c>
      <c r="H1152" s="36">
        <v>1861</v>
      </c>
      <c r="I1152" s="36">
        <v>3240</v>
      </c>
      <c r="J1152" s="36">
        <v>500</v>
      </c>
      <c r="K1152" s="36">
        <f t="shared" si="145"/>
        <v>12594</v>
      </c>
      <c r="L1152" s="36">
        <f t="shared" si="149"/>
        <v>12594</v>
      </c>
      <c r="M1152" s="9">
        <f t="shared" si="146"/>
        <v>1</v>
      </c>
      <c r="N1152" s="5">
        <v>1</v>
      </c>
      <c r="O1152" s="10">
        <f t="shared" si="147"/>
        <v>1</v>
      </c>
    </row>
    <row r="1153" spans="2:15" ht="13.5" hidden="1" customHeight="1">
      <c r="B1153" s="33">
        <f t="shared" si="150"/>
        <v>6</v>
      </c>
      <c r="C1153" s="25" t="s">
        <v>178</v>
      </c>
      <c r="D1153" s="25" t="s">
        <v>209</v>
      </c>
      <c r="E1153" s="1" t="s">
        <v>192</v>
      </c>
      <c r="F1153" s="30" t="s">
        <v>42</v>
      </c>
      <c r="G1153" s="36">
        <f t="shared" si="148"/>
        <v>6993</v>
      </c>
      <c r="H1153" s="36">
        <v>1861</v>
      </c>
      <c r="I1153" s="36">
        <v>3240</v>
      </c>
      <c r="J1153" s="36">
        <v>500</v>
      </c>
      <c r="K1153" s="36">
        <f t="shared" si="145"/>
        <v>12594</v>
      </c>
      <c r="L1153" s="36">
        <f t="shared" si="149"/>
        <v>12594</v>
      </c>
      <c r="M1153" s="9">
        <f t="shared" si="146"/>
        <v>1</v>
      </c>
      <c r="N1153" s="5">
        <v>1</v>
      </c>
      <c r="O1153" s="10">
        <f t="shared" si="147"/>
        <v>1</v>
      </c>
    </row>
    <row r="1154" spans="2:15" ht="13.5" hidden="1" customHeight="1">
      <c r="B1154" s="33">
        <f t="shared" si="150"/>
        <v>7</v>
      </c>
      <c r="C1154" s="25" t="s">
        <v>160</v>
      </c>
      <c r="D1154" s="25" t="s">
        <v>193</v>
      </c>
      <c r="E1154" s="1" t="s">
        <v>127</v>
      </c>
      <c r="F1154" s="30" t="s">
        <v>159</v>
      </c>
      <c r="G1154" s="36">
        <f>333*15</f>
        <v>4995</v>
      </c>
      <c r="H1154" s="36">
        <v>1861</v>
      </c>
      <c r="I1154" s="36">
        <v>3240</v>
      </c>
      <c r="J1154" s="36">
        <v>900</v>
      </c>
      <c r="K1154" s="36">
        <f t="shared" si="145"/>
        <v>10996</v>
      </c>
      <c r="L1154" s="36">
        <f t="shared" si="149"/>
        <v>10996</v>
      </c>
      <c r="M1154" s="9">
        <f t="shared" si="146"/>
        <v>1</v>
      </c>
      <c r="N1154" s="5">
        <v>1</v>
      </c>
      <c r="O1154" s="10">
        <f t="shared" si="147"/>
        <v>1</v>
      </c>
    </row>
    <row r="1155" spans="2:15" ht="13.5" hidden="1" customHeight="1">
      <c r="B1155" s="33">
        <f t="shared" si="150"/>
        <v>8</v>
      </c>
      <c r="C1155" s="25" t="s">
        <v>163</v>
      </c>
      <c r="D1155" s="25" t="s">
        <v>195</v>
      </c>
      <c r="E1155" s="1" t="s">
        <v>127</v>
      </c>
      <c r="F1155" s="30" t="s">
        <v>159</v>
      </c>
      <c r="G1155" s="36">
        <f t="shared" ref="G1155:G1157" si="151">333*15</f>
        <v>4995</v>
      </c>
      <c r="H1155" s="36">
        <v>1861</v>
      </c>
      <c r="I1155" s="36">
        <v>3240</v>
      </c>
      <c r="J1155" s="36">
        <v>900</v>
      </c>
      <c r="K1155" s="36">
        <f t="shared" si="145"/>
        <v>10996</v>
      </c>
      <c r="L1155" s="36">
        <f t="shared" si="149"/>
        <v>10996</v>
      </c>
      <c r="M1155" s="9">
        <f t="shared" si="146"/>
        <v>1</v>
      </c>
      <c r="N1155" s="5">
        <v>1</v>
      </c>
      <c r="O1155" s="10">
        <f t="shared" si="147"/>
        <v>1</v>
      </c>
    </row>
    <row r="1156" spans="2:15" ht="13.5" hidden="1" customHeight="1">
      <c r="B1156" s="33">
        <f t="shared" si="150"/>
        <v>9</v>
      </c>
      <c r="C1156" s="25" t="s">
        <v>164</v>
      </c>
      <c r="D1156" s="25" t="s">
        <v>198</v>
      </c>
      <c r="E1156" s="1" t="s">
        <v>125</v>
      </c>
      <c r="F1156" s="30" t="s">
        <v>159</v>
      </c>
      <c r="G1156" s="36">
        <f t="shared" si="151"/>
        <v>4995</v>
      </c>
      <c r="H1156" s="36">
        <v>1861</v>
      </c>
      <c r="I1156" s="36">
        <v>3240</v>
      </c>
      <c r="J1156" s="36">
        <v>900</v>
      </c>
      <c r="K1156" s="36">
        <f t="shared" si="145"/>
        <v>10996</v>
      </c>
      <c r="L1156" s="36">
        <f t="shared" si="149"/>
        <v>10996</v>
      </c>
      <c r="M1156" s="9">
        <f t="shared" si="146"/>
        <v>1</v>
      </c>
      <c r="N1156" s="5">
        <v>1</v>
      </c>
      <c r="O1156" s="10">
        <f t="shared" si="147"/>
        <v>1</v>
      </c>
    </row>
    <row r="1157" spans="2:15" ht="13.5" hidden="1" customHeight="1">
      <c r="B1157" s="33">
        <f t="shared" si="150"/>
        <v>10</v>
      </c>
      <c r="C1157" s="25" t="s">
        <v>175</v>
      </c>
      <c r="D1157" s="25" t="s">
        <v>207</v>
      </c>
      <c r="E1157" s="1" t="s">
        <v>124</v>
      </c>
      <c r="F1157" s="30" t="s">
        <v>159</v>
      </c>
      <c r="G1157" s="36">
        <f t="shared" si="151"/>
        <v>4995</v>
      </c>
      <c r="H1157" s="36">
        <v>1861</v>
      </c>
      <c r="I1157" s="36">
        <v>3240</v>
      </c>
      <c r="J1157" s="36">
        <v>900</v>
      </c>
      <c r="K1157" s="36">
        <f t="shared" si="145"/>
        <v>10996</v>
      </c>
      <c r="L1157" s="36">
        <f t="shared" si="149"/>
        <v>10996</v>
      </c>
      <c r="M1157" s="9">
        <f t="shared" si="146"/>
        <v>1</v>
      </c>
      <c r="N1157" s="5">
        <v>1</v>
      </c>
      <c r="O1157" s="10">
        <f t="shared" si="147"/>
        <v>1</v>
      </c>
    </row>
    <row r="1158" spans="2:15" ht="13.5" hidden="1" customHeight="1">
      <c r="B1158" s="33">
        <f t="shared" si="150"/>
        <v>11</v>
      </c>
      <c r="C1158" s="25" t="s">
        <v>161</v>
      </c>
      <c r="D1158" s="25" t="s">
        <v>194</v>
      </c>
      <c r="E1158" s="1" t="s">
        <v>128</v>
      </c>
      <c r="F1158" s="30" t="s">
        <v>37</v>
      </c>
      <c r="G1158" s="36">
        <f>333*18</f>
        <v>5994</v>
      </c>
      <c r="H1158" s="36">
        <v>1861</v>
      </c>
      <c r="I1158" s="36">
        <v>3240</v>
      </c>
      <c r="J1158" s="36"/>
      <c r="K1158" s="36">
        <f t="shared" si="145"/>
        <v>11095</v>
      </c>
      <c r="L1158" s="36">
        <f t="shared" si="149"/>
        <v>11095</v>
      </c>
      <c r="M1158" s="9">
        <f t="shared" si="146"/>
        <v>1</v>
      </c>
      <c r="N1158" s="5">
        <v>1</v>
      </c>
      <c r="O1158" s="10">
        <f t="shared" si="147"/>
        <v>1</v>
      </c>
    </row>
    <row r="1159" spans="2:15" ht="13.5" hidden="1" customHeight="1">
      <c r="B1159" s="33">
        <f t="shared" si="150"/>
        <v>12</v>
      </c>
      <c r="C1159" s="25" t="s">
        <v>95</v>
      </c>
      <c r="D1159" s="25" t="s">
        <v>196</v>
      </c>
      <c r="E1159" s="1" t="s">
        <v>127</v>
      </c>
      <c r="F1159" s="30" t="s">
        <v>37</v>
      </c>
      <c r="G1159" s="36">
        <f t="shared" ref="G1159:G1165" si="152">333*18</f>
        <v>5994</v>
      </c>
      <c r="H1159" s="36">
        <v>1861</v>
      </c>
      <c r="I1159" s="36">
        <v>3240</v>
      </c>
      <c r="J1159" s="36"/>
      <c r="K1159" s="36">
        <f t="shared" si="145"/>
        <v>11095</v>
      </c>
      <c r="L1159" s="36">
        <f t="shared" si="149"/>
        <v>11095</v>
      </c>
      <c r="M1159" s="9">
        <f t="shared" si="146"/>
        <v>1</v>
      </c>
      <c r="N1159" s="5">
        <v>1</v>
      </c>
      <c r="O1159" s="10">
        <f t="shared" si="147"/>
        <v>1</v>
      </c>
    </row>
    <row r="1160" spans="2:15" ht="13.5" hidden="1" customHeight="1">
      <c r="B1160" s="33">
        <f t="shared" si="150"/>
        <v>13</v>
      </c>
      <c r="C1160" s="25" t="s">
        <v>173</v>
      </c>
      <c r="D1160" s="25" t="s">
        <v>205</v>
      </c>
      <c r="E1160" s="1" t="s">
        <v>123</v>
      </c>
      <c r="F1160" s="30" t="s">
        <v>37</v>
      </c>
      <c r="G1160" s="36">
        <f t="shared" si="152"/>
        <v>5994</v>
      </c>
      <c r="H1160" s="36">
        <v>1861</v>
      </c>
      <c r="I1160" s="36">
        <v>3240</v>
      </c>
      <c r="J1160" s="36"/>
      <c r="K1160" s="36">
        <f t="shared" si="145"/>
        <v>11095</v>
      </c>
      <c r="L1160" s="36">
        <f t="shared" si="149"/>
        <v>11095</v>
      </c>
      <c r="M1160" s="9">
        <f t="shared" si="146"/>
        <v>1</v>
      </c>
      <c r="N1160" s="5">
        <v>1</v>
      </c>
      <c r="O1160" s="10">
        <f t="shared" si="147"/>
        <v>1</v>
      </c>
    </row>
    <row r="1161" spans="2:15" ht="13.5" hidden="1" customHeight="1">
      <c r="B1161" s="33">
        <f t="shared" si="150"/>
        <v>14</v>
      </c>
      <c r="C1161" s="25" t="s">
        <v>179</v>
      </c>
      <c r="D1161" s="25" t="s">
        <v>211</v>
      </c>
      <c r="E1161" s="1" t="s">
        <v>192</v>
      </c>
      <c r="F1161" s="30" t="s">
        <v>37</v>
      </c>
      <c r="G1161" s="36">
        <f t="shared" si="152"/>
        <v>5994</v>
      </c>
      <c r="H1161" s="36">
        <v>1861</v>
      </c>
      <c r="I1161" s="36">
        <v>3240</v>
      </c>
      <c r="J1161" s="36"/>
      <c r="K1161" s="36">
        <f t="shared" si="145"/>
        <v>11095</v>
      </c>
      <c r="L1161" s="36">
        <f t="shared" si="149"/>
        <v>11095</v>
      </c>
      <c r="M1161" s="9">
        <f t="shared" si="146"/>
        <v>1</v>
      </c>
      <c r="N1161" s="5">
        <v>1</v>
      </c>
      <c r="O1161" s="10">
        <f t="shared" si="147"/>
        <v>1</v>
      </c>
    </row>
    <row r="1162" spans="2:15" ht="13.5" hidden="1" customHeight="1">
      <c r="B1162" s="33">
        <f t="shared" si="150"/>
        <v>15</v>
      </c>
      <c r="C1162" s="25" t="s">
        <v>52</v>
      </c>
      <c r="D1162" s="25" t="s">
        <v>197</v>
      </c>
      <c r="E1162" s="1" t="s">
        <v>186</v>
      </c>
      <c r="F1162" s="30" t="s">
        <v>44</v>
      </c>
      <c r="G1162" s="36">
        <f t="shared" si="152"/>
        <v>5994</v>
      </c>
      <c r="H1162" s="36">
        <v>1861</v>
      </c>
      <c r="I1162" s="36">
        <v>3240</v>
      </c>
      <c r="J1162" s="36">
        <v>750</v>
      </c>
      <c r="K1162" s="36">
        <f t="shared" si="145"/>
        <v>11845</v>
      </c>
      <c r="L1162" s="36">
        <f t="shared" si="149"/>
        <v>11845</v>
      </c>
      <c r="M1162" s="9">
        <f t="shared" si="146"/>
        <v>1</v>
      </c>
      <c r="N1162" s="5">
        <v>1</v>
      </c>
      <c r="O1162" s="10">
        <f t="shared" si="147"/>
        <v>1</v>
      </c>
    </row>
    <row r="1163" spans="2:15" ht="13.5" hidden="1" customHeight="1">
      <c r="B1163" s="33">
        <f t="shared" si="150"/>
        <v>16</v>
      </c>
      <c r="C1163" s="25" t="s">
        <v>167</v>
      </c>
      <c r="D1163" s="25" t="s">
        <v>201</v>
      </c>
      <c r="E1163" s="1" t="s">
        <v>128</v>
      </c>
      <c r="F1163" s="30" t="s">
        <v>44</v>
      </c>
      <c r="G1163" s="36">
        <f t="shared" si="152"/>
        <v>5994</v>
      </c>
      <c r="H1163" s="36">
        <v>1861</v>
      </c>
      <c r="I1163" s="36">
        <v>3240</v>
      </c>
      <c r="J1163" s="36">
        <v>750</v>
      </c>
      <c r="K1163" s="36">
        <f t="shared" si="145"/>
        <v>11845</v>
      </c>
      <c r="L1163" s="36">
        <f t="shared" si="149"/>
        <v>11845</v>
      </c>
      <c r="M1163" s="9">
        <f t="shared" si="146"/>
        <v>1</v>
      </c>
      <c r="N1163" s="5">
        <v>1</v>
      </c>
      <c r="O1163" s="10">
        <f t="shared" si="147"/>
        <v>1</v>
      </c>
    </row>
    <row r="1164" spans="2:15" ht="13.5" hidden="1" customHeight="1">
      <c r="B1164" s="33">
        <f t="shared" si="150"/>
        <v>17</v>
      </c>
      <c r="C1164" s="25" t="s">
        <v>172</v>
      </c>
      <c r="D1164" s="25" t="s">
        <v>204</v>
      </c>
      <c r="E1164" s="1" t="s">
        <v>126</v>
      </c>
      <c r="F1164" s="30" t="s">
        <v>44</v>
      </c>
      <c r="G1164" s="36">
        <f t="shared" si="152"/>
        <v>5994</v>
      </c>
      <c r="H1164" s="36">
        <v>1861</v>
      </c>
      <c r="I1164" s="36">
        <v>3240</v>
      </c>
      <c r="J1164" s="36">
        <v>750</v>
      </c>
      <c r="K1164" s="36">
        <f t="shared" si="145"/>
        <v>11845</v>
      </c>
      <c r="L1164" s="36">
        <f t="shared" si="149"/>
        <v>11845</v>
      </c>
      <c r="M1164" s="9">
        <f t="shared" si="146"/>
        <v>1</v>
      </c>
      <c r="N1164" s="5">
        <v>1</v>
      </c>
      <c r="O1164" s="10">
        <f t="shared" si="147"/>
        <v>1</v>
      </c>
    </row>
    <row r="1165" spans="2:15" ht="13.5" hidden="1" customHeight="1">
      <c r="B1165" s="33">
        <f t="shared" si="150"/>
        <v>18</v>
      </c>
      <c r="C1165" s="25" t="s">
        <v>176</v>
      </c>
      <c r="D1165" s="25" t="s">
        <v>185</v>
      </c>
      <c r="F1165" s="30" t="s">
        <v>44</v>
      </c>
      <c r="G1165" s="36">
        <f t="shared" si="152"/>
        <v>5994</v>
      </c>
      <c r="H1165" s="36">
        <v>1861</v>
      </c>
      <c r="I1165" s="36">
        <v>3240</v>
      </c>
      <c r="J1165" s="36">
        <v>750</v>
      </c>
      <c r="K1165" s="36">
        <f t="shared" si="145"/>
        <v>11845</v>
      </c>
      <c r="L1165" s="36">
        <f t="shared" si="149"/>
        <v>11845</v>
      </c>
      <c r="M1165" s="9">
        <f t="shared" si="146"/>
        <v>1</v>
      </c>
      <c r="N1165" s="5">
        <v>1</v>
      </c>
      <c r="O1165" s="10">
        <f t="shared" si="147"/>
        <v>1</v>
      </c>
    </row>
    <row r="1166" spans="2:15" ht="13.5" hidden="1" customHeight="1">
      <c r="B1166" s="33">
        <f t="shared" si="150"/>
        <v>19</v>
      </c>
      <c r="C1166" s="25" t="s">
        <v>170</v>
      </c>
      <c r="D1166" s="25" t="s">
        <v>203</v>
      </c>
      <c r="E1166" s="1" t="s">
        <v>189</v>
      </c>
      <c r="F1166" s="30" t="s">
        <v>26</v>
      </c>
      <c r="G1166" s="36">
        <f>333*19</f>
        <v>6327</v>
      </c>
      <c r="H1166" s="36">
        <v>1861</v>
      </c>
      <c r="I1166" s="36">
        <v>3240</v>
      </c>
      <c r="J1166" s="36">
        <v>1800</v>
      </c>
      <c r="K1166" s="36">
        <f t="shared" si="145"/>
        <v>13228</v>
      </c>
      <c r="L1166" s="36">
        <f t="shared" si="149"/>
        <v>13228</v>
      </c>
      <c r="M1166" s="9">
        <f t="shared" si="146"/>
        <v>1</v>
      </c>
      <c r="N1166" s="5">
        <v>1</v>
      </c>
      <c r="O1166" s="10">
        <f t="shared" si="147"/>
        <v>1</v>
      </c>
    </row>
    <row r="1167" spans="2:15" ht="13.5" hidden="1" customHeight="1">
      <c r="B1167" s="33">
        <f t="shared" si="150"/>
        <v>20</v>
      </c>
      <c r="C1167" s="25" t="s">
        <v>171</v>
      </c>
      <c r="D1167" s="25" t="s">
        <v>184</v>
      </c>
      <c r="F1167" s="30" t="s">
        <v>26</v>
      </c>
      <c r="G1167" s="36">
        <f>333*16</f>
        <v>5328</v>
      </c>
      <c r="H1167" s="36">
        <v>1861</v>
      </c>
      <c r="I1167" s="36">
        <v>3240</v>
      </c>
      <c r="J1167" s="36">
        <v>1800</v>
      </c>
      <c r="K1167" s="36">
        <f t="shared" si="145"/>
        <v>12229</v>
      </c>
      <c r="L1167" s="36">
        <f t="shared" si="149"/>
        <v>12229</v>
      </c>
      <c r="M1167" s="9">
        <f t="shared" si="146"/>
        <v>1</v>
      </c>
      <c r="N1167" s="5">
        <v>1</v>
      </c>
      <c r="O1167" s="10">
        <f t="shared" si="147"/>
        <v>1</v>
      </c>
    </row>
    <row r="1168" spans="2:15" ht="13.5" hidden="1" customHeight="1">
      <c r="B1168" s="33">
        <f t="shared" si="150"/>
        <v>21</v>
      </c>
      <c r="C1168" s="25" t="s">
        <v>174</v>
      </c>
      <c r="D1168" s="25" t="s">
        <v>206</v>
      </c>
      <c r="E1168" s="1" t="s">
        <v>128</v>
      </c>
      <c r="F1168" s="30" t="s">
        <v>26</v>
      </c>
      <c r="G1168" s="36">
        <f t="shared" ref="G1168:G1169" si="153">333*19</f>
        <v>6327</v>
      </c>
      <c r="H1168" s="36">
        <v>1861</v>
      </c>
      <c r="I1168" s="36">
        <v>3240</v>
      </c>
      <c r="J1168" s="36">
        <v>1800</v>
      </c>
      <c r="K1168" s="36">
        <f t="shared" si="145"/>
        <v>13228</v>
      </c>
      <c r="L1168" s="36">
        <f t="shared" si="149"/>
        <v>13228</v>
      </c>
      <c r="M1168" s="9">
        <f t="shared" si="146"/>
        <v>1</v>
      </c>
      <c r="N1168" s="5">
        <v>1</v>
      </c>
      <c r="O1168" s="10">
        <f t="shared" si="147"/>
        <v>1</v>
      </c>
    </row>
    <row r="1169" spans="1:15" ht="13.5" hidden="1" customHeight="1">
      <c r="B1169" s="33">
        <f t="shared" si="150"/>
        <v>22</v>
      </c>
      <c r="C1169" s="25" t="s">
        <v>69</v>
      </c>
      <c r="D1169" s="25" t="s">
        <v>208</v>
      </c>
      <c r="E1169" s="1" t="s">
        <v>190</v>
      </c>
      <c r="F1169" s="30" t="s">
        <v>26</v>
      </c>
      <c r="G1169" s="36">
        <f t="shared" si="153"/>
        <v>6327</v>
      </c>
      <c r="H1169" s="36">
        <v>1861</v>
      </c>
      <c r="I1169" s="36">
        <v>3240</v>
      </c>
      <c r="J1169" s="36">
        <v>1800</v>
      </c>
      <c r="K1169" s="36">
        <f t="shared" si="145"/>
        <v>13228</v>
      </c>
      <c r="L1169" s="36">
        <f t="shared" si="149"/>
        <v>13228</v>
      </c>
      <c r="M1169" s="9">
        <f t="shared" si="146"/>
        <v>1</v>
      </c>
      <c r="N1169" s="5">
        <v>1</v>
      </c>
      <c r="O1169" s="10">
        <f t="shared" si="147"/>
        <v>1</v>
      </c>
    </row>
    <row r="1170" spans="1:15" ht="13.5" hidden="1" customHeight="1">
      <c r="B1170" s="33">
        <f t="shared" si="150"/>
        <v>23</v>
      </c>
      <c r="C1170" s="25" t="s">
        <v>55</v>
      </c>
      <c r="D1170" s="25" t="s">
        <v>199</v>
      </c>
      <c r="E1170" s="1" t="s">
        <v>187</v>
      </c>
      <c r="F1170" s="30" t="s">
        <v>27</v>
      </c>
      <c r="G1170" s="36">
        <f>333*18</f>
        <v>5994</v>
      </c>
      <c r="H1170" s="36">
        <v>1861</v>
      </c>
      <c r="I1170" s="36">
        <v>3240</v>
      </c>
      <c r="J1170" s="36">
        <v>500</v>
      </c>
      <c r="K1170" s="36">
        <f t="shared" si="145"/>
        <v>11595</v>
      </c>
      <c r="L1170" s="36">
        <f t="shared" si="149"/>
        <v>11595</v>
      </c>
      <c r="M1170" s="9">
        <f t="shared" si="146"/>
        <v>1</v>
      </c>
      <c r="N1170" s="5">
        <v>1</v>
      </c>
      <c r="O1170" s="10">
        <f t="shared" si="147"/>
        <v>1</v>
      </c>
    </row>
    <row r="1171" spans="1:15" ht="13.5" hidden="1" customHeight="1">
      <c r="B1171" s="33">
        <f t="shared" si="150"/>
        <v>24</v>
      </c>
      <c r="C1171" s="25" t="s">
        <v>168</v>
      </c>
      <c r="D1171" s="25" t="s">
        <v>202</v>
      </c>
      <c r="E1171" s="1" t="s">
        <v>188</v>
      </c>
      <c r="F1171" s="30" t="s">
        <v>27</v>
      </c>
      <c r="G1171" s="36">
        <f>333*12</f>
        <v>3996</v>
      </c>
      <c r="H1171" s="36">
        <v>1861</v>
      </c>
      <c r="I1171" s="36">
        <v>3240</v>
      </c>
      <c r="J1171" s="36">
        <v>500</v>
      </c>
      <c r="K1171" s="36">
        <f t="shared" si="145"/>
        <v>9597</v>
      </c>
      <c r="L1171" s="36">
        <f t="shared" si="149"/>
        <v>9597</v>
      </c>
      <c r="M1171" s="9">
        <f t="shared" si="146"/>
        <v>1</v>
      </c>
      <c r="N1171" s="5">
        <v>1</v>
      </c>
      <c r="O1171" s="10">
        <f t="shared" si="147"/>
        <v>1</v>
      </c>
    </row>
    <row r="1172" spans="1:15" ht="13.5" hidden="1" customHeight="1">
      <c r="B1172" s="33">
        <f t="shared" si="150"/>
        <v>25</v>
      </c>
      <c r="C1172" s="25" t="s">
        <v>169</v>
      </c>
      <c r="D1172" s="25" t="s">
        <v>183</v>
      </c>
      <c r="F1172" s="30" t="s">
        <v>27</v>
      </c>
      <c r="G1172" s="36">
        <f>333*15</f>
        <v>4995</v>
      </c>
      <c r="H1172" s="36">
        <v>1861</v>
      </c>
      <c r="I1172" s="36">
        <v>3240</v>
      </c>
      <c r="J1172" s="36">
        <v>500</v>
      </c>
      <c r="K1172" s="36">
        <f t="shared" si="145"/>
        <v>10596</v>
      </c>
      <c r="L1172" s="36">
        <f t="shared" si="149"/>
        <v>10596</v>
      </c>
      <c r="M1172" s="9">
        <f t="shared" si="146"/>
        <v>1</v>
      </c>
      <c r="N1172" s="5">
        <v>1</v>
      </c>
      <c r="O1172" s="10">
        <f t="shared" si="147"/>
        <v>1</v>
      </c>
    </row>
    <row r="1173" spans="1:15" ht="13.5" hidden="1" customHeight="1">
      <c r="A1173" s="66" t="s">
        <v>45</v>
      </c>
      <c r="B1173" s="66"/>
      <c r="C1173" s="66"/>
      <c r="D1173" s="66"/>
      <c r="E1173" s="66"/>
      <c r="F1173" s="66"/>
      <c r="G1173" s="66"/>
      <c r="H1173" s="66"/>
      <c r="I1173" s="66"/>
      <c r="J1173" s="66"/>
      <c r="K1173" s="66"/>
      <c r="L1173" s="66"/>
      <c r="M1173" s="66"/>
      <c r="N1173" s="22">
        <f>SUM(N1148:N1172)</f>
        <v>25</v>
      </c>
      <c r="O1173" s="23">
        <f>SUM(O1148:O1172)</f>
        <v>25</v>
      </c>
    </row>
    <row r="1174" spans="1:15" ht="13.5" hidden="1" customHeight="1">
      <c r="A1174" s="44" t="s">
        <v>138</v>
      </c>
      <c r="B1174" s="44"/>
      <c r="C1174" s="44"/>
      <c r="D1174" s="44"/>
      <c r="E1174" s="44"/>
      <c r="F1174" s="44"/>
      <c r="G1174" s="44"/>
      <c r="H1174" s="44"/>
      <c r="I1174" s="44"/>
      <c r="J1174" s="44"/>
      <c r="K1174" s="44"/>
      <c r="L1174" s="44"/>
      <c r="M1174" s="44"/>
      <c r="N1174" s="44"/>
      <c r="O1174" s="44"/>
    </row>
    <row r="1175" spans="1:15" ht="13.5" hidden="1" customHeight="1">
      <c r="B1175" s="33">
        <v>1</v>
      </c>
      <c r="C1175" s="25" t="s">
        <v>162</v>
      </c>
      <c r="D1175" s="25" t="s">
        <v>180</v>
      </c>
      <c r="F1175" s="30" t="s">
        <v>42</v>
      </c>
      <c r="G1175" s="36">
        <f>333*21</f>
        <v>6993</v>
      </c>
      <c r="H1175" s="36">
        <v>1861</v>
      </c>
      <c r="I1175" s="36">
        <v>3240</v>
      </c>
      <c r="J1175" s="36">
        <v>500</v>
      </c>
      <c r="K1175" s="36">
        <f t="shared" ref="K1175:K1199" si="154">SUM(G1175:J1175)</f>
        <v>12594</v>
      </c>
      <c r="L1175" s="36">
        <f>K1175</f>
        <v>12594</v>
      </c>
      <c r="M1175" s="9">
        <f t="shared" ref="M1175:M1199" si="155">L1175/K1175</f>
        <v>1</v>
      </c>
      <c r="N1175" s="5">
        <v>1</v>
      </c>
      <c r="O1175" s="10">
        <f t="shared" ref="O1175:O1199" si="156">N1175*M1175</f>
        <v>1</v>
      </c>
    </row>
    <row r="1176" spans="1:15" ht="13.5" hidden="1" customHeight="1">
      <c r="B1176" s="33">
        <f>B1175+1</f>
        <v>2</v>
      </c>
      <c r="C1176" s="25" t="s">
        <v>96</v>
      </c>
      <c r="D1176" s="25" t="s">
        <v>181</v>
      </c>
      <c r="F1176" s="30" t="s">
        <v>42</v>
      </c>
      <c r="G1176" s="36">
        <f t="shared" ref="G1176:G1180" si="157">333*21</f>
        <v>6993</v>
      </c>
      <c r="H1176" s="36">
        <v>1861</v>
      </c>
      <c r="I1176" s="36">
        <v>3240</v>
      </c>
      <c r="J1176" s="36">
        <v>500</v>
      </c>
      <c r="K1176" s="36">
        <f t="shared" si="154"/>
        <v>12594</v>
      </c>
      <c r="L1176" s="36">
        <f t="shared" ref="L1176:L1199" si="158">K1176</f>
        <v>12594</v>
      </c>
      <c r="M1176" s="9">
        <f t="shared" si="155"/>
        <v>1</v>
      </c>
      <c r="N1176" s="5">
        <v>1</v>
      </c>
      <c r="O1176" s="10">
        <f t="shared" si="156"/>
        <v>1</v>
      </c>
    </row>
    <row r="1177" spans="1:15" ht="13.5" hidden="1" customHeight="1">
      <c r="B1177" s="33">
        <f t="shared" ref="B1177:B1199" si="159">B1176+1</f>
        <v>3</v>
      </c>
      <c r="C1177" s="25" t="s">
        <v>165</v>
      </c>
      <c r="D1177" s="25" t="s">
        <v>200</v>
      </c>
      <c r="E1177" s="1" t="s">
        <v>123</v>
      </c>
      <c r="F1177" s="30" t="s">
        <v>42</v>
      </c>
      <c r="G1177" s="36">
        <f t="shared" si="157"/>
        <v>6993</v>
      </c>
      <c r="H1177" s="36">
        <v>1861</v>
      </c>
      <c r="I1177" s="36">
        <v>3240</v>
      </c>
      <c r="J1177" s="36">
        <v>500</v>
      </c>
      <c r="K1177" s="36">
        <f t="shared" si="154"/>
        <v>12594</v>
      </c>
      <c r="L1177" s="36">
        <f t="shared" si="158"/>
        <v>12594</v>
      </c>
      <c r="M1177" s="9">
        <f t="shared" si="155"/>
        <v>1</v>
      </c>
      <c r="N1177" s="5">
        <v>1</v>
      </c>
      <c r="O1177" s="10">
        <f t="shared" si="156"/>
        <v>1</v>
      </c>
    </row>
    <row r="1178" spans="1:15" ht="13.5" hidden="1" customHeight="1">
      <c r="B1178" s="33">
        <f t="shared" si="159"/>
        <v>4</v>
      </c>
      <c r="C1178" s="25" t="s">
        <v>166</v>
      </c>
      <c r="D1178" s="25" t="s">
        <v>182</v>
      </c>
      <c r="F1178" s="30" t="s">
        <v>42</v>
      </c>
      <c r="G1178" s="36">
        <f t="shared" si="157"/>
        <v>6993</v>
      </c>
      <c r="H1178" s="36">
        <v>1861</v>
      </c>
      <c r="I1178" s="36">
        <v>3240</v>
      </c>
      <c r="J1178" s="36">
        <v>500</v>
      </c>
      <c r="K1178" s="36">
        <f t="shared" si="154"/>
        <v>12594</v>
      </c>
      <c r="L1178" s="36">
        <f t="shared" si="158"/>
        <v>12594</v>
      </c>
      <c r="M1178" s="9">
        <f t="shared" si="155"/>
        <v>1</v>
      </c>
      <c r="N1178" s="5">
        <v>1</v>
      </c>
      <c r="O1178" s="10">
        <f t="shared" si="156"/>
        <v>1</v>
      </c>
    </row>
    <row r="1179" spans="1:15" ht="13.5" hidden="1" customHeight="1">
      <c r="B1179" s="33">
        <f t="shared" si="159"/>
        <v>5</v>
      </c>
      <c r="C1179" s="25" t="s">
        <v>177</v>
      </c>
      <c r="D1179" s="25" t="s">
        <v>210</v>
      </c>
      <c r="E1179" s="1" t="s">
        <v>191</v>
      </c>
      <c r="F1179" s="30" t="s">
        <v>42</v>
      </c>
      <c r="G1179" s="36">
        <f t="shared" si="157"/>
        <v>6993</v>
      </c>
      <c r="H1179" s="36">
        <v>1861</v>
      </c>
      <c r="I1179" s="36">
        <v>3240</v>
      </c>
      <c r="J1179" s="36">
        <v>500</v>
      </c>
      <c r="K1179" s="36">
        <f t="shared" si="154"/>
        <v>12594</v>
      </c>
      <c r="L1179" s="36">
        <f t="shared" si="158"/>
        <v>12594</v>
      </c>
      <c r="M1179" s="9">
        <f t="shared" si="155"/>
        <v>1</v>
      </c>
      <c r="N1179" s="5">
        <v>1</v>
      </c>
      <c r="O1179" s="10">
        <f t="shared" si="156"/>
        <v>1</v>
      </c>
    </row>
    <row r="1180" spans="1:15" ht="13.5" hidden="1" customHeight="1">
      <c r="B1180" s="33">
        <f t="shared" si="159"/>
        <v>6</v>
      </c>
      <c r="C1180" s="25" t="s">
        <v>178</v>
      </c>
      <c r="D1180" s="25" t="s">
        <v>209</v>
      </c>
      <c r="E1180" s="1" t="s">
        <v>192</v>
      </c>
      <c r="F1180" s="30" t="s">
        <v>42</v>
      </c>
      <c r="G1180" s="36">
        <f t="shared" si="157"/>
        <v>6993</v>
      </c>
      <c r="H1180" s="36">
        <v>1861</v>
      </c>
      <c r="I1180" s="36">
        <v>3240</v>
      </c>
      <c r="J1180" s="36">
        <v>500</v>
      </c>
      <c r="K1180" s="36">
        <f t="shared" si="154"/>
        <v>12594</v>
      </c>
      <c r="L1180" s="36">
        <f t="shared" si="158"/>
        <v>12594</v>
      </c>
      <c r="M1180" s="9">
        <f t="shared" si="155"/>
        <v>1</v>
      </c>
      <c r="N1180" s="5">
        <v>1</v>
      </c>
      <c r="O1180" s="10">
        <f t="shared" si="156"/>
        <v>1</v>
      </c>
    </row>
    <row r="1181" spans="1:15" ht="13.5" hidden="1" customHeight="1">
      <c r="B1181" s="33">
        <f t="shared" si="159"/>
        <v>7</v>
      </c>
      <c r="C1181" s="25" t="s">
        <v>160</v>
      </c>
      <c r="D1181" s="25" t="s">
        <v>193</v>
      </c>
      <c r="E1181" s="1" t="s">
        <v>127</v>
      </c>
      <c r="F1181" s="30" t="s">
        <v>159</v>
      </c>
      <c r="G1181" s="36">
        <f>333*22</f>
        <v>7326</v>
      </c>
      <c r="H1181" s="36">
        <v>1861</v>
      </c>
      <c r="I1181" s="36">
        <v>3240</v>
      </c>
      <c r="J1181" s="36">
        <v>1800</v>
      </c>
      <c r="K1181" s="36">
        <f t="shared" si="154"/>
        <v>14227</v>
      </c>
      <c r="L1181" s="36">
        <f t="shared" si="158"/>
        <v>14227</v>
      </c>
      <c r="M1181" s="9">
        <f t="shared" si="155"/>
        <v>1</v>
      </c>
      <c r="N1181" s="5">
        <v>1</v>
      </c>
      <c r="O1181" s="10">
        <f t="shared" si="156"/>
        <v>1</v>
      </c>
    </row>
    <row r="1182" spans="1:15" ht="13.5" hidden="1" customHeight="1">
      <c r="B1182" s="33">
        <f t="shared" si="159"/>
        <v>8</v>
      </c>
      <c r="C1182" s="25" t="s">
        <v>163</v>
      </c>
      <c r="D1182" s="25" t="s">
        <v>195</v>
      </c>
      <c r="E1182" s="1" t="s">
        <v>127</v>
      </c>
      <c r="F1182" s="30" t="s">
        <v>159</v>
      </c>
      <c r="G1182" s="36">
        <f t="shared" ref="G1182:G1184" si="160">333*22</f>
        <v>7326</v>
      </c>
      <c r="H1182" s="36">
        <v>1861</v>
      </c>
      <c r="I1182" s="36">
        <v>3240</v>
      </c>
      <c r="J1182" s="36">
        <v>1800</v>
      </c>
      <c r="K1182" s="36">
        <f t="shared" si="154"/>
        <v>14227</v>
      </c>
      <c r="L1182" s="36">
        <f t="shared" si="158"/>
        <v>14227</v>
      </c>
      <c r="M1182" s="9">
        <f t="shared" si="155"/>
        <v>1</v>
      </c>
      <c r="N1182" s="5">
        <v>1</v>
      </c>
      <c r="O1182" s="10">
        <f t="shared" si="156"/>
        <v>1</v>
      </c>
    </row>
    <row r="1183" spans="1:15" ht="13.5" hidden="1" customHeight="1">
      <c r="B1183" s="33">
        <f t="shared" si="159"/>
        <v>9</v>
      </c>
      <c r="C1183" s="25" t="s">
        <v>164</v>
      </c>
      <c r="D1183" s="25" t="s">
        <v>198</v>
      </c>
      <c r="E1183" s="1" t="s">
        <v>125</v>
      </c>
      <c r="F1183" s="30" t="s">
        <v>159</v>
      </c>
      <c r="G1183" s="36">
        <f t="shared" si="160"/>
        <v>7326</v>
      </c>
      <c r="H1183" s="36">
        <v>1861</v>
      </c>
      <c r="I1183" s="36">
        <v>3240</v>
      </c>
      <c r="J1183" s="36">
        <v>1800</v>
      </c>
      <c r="K1183" s="36">
        <f t="shared" si="154"/>
        <v>14227</v>
      </c>
      <c r="L1183" s="36">
        <f t="shared" si="158"/>
        <v>14227</v>
      </c>
      <c r="M1183" s="9">
        <f t="shared" si="155"/>
        <v>1</v>
      </c>
      <c r="N1183" s="5">
        <v>1</v>
      </c>
      <c r="O1183" s="10">
        <f t="shared" si="156"/>
        <v>1</v>
      </c>
    </row>
    <row r="1184" spans="1:15" ht="13.5" hidden="1" customHeight="1">
      <c r="B1184" s="33">
        <f t="shared" si="159"/>
        <v>10</v>
      </c>
      <c r="C1184" s="25" t="s">
        <v>175</v>
      </c>
      <c r="D1184" s="25" t="s">
        <v>207</v>
      </c>
      <c r="E1184" s="1" t="s">
        <v>124</v>
      </c>
      <c r="F1184" s="30" t="s">
        <v>159</v>
      </c>
      <c r="G1184" s="36">
        <f t="shared" si="160"/>
        <v>7326</v>
      </c>
      <c r="H1184" s="36">
        <v>1861</v>
      </c>
      <c r="I1184" s="36">
        <v>3240</v>
      </c>
      <c r="J1184" s="36">
        <v>1800</v>
      </c>
      <c r="K1184" s="36">
        <f t="shared" si="154"/>
        <v>14227</v>
      </c>
      <c r="L1184" s="36">
        <f t="shared" si="158"/>
        <v>14227</v>
      </c>
      <c r="M1184" s="9">
        <f t="shared" si="155"/>
        <v>1</v>
      </c>
      <c r="N1184" s="5">
        <v>1</v>
      </c>
      <c r="O1184" s="10">
        <f t="shared" si="156"/>
        <v>1</v>
      </c>
    </row>
    <row r="1185" spans="1:15" ht="13.5" hidden="1" customHeight="1">
      <c r="B1185" s="33">
        <f t="shared" si="159"/>
        <v>11</v>
      </c>
      <c r="C1185" s="25" t="s">
        <v>161</v>
      </c>
      <c r="D1185" s="25" t="s">
        <v>194</v>
      </c>
      <c r="E1185" s="1" t="s">
        <v>128</v>
      </c>
      <c r="F1185" s="30" t="s">
        <v>37</v>
      </c>
      <c r="G1185" s="36">
        <f>333*15</f>
        <v>4995</v>
      </c>
      <c r="H1185" s="36">
        <v>1861</v>
      </c>
      <c r="I1185" s="36">
        <v>3240</v>
      </c>
      <c r="J1185" s="36"/>
      <c r="K1185" s="36">
        <f t="shared" si="154"/>
        <v>10096</v>
      </c>
      <c r="L1185" s="36">
        <f t="shared" si="158"/>
        <v>10096</v>
      </c>
      <c r="M1185" s="9">
        <f t="shared" si="155"/>
        <v>1</v>
      </c>
      <c r="N1185" s="5">
        <v>1</v>
      </c>
      <c r="O1185" s="10">
        <f t="shared" si="156"/>
        <v>1</v>
      </c>
    </row>
    <row r="1186" spans="1:15" ht="13.5" hidden="1" customHeight="1">
      <c r="B1186" s="33">
        <f t="shared" si="159"/>
        <v>12</v>
      </c>
      <c r="C1186" s="25" t="s">
        <v>95</v>
      </c>
      <c r="D1186" s="25" t="s">
        <v>196</v>
      </c>
      <c r="E1186" s="1" t="s">
        <v>127</v>
      </c>
      <c r="F1186" s="30" t="s">
        <v>37</v>
      </c>
      <c r="G1186" s="36">
        <f>333*21</f>
        <v>6993</v>
      </c>
      <c r="H1186" s="36">
        <v>1861</v>
      </c>
      <c r="I1186" s="36">
        <v>3240</v>
      </c>
      <c r="J1186" s="36"/>
      <c r="K1186" s="36">
        <f t="shared" si="154"/>
        <v>12094</v>
      </c>
      <c r="L1186" s="36">
        <f t="shared" si="158"/>
        <v>12094</v>
      </c>
      <c r="M1186" s="9">
        <f t="shared" si="155"/>
        <v>1</v>
      </c>
      <c r="N1186" s="5">
        <v>1</v>
      </c>
      <c r="O1186" s="10">
        <f t="shared" si="156"/>
        <v>1</v>
      </c>
    </row>
    <row r="1187" spans="1:15" ht="13.5" hidden="1" customHeight="1">
      <c r="B1187" s="33">
        <f t="shared" si="159"/>
        <v>13</v>
      </c>
      <c r="C1187" s="25" t="s">
        <v>173</v>
      </c>
      <c r="D1187" s="25" t="s">
        <v>205</v>
      </c>
      <c r="E1187" s="1" t="s">
        <v>123</v>
      </c>
      <c r="F1187" s="30" t="s">
        <v>37</v>
      </c>
      <c r="G1187" s="36">
        <f>333*21</f>
        <v>6993</v>
      </c>
      <c r="H1187" s="36">
        <v>1861</v>
      </c>
      <c r="I1187" s="36">
        <v>3240</v>
      </c>
      <c r="J1187" s="36"/>
      <c r="K1187" s="36">
        <f t="shared" si="154"/>
        <v>12094</v>
      </c>
      <c r="L1187" s="36">
        <f t="shared" si="158"/>
        <v>12094</v>
      </c>
      <c r="M1187" s="9">
        <f t="shared" si="155"/>
        <v>1</v>
      </c>
      <c r="N1187" s="5">
        <v>1</v>
      </c>
      <c r="O1187" s="10">
        <f t="shared" si="156"/>
        <v>1</v>
      </c>
    </row>
    <row r="1188" spans="1:15" ht="13.5" hidden="1" customHeight="1">
      <c r="B1188" s="33">
        <f t="shared" si="159"/>
        <v>14</v>
      </c>
      <c r="C1188" s="25" t="s">
        <v>179</v>
      </c>
      <c r="D1188" s="25" t="s">
        <v>211</v>
      </c>
      <c r="E1188" s="1" t="s">
        <v>192</v>
      </c>
      <c r="F1188" s="30" t="s">
        <v>37</v>
      </c>
      <c r="G1188" s="36">
        <f>333*18</f>
        <v>5994</v>
      </c>
      <c r="H1188" s="36">
        <v>1861</v>
      </c>
      <c r="I1188" s="36">
        <v>3240</v>
      </c>
      <c r="J1188" s="36"/>
      <c r="K1188" s="36">
        <f t="shared" si="154"/>
        <v>11095</v>
      </c>
      <c r="L1188" s="36">
        <f t="shared" si="158"/>
        <v>11095</v>
      </c>
      <c r="M1188" s="9">
        <f t="shared" si="155"/>
        <v>1</v>
      </c>
      <c r="N1188" s="5">
        <v>1</v>
      </c>
      <c r="O1188" s="10">
        <f t="shared" si="156"/>
        <v>1</v>
      </c>
    </row>
    <row r="1189" spans="1:15" ht="13.5" hidden="1" customHeight="1">
      <c r="B1189" s="33">
        <f t="shared" si="159"/>
        <v>15</v>
      </c>
      <c r="C1189" s="25" t="s">
        <v>52</v>
      </c>
      <c r="D1189" s="25" t="s">
        <v>197</v>
      </c>
      <c r="E1189" s="1" t="s">
        <v>186</v>
      </c>
      <c r="F1189" s="30" t="s">
        <v>44</v>
      </c>
      <c r="G1189" s="36">
        <f>333*5</f>
        <v>1665</v>
      </c>
      <c r="H1189" s="36">
        <v>1861</v>
      </c>
      <c r="I1189" s="36">
        <v>3240</v>
      </c>
      <c r="J1189" s="36">
        <v>750</v>
      </c>
      <c r="K1189" s="36">
        <f t="shared" si="154"/>
        <v>7516</v>
      </c>
      <c r="L1189" s="36">
        <f t="shared" si="158"/>
        <v>7516</v>
      </c>
      <c r="M1189" s="9">
        <f t="shared" si="155"/>
        <v>1</v>
      </c>
      <c r="N1189" s="5">
        <v>1</v>
      </c>
      <c r="O1189" s="10">
        <f t="shared" si="156"/>
        <v>1</v>
      </c>
    </row>
    <row r="1190" spans="1:15" ht="13.5" hidden="1" customHeight="1">
      <c r="B1190" s="33">
        <f t="shared" si="159"/>
        <v>16</v>
      </c>
      <c r="C1190" s="25" t="s">
        <v>167</v>
      </c>
      <c r="D1190" s="25" t="s">
        <v>201</v>
      </c>
      <c r="E1190" s="1" t="s">
        <v>128</v>
      </c>
      <c r="F1190" s="30" t="s">
        <v>44</v>
      </c>
      <c r="G1190" s="36">
        <f t="shared" ref="G1190:G1192" si="161">333*5</f>
        <v>1665</v>
      </c>
      <c r="H1190" s="36">
        <v>1861</v>
      </c>
      <c r="I1190" s="36">
        <v>3240</v>
      </c>
      <c r="J1190" s="36">
        <v>750</v>
      </c>
      <c r="K1190" s="36">
        <f t="shared" si="154"/>
        <v>7516</v>
      </c>
      <c r="L1190" s="36">
        <f t="shared" si="158"/>
        <v>7516</v>
      </c>
      <c r="M1190" s="9">
        <f t="shared" si="155"/>
        <v>1</v>
      </c>
      <c r="N1190" s="5">
        <v>1</v>
      </c>
      <c r="O1190" s="10">
        <f t="shared" si="156"/>
        <v>1</v>
      </c>
    </row>
    <row r="1191" spans="1:15" ht="13.5" hidden="1" customHeight="1">
      <c r="B1191" s="33">
        <f t="shared" si="159"/>
        <v>17</v>
      </c>
      <c r="C1191" s="25" t="s">
        <v>172</v>
      </c>
      <c r="D1191" s="25" t="s">
        <v>204</v>
      </c>
      <c r="E1191" s="1" t="s">
        <v>126</v>
      </c>
      <c r="F1191" s="30" t="s">
        <v>44</v>
      </c>
      <c r="G1191" s="36">
        <f t="shared" si="161"/>
        <v>1665</v>
      </c>
      <c r="H1191" s="36">
        <v>1861</v>
      </c>
      <c r="I1191" s="36">
        <v>3240</v>
      </c>
      <c r="J1191" s="36">
        <v>750</v>
      </c>
      <c r="K1191" s="36">
        <f t="shared" si="154"/>
        <v>7516</v>
      </c>
      <c r="L1191" s="36">
        <f t="shared" si="158"/>
        <v>7516</v>
      </c>
      <c r="M1191" s="9">
        <f t="shared" si="155"/>
        <v>1</v>
      </c>
      <c r="N1191" s="5">
        <v>1</v>
      </c>
      <c r="O1191" s="10">
        <f t="shared" si="156"/>
        <v>1</v>
      </c>
    </row>
    <row r="1192" spans="1:15" ht="13.5" hidden="1" customHeight="1">
      <c r="B1192" s="33">
        <f t="shared" si="159"/>
        <v>18</v>
      </c>
      <c r="C1192" s="25" t="s">
        <v>176</v>
      </c>
      <c r="D1192" s="25" t="s">
        <v>185</v>
      </c>
      <c r="F1192" s="30" t="s">
        <v>44</v>
      </c>
      <c r="G1192" s="36">
        <f t="shared" si="161"/>
        <v>1665</v>
      </c>
      <c r="H1192" s="36">
        <v>1861</v>
      </c>
      <c r="I1192" s="36">
        <v>3240</v>
      </c>
      <c r="J1192" s="36">
        <v>750</v>
      </c>
      <c r="K1192" s="36">
        <f t="shared" si="154"/>
        <v>7516</v>
      </c>
      <c r="L1192" s="36">
        <f t="shared" si="158"/>
        <v>7516</v>
      </c>
      <c r="M1192" s="9">
        <f t="shared" si="155"/>
        <v>1</v>
      </c>
      <c r="N1192" s="5">
        <v>1</v>
      </c>
      <c r="O1192" s="10">
        <f t="shared" si="156"/>
        <v>1</v>
      </c>
    </row>
    <row r="1193" spans="1:15" ht="13.5" hidden="1" customHeight="1">
      <c r="B1193" s="33">
        <f t="shared" si="159"/>
        <v>19</v>
      </c>
      <c r="C1193" s="25" t="s">
        <v>170</v>
      </c>
      <c r="D1193" s="25" t="s">
        <v>203</v>
      </c>
      <c r="E1193" s="1" t="s">
        <v>189</v>
      </c>
      <c r="F1193" s="30" t="s">
        <v>26</v>
      </c>
      <c r="G1193" s="36">
        <f>333*22</f>
        <v>7326</v>
      </c>
      <c r="H1193" s="36">
        <v>1861</v>
      </c>
      <c r="I1193" s="36">
        <v>3240</v>
      </c>
      <c r="J1193" s="36">
        <v>1800</v>
      </c>
      <c r="K1193" s="36">
        <f t="shared" si="154"/>
        <v>14227</v>
      </c>
      <c r="L1193" s="36">
        <f t="shared" si="158"/>
        <v>14227</v>
      </c>
      <c r="M1193" s="9">
        <f t="shared" si="155"/>
        <v>1</v>
      </c>
      <c r="N1193" s="5">
        <v>1</v>
      </c>
      <c r="O1193" s="10">
        <f t="shared" si="156"/>
        <v>1</v>
      </c>
    </row>
    <row r="1194" spans="1:15" ht="13.5" hidden="1" customHeight="1">
      <c r="B1194" s="33">
        <f t="shared" si="159"/>
        <v>20</v>
      </c>
      <c r="C1194" s="25" t="s">
        <v>171</v>
      </c>
      <c r="D1194" s="25" t="s">
        <v>184</v>
      </c>
      <c r="F1194" s="30" t="s">
        <v>26</v>
      </c>
      <c r="G1194" s="36">
        <f t="shared" ref="G1194:G1196" si="162">333*22</f>
        <v>7326</v>
      </c>
      <c r="H1194" s="36">
        <v>1861</v>
      </c>
      <c r="I1194" s="36">
        <v>3240</v>
      </c>
      <c r="J1194" s="36">
        <v>1800</v>
      </c>
      <c r="K1194" s="36">
        <f t="shared" si="154"/>
        <v>14227</v>
      </c>
      <c r="L1194" s="36">
        <f t="shared" si="158"/>
        <v>14227</v>
      </c>
      <c r="M1194" s="9">
        <f t="shared" si="155"/>
        <v>1</v>
      </c>
      <c r="N1194" s="5">
        <v>1</v>
      </c>
      <c r="O1194" s="10">
        <f t="shared" si="156"/>
        <v>1</v>
      </c>
    </row>
    <row r="1195" spans="1:15" ht="13.5" hidden="1" customHeight="1">
      <c r="B1195" s="33">
        <f t="shared" si="159"/>
        <v>21</v>
      </c>
      <c r="C1195" s="25" t="s">
        <v>174</v>
      </c>
      <c r="D1195" s="25" t="s">
        <v>206</v>
      </c>
      <c r="E1195" s="1" t="s">
        <v>128</v>
      </c>
      <c r="F1195" s="30" t="s">
        <v>26</v>
      </c>
      <c r="G1195" s="36">
        <f t="shared" si="162"/>
        <v>7326</v>
      </c>
      <c r="H1195" s="36">
        <v>1861</v>
      </c>
      <c r="I1195" s="36">
        <v>3240</v>
      </c>
      <c r="J1195" s="36">
        <v>1800</v>
      </c>
      <c r="K1195" s="36">
        <f t="shared" si="154"/>
        <v>14227</v>
      </c>
      <c r="L1195" s="36">
        <f t="shared" si="158"/>
        <v>14227</v>
      </c>
      <c r="M1195" s="9">
        <f t="shared" si="155"/>
        <v>1</v>
      </c>
      <c r="N1195" s="5">
        <v>1</v>
      </c>
      <c r="O1195" s="10">
        <f t="shared" si="156"/>
        <v>1</v>
      </c>
    </row>
    <row r="1196" spans="1:15" ht="13.5" hidden="1" customHeight="1">
      <c r="B1196" s="33">
        <f t="shared" si="159"/>
        <v>22</v>
      </c>
      <c r="C1196" s="25" t="s">
        <v>69</v>
      </c>
      <c r="D1196" s="25" t="s">
        <v>208</v>
      </c>
      <c r="E1196" s="1" t="s">
        <v>190</v>
      </c>
      <c r="F1196" s="30" t="s">
        <v>26</v>
      </c>
      <c r="G1196" s="36">
        <f t="shared" si="162"/>
        <v>7326</v>
      </c>
      <c r="H1196" s="36">
        <v>1861</v>
      </c>
      <c r="I1196" s="36">
        <v>3240</v>
      </c>
      <c r="J1196" s="36">
        <v>1800</v>
      </c>
      <c r="K1196" s="36">
        <f t="shared" si="154"/>
        <v>14227</v>
      </c>
      <c r="L1196" s="36">
        <f t="shared" si="158"/>
        <v>14227</v>
      </c>
      <c r="M1196" s="9">
        <f t="shared" si="155"/>
        <v>1</v>
      </c>
      <c r="N1196" s="5">
        <v>1</v>
      </c>
      <c r="O1196" s="10">
        <f t="shared" si="156"/>
        <v>1</v>
      </c>
    </row>
    <row r="1197" spans="1:15" ht="13.5" hidden="1" customHeight="1">
      <c r="B1197" s="33">
        <f t="shared" si="159"/>
        <v>23</v>
      </c>
      <c r="C1197" s="25" t="s">
        <v>55</v>
      </c>
      <c r="D1197" s="25" t="s">
        <v>199</v>
      </c>
      <c r="E1197" s="1" t="s">
        <v>187</v>
      </c>
      <c r="F1197" s="30" t="s">
        <v>27</v>
      </c>
      <c r="G1197" s="36">
        <f>333*5</f>
        <v>1665</v>
      </c>
      <c r="H1197" s="36">
        <v>1861</v>
      </c>
      <c r="I1197" s="36">
        <v>3240</v>
      </c>
      <c r="J1197" s="36">
        <v>500</v>
      </c>
      <c r="K1197" s="36">
        <f t="shared" si="154"/>
        <v>7266</v>
      </c>
      <c r="L1197" s="36">
        <f t="shared" si="158"/>
        <v>7266</v>
      </c>
      <c r="M1197" s="9">
        <f t="shared" si="155"/>
        <v>1</v>
      </c>
      <c r="N1197" s="5">
        <v>1</v>
      </c>
      <c r="O1197" s="10">
        <f t="shared" si="156"/>
        <v>1</v>
      </c>
    </row>
    <row r="1198" spans="1:15" ht="13.5" hidden="1" customHeight="1">
      <c r="B1198" s="33">
        <f t="shared" si="159"/>
        <v>24</v>
      </c>
      <c r="C1198" s="25" t="s">
        <v>168</v>
      </c>
      <c r="D1198" s="25" t="s">
        <v>202</v>
      </c>
      <c r="E1198" s="1" t="s">
        <v>188</v>
      </c>
      <c r="F1198" s="30" t="s">
        <v>27</v>
      </c>
      <c r="G1198" s="36">
        <f>333*9</f>
        <v>2997</v>
      </c>
      <c r="H1198" s="36">
        <v>1861</v>
      </c>
      <c r="I1198" s="36">
        <v>3240</v>
      </c>
      <c r="J1198" s="36">
        <v>500</v>
      </c>
      <c r="K1198" s="36">
        <f t="shared" si="154"/>
        <v>8598</v>
      </c>
      <c r="L1198" s="36">
        <f t="shared" si="158"/>
        <v>8598</v>
      </c>
      <c r="M1198" s="9">
        <f t="shared" si="155"/>
        <v>1</v>
      </c>
      <c r="N1198" s="5">
        <v>1</v>
      </c>
      <c r="O1198" s="10">
        <f t="shared" si="156"/>
        <v>1</v>
      </c>
    </row>
    <row r="1199" spans="1:15" ht="13.5" hidden="1" customHeight="1">
      <c r="B1199" s="33">
        <f t="shared" si="159"/>
        <v>25</v>
      </c>
      <c r="C1199" s="25" t="s">
        <v>169</v>
      </c>
      <c r="D1199" s="25" t="s">
        <v>183</v>
      </c>
      <c r="F1199" s="30" t="s">
        <v>27</v>
      </c>
      <c r="G1199" s="36">
        <f>333*5</f>
        <v>1665</v>
      </c>
      <c r="H1199" s="36">
        <v>1861</v>
      </c>
      <c r="I1199" s="36">
        <v>3240</v>
      </c>
      <c r="J1199" s="36">
        <v>500</v>
      </c>
      <c r="K1199" s="36">
        <f t="shared" si="154"/>
        <v>7266</v>
      </c>
      <c r="L1199" s="36">
        <f t="shared" si="158"/>
        <v>7266</v>
      </c>
      <c r="M1199" s="9">
        <f t="shared" si="155"/>
        <v>1</v>
      </c>
      <c r="N1199" s="5">
        <v>1</v>
      </c>
      <c r="O1199" s="10">
        <f t="shared" si="156"/>
        <v>1</v>
      </c>
    </row>
    <row r="1200" spans="1:15" ht="16.5" hidden="1" customHeight="1">
      <c r="A1200" s="66" t="s">
        <v>45</v>
      </c>
      <c r="B1200" s="66"/>
      <c r="C1200" s="66"/>
      <c r="D1200" s="66"/>
      <c r="E1200" s="66"/>
      <c r="F1200" s="66"/>
      <c r="G1200" s="66"/>
      <c r="H1200" s="66"/>
      <c r="I1200" s="66"/>
      <c r="J1200" s="66"/>
      <c r="K1200" s="66"/>
      <c r="L1200" s="66"/>
      <c r="M1200" s="66"/>
      <c r="N1200" s="22">
        <f>SUM(N1175:N1199)</f>
        <v>25</v>
      </c>
      <c r="O1200" s="23">
        <f>SUM(O1175:O1199)</f>
        <v>25</v>
      </c>
    </row>
    <row r="1201" spans="1:15" ht="13.5" customHeight="1">
      <c r="A1201" s="44" t="s">
        <v>502</v>
      </c>
      <c r="B1201" s="44"/>
      <c r="C1201" s="44"/>
      <c r="D1201" s="44"/>
      <c r="E1201" s="44"/>
      <c r="F1201" s="44"/>
      <c r="G1201" s="44"/>
      <c r="H1201" s="44"/>
      <c r="I1201" s="44"/>
      <c r="J1201" s="44"/>
      <c r="K1201" s="44"/>
      <c r="L1201" s="44"/>
      <c r="M1201" s="44"/>
      <c r="N1201" s="44"/>
      <c r="O1201" s="44"/>
    </row>
    <row r="1202" spans="1:15" ht="13.5" customHeight="1">
      <c r="B1202" s="33">
        <v>1</v>
      </c>
      <c r="C1202" s="25"/>
      <c r="D1202" s="25"/>
      <c r="F1202" s="30" t="s">
        <v>42</v>
      </c>
      <c r="G1202" s="36">
        <f>+G1121+G1148+G1175</f>
        <v>20646</v>
      </c>
      <c r="H1202" s="36">
        <f t="shared" ref="H1202:K1202" si="163">+H1121+H1148+H1175</f>
        <v>5583</v>
      </c>
      <c r="I1202" s="36">
        <f t="shared" si="163"/>
        <v>9720</v>
      </c>
      <c r="J1202" s="36">
        <f t="shared" si="163"/>
        <v>1500</v>
      </c>
      <c r="K1202" s="36">
        <f t="shared" si="163"/>
        <v>37449</v>
      </c>
      <c r="L1202" s="36">
        <f>K1202</f>
        <v>37449</v>
      </c>
      <c r="M1202" s="9">
        <f t="shared" ref="M1202:M1226" si="164">L1202/K1202</f>
        <v>1</v>
      </c>
      <c r="N1202" s="5">
        <v>1</v>
      </c>
      <c r="O1202" s="10">
        <f t="shared" ref="O1202:O1226" si="165">N1202*M1202</f>
        <v>1</v>
      </c>
    </row>
    <row r="1203" spans="1:15" ht="13.5" customHeight="1">
      <c r="B1203" s="33">
        <f>B1202+1</f>
        <v>2</v>
      </c>
      <c r="C1203" s="25"/>
      <c r="D1203" s="25"/>
      <c r="F1203" s="30" t="s">
        <v>42</v>
      </c>
      <c r="G1203" s="36">
        <f t="shared" ref="G1203:K1203" si="166">+G1122+G1149+G1176</f>
        <v>20646</v>
      </c>
      <c r="H1203" s="36">
        <f t="shared" si="166"/>
        <v>5583</v>
      </c>
      <c r="I1203" s="36">
        <f t="shared" si="166"/>
        <v>9720</v>
      </c>
      <c r="J1203" s="36">
        <f t="shared" si="166"/>
        <v>1500</v>
      </c>
      <c r="K1203" s="36">
        <f t="shared" si="166"/>
        <v>37449</v>
      </c>
      <c r="L1203" s="36">
        <f t="shared" ref="L1203:L1226" si="167">K1203</f>
        <v>37449</v>
      </c>
      <c r="M1203" s="9">
        <f t="shared" si="164"/>
        <v>1</v>
      </c>
      <c r="N1203" s="5">
        <v>1</v>
      </c>
      <c r="O1203" s="10">
        <f t="shared" si="165"/>
        <v>1</v>
      </c>
    </row>
    <row r="1204" spans="1:15" ht="13.5" customHeight="1">
      <c r="B1204" s="33">
        <f t="shared" ref="B1204:B1226" si="168">B1203+1</f>
        <v>3</v>
      </c>
      <c r="C1204" s="25"/>
      <c r="D1204" s="25"/>
      <c r="F1204" s="30" t="s">
        <v>42</v>
      </c>
      <c r="G1204" s="36">
        <f t="shared" ref="G1204:K1204" si="169">+G1123+G1150+G1177</f>
        <v>20646</v>
      </c>
      <c r="H1204" s="36">
        <f t="shared" si="169"/>
        <v>5583</v>
      </c>
      <c r="I1204" s="36">
        <f t="shared" si="169"/>
        <v>9720</v>
      </c>
      <c r="J1204" s="36">
        <f t="shared" si="169"/>
        <v>1500</v>
      </c>
      <c r="K1204" s="36">
        <f t="shared" si="169"/>
        <v>37449</v>
      </c>
      <c r="L1204" s="36">
        <f t="shared" si="167"/>
        <v>37449</v>
      </c>
      <c r="M1204" s="9">
        <f t="shared" si="164"/>
        <v>1</v>
      </c>
      <c r="N1204" s="5">
        <v>1</v>
      </c>
      <c r="O1204" s="10">
        <f t="shared" si="165"/>
        <v>1</v>
      </c>
    </row>
    <row r="1205" spans="1:15" ht="13.5" customHeight="1">
      <c r="B1205" s="33">
        <f t="shared" si="168"/>
        <v>4</v>
      </c>
      <c r="C1205" s="25"/>
      <c r="D1205" s="25"/>
      <c r="F1205" s="30" t="s">
        <v>42</v>
      </c>
      <c r="G1205" s="36">
        <f t="shared" ref="G1205:K1205" si="170">+G1124+G1151+G1178</f>
        <v>20646</v>
      </c>
      <c r="H1205" s="36">
        <f t="shared" si="170"/>
        <v>5583</v>
      </c>
      <c r="I1205" s="36">
        <f t="shared" si="170"/>
        <v>9720</v>
      </c>
      <c r="J1205" s="36">
        <f t="shared" si="170"/>
        <v>1500</v>
      </c>
      <c r="K1205" s="36">
        <f t="shared" si="170"/>
        <v>37449</v>
      </c>
      <c r="L1205" s="36">
        <f t="shared" si="167"/>
        <v>37449</v>
      </c>
      <c r="M1205" s="9">
        <f t="shared" si="164"/>
        <v>1</v>
      </c>
      <c r="N1205" s="5">
        <v>1</v>
      </c>
      <c r="O1205" s="10">
        <f t="shared" si="165"/>
        <v>1</v>
      </c>
    </row>
    <row r="1206" spans="1:15" ht="13.5" customHeight="1">
      <c r="B1206" s="33">
        <f t="shared" si="168"/>
        <v>5</v>
      </c>
      <c r="C1206" s="25"/>
      <c r="D1206" s="25"/>
      <c r="F1206" s="30" t="s">
        <v>42</v>
      </c>
      <c r="G1206" s="36">
        <f t="shared" ref="G1206:K1206" si="171">+G1125+G1152+G1179</f>
        <v>20646</v>
      </c>
      <c r="H1206" s="36">
        <f t="shared" si="171"/>
        <v>5583</v>
      </c>
      <c r="I1206" s="36">
        <f t="shared" si="171"/>
        <v>9720</v>
      </c>
      <c r="J1206" s="36">
        <f t="shared" si="171"/>
        <v>1500</v>
      </c>
      <c r="K1206" s="36">
        <f t="shared" si="171"/>
        <v>37449</v>
      </c>
      <c r="L1206" s="36">
        <f t="shared" si="167"/>
        <v>37449</v>
      </c>
      <c r="M1206" s="9">
        <f t="shared" si="164"/>
        <v>1</v>
      </c>
      <c r="N1206" s="5">
        <v>1</v>
      </c>
      <c r="O1206" s="10">
        <f t="shared" si="165"/>
        <v>1</v>
      </c>
    </row>
    <row r="1207" spans="1:15" ht="13.5" customHeight="1">
      <c r="B1207" s="33">
        <f t="shared" si="168"/>
        <v>6</v>
      </c>
      <c r="C1207" s="25"/>
      <c r="D1207" s="25"/>
      <c r="F1207" s="30" t="s">
        <v>42</v>
      </c>
      <c r="G1207" s="36">
        <f t="shared" ref="G1207:K1207" si="172">+G1126+G1153+G1180</f>
        <v>20646</v>
      </c>
      <c r="H1207" s="36">
        <f t="shared" si="172"/>
        <v>5583</v>
      </c>
      <c r="I1207" s="36">
        <f t="shared" si="172"/>
        <v>9720</v>
      </c>
      <c r="J1207" s="36">
        <f t="shared" si="172"/>
        <v>1500</v>
      </c>
      <c r="K1207" s="36">
        <f t="shared" si="172"/>
        <v>37449</v>
      </c>
      <c r="L1207" s="36">
        <f t="shared" si="167"/>
        <v>37449</v>
      </c>
      <c r="M1207" s="9">
        <f t="shared" si="164"/>
        <v>1</v>
      </c>
      <c r="N1207" s="5">
        <v>1</v>
      </c>
      <c r="O1207" s="10">
        <f t="shared" si="165"/>
        <v>1</v>
      </c>
    </row>
    <row r="1208" spans="1:15" ht="13.5" customHeight="1">
      <c r="B1208" s="33">
        <f t="shared" si="168"/>
        <v>7</v>
      </c>
      <c r="C1208" s="25"/>
      <c r="D1208" s="25"/>
      <c r="F1208" s="30" t="s">
        <v>159</v>
      </c>
      <c r="G1208" s="36">
        <f t="shared" ref="G1208:K1208" si="173">+G1127+G1154+G1181</f>
        <v>18648</v>
      </c>
      <c r="H1208" s="36">
        <f t="shared" si="173"/>
        <v>5583</v>
      </c>
      <c r="I1208" s="36">
        <f t="shared" si="173"/>
        <v>9720</v>
      </c>
      <c r="J1208" s="36">
        <f t="shared" si="173"/>
        <v>3600</v>
      </c>
      <c r="K1208" s="36">
        <f t="shared" si="173"/>
        <v>37551</v>
      </c>
      <c r="L1208" s="36">
        <f t="shared" si="167"/>
        <v>37551</v>
      </c>
      <c r="M1208" s="9">
        <f t="shared" si="164"/>
        <v>1</v>
      </c>
      <c r="N1208" s="5">
        <v>1</v>
      </c>
      <c r="O1208" s="10">
        <f t="shared" si="165"/>
        <v>1</v>
      </c>
    </row>
    <row r="1209" spans="1:15" ht="13.5" customHeight="1">
      <c r="B1209" s="33">
        <f t="shared" si="168"/>
        <v>8</v>
      </c>
      <c r="C1209" s="25"/>
      <c r="D1209" s="25"/>
      <c r="F1209" s="30" t="s">
        <v>159</v>
      </c>
      <c r="G1209" s="36">
        <f t="shared" ref="G1209:K1209" si="174">+G1128+G1155+G1182</f>
        <v>18648</v>
      </c>
      <c r="H1209" s="36">
        <f t="shared" si="174"/>
        <v>5583</v>
      </c>
      <c r="I1209" s="36">
        <f t="shared" si="174"/>
        <v>9720</v>
      </c>
      <c r="J1209" s="36">
        <f t="shared" si="174"/>
        <v>3600</v>
      </c>
      <c r="K1209" s="36">
        <f t="shared" si="174"/>
        <v>37551</v>
      </c>
      <c r="L1209" s="36">
        <f t="shared" si="167"/>
        <v>37551</v>
      </c>
      <c r="M1209" s="9">
        <f t="shared" si="164"/>
        <v>1</v>
      </c>
      <c r="N1209" s="5">
        <v>1</v>
      </c>
      <c r="O1209" s="10">
        <f t="shared" si="165"/>
        <v>1</v>
      </c>
    </row>
    <row r="1210" spans="1:15" ht="13.5" customHeight="1">
      <c r="B1210" s="33">
        <f t="shared" si="168"/>
        <v>9</v>
      </c>
      <c r="C1210" s="25"/>
      <c r="D1210" s="25"/>
      <c r="F1210" s="30" t="s">
        <v>159</v>
      </c>
      <c r="G1210" s="36">
        <f t="shared" ref="G1210:K1210" si="175">+G1129+G1156+G1183</f>
        <v>18648</v>
      </c>
      <c r="H1210" s="36">
        <f t="shared" si="175"/>
        <v>5583</v>
      </c>
      <c r="I1210" s="36">
        <f t="shared" si="175"/>
        <v>9720</v>
      </c>
      <c r="J1210" s="36">
        <f t="shared" si="175"/>
        <v>3600</v>
      </c>
      <c r="K1210" s="36">
        <f t="shared" si="175"/>
        <v>37551</v>
      </c>
      <c r="L1210" s="36">
        <f t="shared" si="167"/>
        <v>37551</v>
      </c>
      <c r="M1210" s="9">
        <f t="shared" si="164"/>
        <v>1</v>
      </c>
      <c r="N1210" s="5">
        <v>1</v>
      </c>
      <c r="O1210" s="10">
        <f t="shared" si="165"/>
        <v>1</v>
      </c>
    </row>
    <row r="1211" spans="1:15" ht="13.5" customHeight="1">
      <c r="B1211" s="33">
        <f t="shared" si="168"/>
        <v>10</v>
      </c>
      <c r="C1211" s="25"/>
      <c r="D1211" s="25"/>
      <c r="F1211" s="30" t="s">
        <v>159</v>
      </c>
      <c r="G1211" s="36">
        <f t="shared" ref="G1211:K1211" si="176">+G1130+G1157+G1184</f>
        <v>18648</v>
      </c>
      <c r="H1211" s="36">
        <f t="shared" si="176"/>
        <v>5583</v>
      </c>
      <c r="I1211" s="36">
        <f t="shared" si="176"/>
        <v>9720</v>
      </c>
      <c r="J1211" s="36">
        <f t="shared" si="176"/>
        <v>3600</v>
      </c>
      <c r="K1211" s="36">
        <f t="shared" si="176"/>
        <v>37551</v>
      </c>
      <c r="L1211" s="36">
        <f t="shared" si="167"/>
        <v>37551</v>
      </c>
      <c r="M1211" s="9">
        <f t="shared" si="164"/>
        <v>1</v>
      </c>
      <c r="N1211" s="5">
        <v>1</v>
      </c>
      <c r="O1211" s="10">
        <f t="shared" si="165"/>
        <v>1</v>
      </c>
    </row>
    <row r="1212" spans="1:15" ht="13.5" customHeight="1">
      <c r="B1212" s="33">
        <f t="shared" si="168"/>
        <v>11</v>
      </c>
      <c r="C1212" s="25"/>
      <c r="D1212" s="25"/>
      <c r="F1212" s="30" t="s">
        <v>37</v>
      </c>
      <c r="G1212" s="36">
        <f t="shared" ref="G1212:K1212" si="177">+G1131+G1158+G1185</f>
        <v>17649</v>
      </c>
      <c r="H1212" s="36">
        <f t="shared" si="177"/>
        <v>5583</v>
      </c>
      <c r="I1212" s="36">
        <f t="shared" si="177"/>
        <v>9720</v>
      </c>
      <c r="J1212" s="36">
        <f t="shared" si="177"/>
        <v>500</v>
      </c>
      <c r="K1212" s="36">
        <f t="shared" si="177"/>
        <v>33452</v>
      </c>
      <c r="L1212" s="36">
        <f t="shared" si="167"/>
        <v>33452</v>
      </c>
      <c r="M1212" s="9">
        <f t="shared" si="164"/>
        <v>1</v>
      </c>
      <c r="N1212" s="5">
        <v>1</v>
      </c>
      <c r="O1212" s="10">
        <f t="shared" si="165"/>
        <v>1</v>
      </c>
    </row>
    <row r="1213" spans="1:15" ht="13.5" customHeight="1">
      <c r="B1213" s="33">
        <f t="shared" si="168"/>
        <v>12</v>
      </c>
      <c r="C1213" s="25"/>
      <c r="D1213" s="25"/>
      <c r="F1213" s="30" t="s">
        <v>37</v>
      </c>
      <c r="G1213" s="36">
        <f t="shared" ref="G1213:K1213" si="178">+G1132+G1159+G1186</f>
        <v>19647</v>
      </c>
      <c r="H1213" s="36">
        <f t="shared" si="178"/>
        <v>5583</v>
      </c>
      <c r="I1213" s="36">
        <f t="shared" si="178"/>
        <v>9720</v>
      </c>
      <c r="J1213" s="36">
        <f t="shared" si="178"/>
        <v>500</v>
      </c>
      <c r="K1213" s="36">
        <f t="shared" si="178"/>
        <v>35450</v>
      </c>
      <c r="L1213" s="36">
        <f t="shared" si="167"/>
        <v>35450</v>
      </c>
      <c r="M1213" s="9">
        <f t="shared" si="164"/>
        <v>1</v>
      </c>
      <c r="N1213" s="5">
        <v>1</v>
      </c>
      <c r="O1213" s="10">
        <f t="shared" si="165"/>
        <v>1</v>
      </c>
    </row>
    <row r="1214" spans="1:15" ht="13.5" customHeight="1">
      <c r="B1214" s="33">
        <f t="shared" si="168"/>
        <v>13</v>
      </c>
      <c r="C1214" s="25"/>
      <c r="D1214" s="25"/>
      <c r="F1214" s="30" t="s">
        <v>37</v>
      </c>
      <c r="G1214" s="36">
        <f t="shared" ref="G1214:K1214" si="179">+G1133+G1160+G1187</f>
        <v>19647</v>
      </c>
      <c r="H1214" s="36">
        <f t="shared" si="179"/>
        <v>5583</v>
      </c>
      <c r="I1214" s="36">
        <f t="shared" si="179"/>
        <v>9720</v>
      </c>
      <c r="J1214" s="36">
        <f t="shared" si="179"/>
        <v>500</v>
      </c>
      <c r="K1214" s="36">
        <f t="shared" si="179"/>
        <v>35450</v>
      </c>
      <c r="L1214" s="36">
        <f t="shared" si="167"/>
        <v>35450</v>
      </c>
      <c r="M1214" s="9">
        <f t="shared" si="164"/>
        <v>1</v>
      </c>
      <c r="N1214" s="5">
        <v>1</v>
      </c>
      <c r="O1214" s="10">
        <f t="shared" si="165"/>
        <v>1</v>
      </c>
    </row>
    <row r="1215" spans="1:15" ht="13.5" customHeight="1">
      <c r="B1215" s="33">
        <f t="shared" si="168"/>
        <v>14</v>
      </c>
      <c r="C1215" s="25"/>
      <c r="D1215" s="25"/>
      <c r="F1215" s="30" t="s">
        <v>37</v>
      </c>
      <c r="G1215" s="36">
        <f t="shared" ref="G1215:K1215" si="180">+G1134+G1161+G1188</f>
        <v>18648</v>
      </c>
      <c r="H1215" s="36">
        <f t="shared" si="180"/>
        <v>5583</v>
      </c>
      <c r="I1215" s="36">
        <f t="shared" si="180"/>
        <v>9720</v>
      </c>
      <c r="J1215" s="36">
        <f t="shared" si="180"/>
        <v>500</v>
      </c>
      <c r="K1215" s="36">
        <f t="shared" si="180"/>
        <v>34451</v>
      </c>
      <c r="L1215" s="36">
        <f t="shared" si="167"/>
        <v>34451</v>
      </c>
      <c r="M1215" s="9">
        <f t="shared" si="164"/>
        <v>1</v>
      </c>
      <c r="N1215" s="5">
        <v>1</v>
      </c>
      <c r="O1215" s="10">
        <f t="shared" si="165"/>
        <v>1</v>
      </c>
    </row>
    <row r="1216" spans="1:15" ht="13.5" customHeight="1">
      <c r="B1216" s="33">
        <f t="shared" si="168"/>
        <v>15</v>
      </c>
      <c r="C1216" s="25"/>
      <c r="D1216" s="25"/>
      <c r="F1216" s="30" t="s">
        <v>44</v>
      </c>
      <c r="G1216" s="36">
        <f t="shared" ref="G1216:K1216" si="181">+G1135+G1162+G1189</f>
        <v>15651</v>
      </c>
      <c r="H1216" s="36">
        <f t="shared" si="181"/>
        <v>5583</v>
      </c>
      <c r="I1216" s="36">
        <f t="shared" si="181"/>
        <v>9720</v>
      </c>
      <c r="J1216" s="36">
        <f t="shared" si="181"/>
        <v>2250</v>
      </c>
      <c r="K1216" s="36">
        <f t="shared" si="181"/>
        <v>33204</v>
      </c>
      <c r="L1216" s="36">
        <f t="shared" si="167"/>
        <v>33204</v>
      </c>
      <c r="M1216" s="9">
        <f t="shared" si="164"/>
        <v>1</v>
      </c>
      <c r="N1216" s="5">
        <v>1</v>
      </c>
      <c r="O1216" s="10">
        <f t="shared" si="165"/>
        <v>1</v>
      </c>
    </row>
    <row r="1217" spans="1:15" ht="13.5" customHeight="1">
      <c r="B1217" s="33">
        <f t="shared" si="168"/>
        <v>16</v>
      </c>
      <c r="C1217" s="25"/>
      <c r="D1217" s="25"/>
      <c r="F1217" s="30" t="s">
        <v>44</v>
      </c>
      <c r="G1217" s="36">
        <f t="shared" ref="G1217:K1217" si="182">+G1136+G1163+G1190</f>
        <v>15651</v>
      </c>
      <c r="H1217" s="36">
        <f t="shared" si="182"/>
        <v>5583</v>
      </c>
      <c r="I1217" s="36">
        <f t="shared" si="182"/>
        <v>9720</v>
      </c>
      <c r="J1217" s="36">
        <f t="shared" si="182"/>
        <v>2250</v>
      </c>
      <c r="K1217" s="36">
        <f t="shared" si="182"/>
        <v>33204</v>
      </c>
      <c r="L1217" s="36">
        <f t="shared" si="167"/>
        <v>33204</v>
      </c>
      <c r="M1217" s="9">
        <f t="shared" si="164"/>
        <v>1</v>
      </c>
      <c r="N1217" s="5">
        <v>1</v>
      </c>
      <c r="O1217" s="10">
        <f t="shared" si="165"/>
        <v>1</v>
      </c>
    </row>
    <row r="1218" spans="1:15" ht="13.5" customHeight="1">
      <c r="B1218" s="33">
        <f t="shared" si="168"/>
        <v>17</v>
      </c>
      <c r="C1218" s="25"/>
      <c r="D1218" s="25"/>
      <c r="F1218" s="30" t="s">
        <v>44</v>
      </c>
      <c r="G1218" s="36">
        <f t="shared" ref="G1218:K1218" si="183">+G1137+G1164+G1191</f>
        <v>15651</v>
      </c>
      <c r="H1218" s="36">
        <f t="shared" si="183"/>
        <v>5583</v>
      </c>
      <c r="I1218" s="36">
        <f t="shared" si="183"/>
        <v>9720</v>
      </c>
      <c r="J1218" s="36">
        <f t="shared" si="183"/>
        <v>2250</v>
      </c>
      <c r="K1218" s="36">
        <f t="shared" si="183"/>
        <v>33204</v>
      </c>
      <c r="L1218" s="36">
        <f t="shared" si="167"/>
        <v>33204</v>
      </c>
      <c r="M1218" s="9">
        <f t="shared" si="164"/>
        <v>1</v>
      </c>
      <c r="N1218" s="5">
        <v>1</v>
      </c>
      <c r="O1218" s="10">
        <f t="shared" si="165"/>
        <v>1</v>
      </c>
    </row>
    <row r="1219" spans="1:15" ht="13.5" customHeight="1">
      <c r="B1219" s="33">
        <f t="shared" si="168"/>
        <v>18</v>
      </c>
      <c r="C1219" s="25"/>
      <c r="D1219" s="25"/>
      <c r="F1219" s="30" t="s">
        <v>44</v>
      </c>
      <c r="G1219" s="36">
        <f t="shared" ref="G1219:K1219" si="184">+G1138+G1165+G1192</f>
        <v>15651</v>
      </c>
      <c r="H1219" s="36">
        <f t="shared" si="184"/>
        <v>5583</v>
      </c>
      <c r="I1219" s="36">
        <f t="shared" si="184"/>
        <v>9720</v>
      </c>
      <c r="J1219" s="36">
        <f t="shared" si="184"/>
        <v>2250</v>
      </c>
      <c r="K1219" s="36">
        <f t="shared" si="184"/>
        <v>33204</v>
      </c>
      <c r="L1219" s="36">
        <f t="shared" si="167"/>
        <v>33204</v>
      </c>
      <c r="M1219" s="9">
        <f t="shared" si="164"/>
        <v>1</v>
      </c>
      <c r="N1219" s="5">
        <v>1</v>
      </c>
      <c r="O1219" s="10">
        <f t="shared" si="165"/>
        <v>1</v>
      </c>
    </row>
    <row r="1220" spans="1:15" ht="13.5" customHeight="1">
      <c r="B1220" s="33">
        <f t="shared" si="168"/>
        <v>19</v>
      </c>
      <c r="C1220" s="25"/>
      <c r="D1220" s="25"/>
      <c r="F1220" s="30" t="s">
        <v>26</v>
      </c>
      <c r="G1220" s="36">
        <f t="shared" ref="G1220:K1220" si="185">+G1139+G1166+G1193</f>
        <v>19980</v>
      </c>
      <c r="H1220" s="36">
        <f t="shared" si="185"/>
        <v>5583</v>
      </c>
      <c r="I1220" s="36">
        <f t="shared" si="185"/>
        <v>9720</v>
      </c>
      <c r="J1220" s="36">
        <f t="shared" si="185"/>
        <v>5400</v>
      </c>
      <c r="K1220" s="36">
        <f t="shared" si="185"/>
        <v>40683</v>
      </c>
      <c r="L1220" s="36">
        <f t="shared" si="167"/>
        <v>40683</v>
      </c>
      <c r="M1220" s="9">
        <f t="shared" si="164"/>
        <v>1</v>
      </c>
      <c r="N1220" s="5">
        <v>1</v>
      </c>
      <c r="O1220" s="10">
        <f t="shared" si="165"/>
        <v>1</v>
      </c>
    </row>
    <row r="1221" spans="1:15" ht="13.5" customHeight="1">
      <c r="B1221" s="33">
        <f t="shared" si="168"/>
        <v>20</v>
      </c>
      <c r="C1221" s="25"/>
      <c r="D1221" s="25"/>
      <c r="F1221" s="30" t="s">
        <v>26</v>
      </c>
      <c r="G1221" s="36">
        <f t="shared" ref="G1221:K1221" si="186">+G1140+G1167+G1194</f>
        <v>18981</v>
      </c>
      <c r="H1221" s="36">
        <f t="shared" si="186"/>
        <v>5583</v>
      </c>
      <c r="I1221" s="36">
        <f t="shared" si="186"/>
        <v>9720</v>
      </c>
      <c r="J1221" s="36">
        <f t="shared" si="186"/>
        <v>5400</v>
      </c>
      <c r="K1221" s="36">
        <f t="shared" si="186"/>
        <v>39684</v>
      </c>
      <c r="L1221" s="36">
        <f t="shared" si="167"/>
        <v>39684</v>
      </c>
      <c r="M1221" s="9">
        <f t="shared" si="164"/>
        <v>1</v>
      </c>
      <c r="N1221" s="5">
        <v>1</v>
      </c>
      <c r="O1221" s="10">
        <f t="shared" si="165"/>
        <v>1</v>
      </c>
    </row>
    <row r="1222" spans="1:15" ht="13.5" customHeight="1">
      <c r="B1222" s="33">
        <f t="shared" si="168"/>
        <v>21</v>
      </c>
      <c r="C1222" s="25"/>
      <c r="D1222" s="25"/>
      <c r="F1222" s="30" t="s">
        <v>26</v>
      </c>
      <c r="G1222" s="36">
        <f t="shared" ref="G1222:K1222" si="187">+G1141+G1168+G1195</f>
        <v>19980</v>
      </c>
      <c r="H1222" s="36">
        <f t="shared" si="187"/>
        <v>5583</v>
      </c>
      <c r="I1222" s="36">
        <f t="shared" si="187"/>
        <v>9720</v>
      </c>
      <c r="J1222" s="36">
        <f t="shared" si="187"/>
        <v>5400</v>
      </c>
      <c r="K1222" s="36">
        <f t="shared" si="187"/>
        <v>40683</v>
      </c>
      <c r="L1222" s="36">
        <f t="shared" si="167"/>
        <v>40683</v>
      </c>
      <c r="M1222" s="9">
        <f t="shared" si="164"/>
        <v>1</v>
      </c>
      <c r="N1222" s="5">
        <v>1</v>
      </c>
      <c r="O1222" s="10">
        <f t="shared" si="165"/>
        <v>1</v>
      </c>
    </row>
    <row r="1223" spans="1:15" ht="13.5" customHeight="1">
      <c r="B1223" s="33">
        <f t="shared" si="168"/>
        <v>22</v>
      </c>
      <c r="C1223" s="25"/>
      <c r="D1223" s="25"/>
      <c r="F1223" s="30" t="s">
        <v>26</v>
      </c>
      <c r="G1223" s="36">
        <f t="shared" ref="G1223:K1223" si="188">+G1142+G1169+G1196</f>
        <v>19980</v>
      </c>
      <c r="H1223" s="36">
        <f t="shared" si="188"/>
        <v>5583</v>
      </c>
      <c r="I1223" s="36">
        <f t="shared" si="188"/>
        <v>9720</v>
      </c>
      <c r="J1223" s="36">
        <f t="shared" si="188"/>
        <v>5400</v>
      </c>
      <c r="K1223" s="36">
        <f t="shared" si="188"/>
        <v>40683</v>
      </c>
      <c r="L1223" s="36">
        <f t="shared" si="167"/>
        <v>40683</v>
      </c>
      <c r="M1223" s="9">
        <f t="shared" si="164"/>
        <v>1</v>
      </c>
      <c r="N1223" s="5">
        <v>1</v>
      </c>
      <c r="O1223" s="10">
        <f t="shared" si="165"/>
        <v>1</v>
      </c>
    </row>
    <row r="1224" spans="1:15" ht="13.5" customHeight="1">
      <c r="B1224" s="33">
        <f t="shared" si="168"/>
        <v>23</v>
      </c>
      <c r="C1224" s="25"/>
      <c r="D1224" s="25"/>
      <c r="F1224" s="30" t="s">
        <v>27</v>
      </c>
      <c r="G1224" s="36">
        <f t="shared" ref="G1224:K1224" si="189">+G1143+G1170+G1197</f>
        <v>15651</v>
      </c>
      <c r="H1224" s="36">
        <f t="shared" si="189"/>
        <v>5583</v>
      </c>
      <c r="I1224" s="36">
        <f t="shared" si="189"/>
        <v>9720</v>
      </c>
      <c r="J1224" s="36">
        <f t="shared" si="189"/>
        <v>1500</v>
      </c>
      <c r="K1224" s="36">
        <f t="shared" si="189"/>
        <v>32454</v>
      </c>
      <c r="L1224" s="36">
        <f t="shared" si="167"/>
        <v>32454</v>
      </c>
      <c r="M1224" s="9">
        <f t="shared" si="164"/>
        <v>1</v>
      </c>
      <c r="N1224" s="5">
        <v>1</v>
      </c>
      <c r="O1224" s="10">
        <f t="shared" si="165"/>
        <v>1</v>
      </c>
    </row>
    <row r="1225" spans="1:15" ht="13.5" customHeight="1">
      <c r="B1225" s="33">
        <f t="shared" si="168"/>
        <v>24</v>
      </c>
      <c r="C1225" s="25"/>
      <c r="D1225" s="25"/>
      <c r="F1225" s="30" t="s">
        <v>27</v>
      </c>
      <c r="G1225" s="36">
        <f t="shared" ref="G1225:K1225" si="190">+G1144+G1171+G1198</f>
        <v>13153.5</v>
      </c>
      <c r="H1225" s="36">
        <f t="shared" si="190"/>
        <v>5583</v>
      </c>
      <c r="I1225" s="36">
        <f t="shared" si="190"/>
        <v>9720</v>
      </c>
      <c r="J1225" s="36">
        <f t="shared" si="190"/>
        <v>1500</v>
      </c>
      <c r="K1225" s="36">
        <f t="shared" si="190"/>
        <v>29956.5</v>
      </c>
      <c r="L1225" s="36">
        <f t="shared" si="167"/>
        <v>29956.5</v>
      </c>
      <c r="M1225" s="9">
        <f t="shared" si="164"/>
        <v>1</v>
      </c>
      <c r="N1225" s="5">
        <v>1</v>
      </c>
      <c r="O1225" s="10">
        <f t="shared" si="165"/>
        <v>1</v>
      </c>
    </row>
    <row r="1226" spans="1:15" ht="13.5" customHeight="1">
      <c r="B1226" s="33">
        <f t="shared" si="168"/>
        <v>25</v>
      </c>
      <c r="C1226" s="25"/>
      <c r="D1226" s="25"/>
      <c r="F1226" s="30" t="s">
        <v>27</v>
      </c>
      <c r="G1226" s="36">
        <f t="shared" ref="G1226:K1226" si="191">+G1145+G1172+G1199</f>
        <v>10653</v>
      </c>
      <c r="H1226" s="36">
        <f t="shared" si="191"/>
        <v>5583</v>
      </c>
      <c r="I1226" s="36">
        <f t="shared" si="191"/>
        <v>9720</v>
      </c>
      <c r="J1226" s="36">
        <f t="shared" si="191"/>
        <v>1500</v>
      </c>
      <c r="K1226" s="36">
        <f t="shared" si="191"/>
        <v>27456</v>
      </c>
      <c r="L1226" s="36">
        <f t="shared" si="167"/>
        <v>27456</v>
      </c>
      <c r="M1226" s="9">
        <f t="shared" si="164"/>
        <v>1</v>
      </c>
      <c r="N1226" s="5">
        <v>1</v>
      </c>
      <c r="O1226" s="10">
        <f t="shared" si="165"/>
        <v>1</v>
      </c>
    </row>
    <row r="1227" spans="1:15" ht="16.5" customHeight="1">
      <c r="A1227" s="66" t="s">
        <v>45</v>
      </c>
      <c r="B1227" s="66"/>
      <c r="C1227" s="66"/>
      <c r="D1227" s="66"/>
      <c r="E1227" s="66"/>
      <c r="F1227" s="66"/>
      <c r="G1227" s="66"/>
      <c r="H1227" s="66"/>
      <c r="I1227" s="66"/>
      <c r="J1227" s="66"/>
      <c r="K1227" s="66"/>
      <c r="L1227" s="66"/>
      <c r="M1227" s="66"/>
      <c r="N1227" s="22">
        <f>SUM(N1202:N1226)</f>
        <v>25</v>
      </c>
      <c r="O1227" s="23">
        <f>SUM(O1202:O1226)</f>
        <v>25</v>
      </c>
    </row>
    <row r="1228" spans="1:15" s="46" customFormat="1" ht="25.5" customHeight="1">
      <c r="A1228" s="67" t="s">
        <v>21</v>
      </c>
      <c r="B1228" s="67"/>
      <c r="C1228" s="67"/>
      <c r="D1228" s="67"/>
      <c r="E1228" s="67"/>
      <c r="F1228" s="45"/>
      <c r="G1228" s="45"/>
      <c r="H1228" s="45"/>
      <c r="I1228" s="45"/>
      <c r="J1228" s="45"/>
      <c r="K1228" s="45"/>
      <c r="L1228" s="45"/>
      <c r="M1228" s="45"/>
      <c r="N1228" s="45"/>
      <c r="O1228" s="45"/>
    </row>
    <row r="1229" spans="1:15" ht="13.5" hidden="1" customHeight="1">
      <c r="A1229" s="44" t="s">
        <v>135</v>
      </c>
      <c r="B1229" s="44"/>
      <c r="C1229" s="44"/>
      <c r="D1229" s="44"/>
      <c r="E1229" s="44"/>
      <c r="F1229" s="44"/>
      <c r="G1229" s="44"/>
      <c r="H1229" s="44"/>
      <c r="I1229" s="44"/>
      <c r="J1229" s="44"/>
      <c r="K1229" s="44"/>
      <c r="L1229" s="44"/>
      <c r="M1229" s="44"/>
      <c r="N1229" s="44"/>
      <c r="O1229" s="44"/>
    </row>
    <row r="1230" spans="1:15" ht="13.5" hidden="1" customHeight="1">
      <c r="B1230" s="33">
        <v>1</v>
      </c>
      <c r="C1230" s="35" t="s">
        <v>339</v>
      </c>
      <c r="D1230" s="35" t="s">
        <v>275</v>
      </c>
      <c r="E1230" s="1" t="s">
        <v>192</v>
      </c>
      <c r="F1230" s="30" t="s">
        <v>213</v>
      </c>
      <c r="G1230" s="36">
        <f>333*21.5-3000</f>
        <v>4159.5</v>
      </c>
      <c r="H1230" s="36">
        <v>1861</v>
      </c>
      <c r="I1230" s="36">
        <v>1240</v>
      </c>
      <c r="J1230" s="36">
        <v>500</v>
      </c>
      <c r="K1230" s="36">
        <f t="shared" ref="K1230:K1261" si="192">SUM(G1230:J1230)</f>
        <v>7760.5</v>
      </c>
      <c r="L1230" s="36">
        <v>7000</v>
      </c>
      <c r="M1230" s="9">
        <f t="shared" ref="M1230:M1261" si="193">L1230/K1230</f>
        <v>0.90200373687262414</v>
      </c>
      <c r="N1230" s="5">
        <v>1</v>
      </c>
      <c r="O1230" s="10">
        <f t="shared" ref="O1230:O1261" si="194">N1230*M1230</f>
        <v>0.90200373687262414</v>
      </c>
    </row>
    <row r="1231" spans="1:15" ht="13.5" hidden="1" customHeight="1">
      <c r="B1231" s="33">
        <f>B1230+1</f>
        <v>2</v>
      </c>
      <c r="C1231" s="35" t="s">
        <v>264</v>
      </c>
      <c r="D1231" s="35" t="s">
        <v>267</v>
      </c>
      <c r="F1231" s="30" t="s">
        <v>213</v>
      </c>
      <c r="G1231" s="36">
        <f>333*21.5-3000</f>
        <v>4159.5</v>
      </c>
      <c r="H1231" s="36">
        <v>1861</v>
      </c>
      <c r="I1231" s="36">
        <v>1240</v>
      </c>
      <c r="J1231" s="36">
        <v>500</v>
      </c>
      <c r="K1231" s="36">
        <f t="shared" si="192"/>
        <v>7760.5</v>
      </c>
      <c r="L1231" s="36">
        <v>7000</v>
      </c>
      <c r="M1231" s="9">
        <f t="shared" si="193"/>
        <v>0.90200373687262414</v>
      </c>
      <c r="N1231" s="5">
        <v>1</v>
      </c>
      <c r="O1231" s="10">
        <f t="shared" si="194"/>
        <v>0.90200373687262414</v>
      </c>
    </row>
    <row r="1232" spans="1:15" ht="13.5" hidden="1" customHeight="1">
      <c r="B1232" s="33">
        <f t="shared" ref="B1232:B1287" si="195">B1231+1</f>
        <v>3</v>
      </c>
      <c r="C1232" s="35" t="s">
        <v>251</v>
      </c>
      <c r="D1232" s="35" t="s">
        <v>312</v>
      </c>
      <c r="E1232" s="1" t="s">
        <v>126</v>
      </c>
      <c r="F1232" s="30" t="s">
        <v>140</v>
      </c>
      <c r="G1232" s="36">
        <f>333*18-3000</f>
        <v>2994</v>
      </c>
      <c r="H1232" s="36">
        <v>1861</v>
      </c>
      <c r="I1232" s="36">
        <v>1240</v>
      </c>
      <c r="J1232" s="36">
        <v>500</v>
      </c>
      <c r="K1232" s="36">
        <f t="shared" si="192"/>
        <v>6595</v>
      </c>
      <c r="L1232" s="36">
        <v>7000</v>
      </c>
      <c r="M1232" s="9">
        <f t="shared" si="193"/>
        <v>1.0614101592115239</v>
      </c>
      <c r="N1232" s="5">
        <v>1</v>
      </c>
      <c r="O1232" s="10">
        <f t="shared" si="194"/>
        <v>1.0614101592115239</v>
      </c>
    </row>
    <row r="1233" spans="2:15" ht="13.5" hidden="1" customHeight="1">
      <c r="B1233" s="33">
        <f t="shared" si="195"/>
        <v>4</v>
      </c>
      <c r="C1233" s="35" t="s">
        <v>239</v>
      </c>
      <c r="D1233" s="35" t="s">
        <v>296</v>
      </c>
      <c r="E1233" s="1" t="s">
        <v>124</v>
      </c>
      <c r="F1233" s="30" t="s">
        <v>330</v>
      </c>
      <c r="G1233" s="36">
        <f>350*21.5</f>
        <v>7525</v>
      </c>
      <c r="H1233" s="36">
        <v>1861</v>
      </c>
      <c r="I1233" s="36">
        <v>1240</v>
      </c>
      <c r="J1233" s="36">
        <v>500</v>
      </c>
      <c r="K1233" s="36">
        <f t="shared" si="192"/>
        <v>11126</v>
      </c>
      <c r="L1233" s="36">
        <v>7000</v>
      </c>
      <c r="M1233" s="9">
        <f t="shared" si="193"/>
        <v>0.62915692971418302</v>
      </c>
      <c r="N1233" s="5">
        <v>1</v>
      </c>
      <c r="O1233" s="10">
        <f t="shared" si="194"/>
        <v>0.62915692971418302</v>
      </c>
    </row>
    <row r="1234" spans="2:15" ht="13.5" hidden="1" customHeight="1">
      <c r="B1234" s="33">
        <f t="shared" si="195"/>
        <v>5</v>
      </c>
      <c r="C1234" s="35" t="s">
        <v>256</v>
      </c>
      <c r="D1234" s="35" t="s">
        <v>317</v>
      </c>
      <c r="E1234" s="1" t="s">
        <v>126</v>
      </c>
      <c r="F1234" s="30" t="s">
        <v>330</v>
      </c>
      <c r="G1234" s="36">
        <f>350*21.5-3000</f>
        <v>4525</v>
      </c>
      <c r="H1234" s="36">
        <v>1861</v>
      </c>
      <c r="I1234" s="36">
        <v>1240</v>
      </c>
      <c r="J1234" s="36">
        <v>500</v>
      </c>
      <c r="K1234" s="36">
        <f t="shared" si="192"/>
        <v>8126</v>
      </c>
      <c r="L1234" s="36">
        <v>7000</v>
      </c>
      <c r="M1234" s="9">
        <f t="shared" si="193"/>
        <v>0.86143243908442035</v>
      </c>
      <c r="N1234" s="5">
        <v>1</v>
      </c>
      <c r="O1234" s="10">
        <f t="shared" si="194"/>
        <v>0.86143243908442035</v>
      </c>
    </row>
    <row r="1235" spans="2:15" ht="13.5" hidden="1" customHeight="1">
      <c r="B1235" s="33">
        <f t="shared" si="195"/>
        <v>6</v>
      </c>
      <c r="C1235" s="35" t="s">
        <v>262</v>
      </c>
      <c r="D1235" s="35" t="s">
        <v>323</v>
      </c>
      <c r="E1235" s="1" t="s">
        <v>122</v>
      </c>
      <c r="F1235" s="30" t="s">
        <v>34</v>
      </c>
      <c r="G1235" s="36">
        <f>350*9</f>
        <v>3150</v>
      </c>
      <c r="H1235" s="36">
        <v>1861</v>
      </c>
      <c r="I1235" s="36">
        <v>1240</v>
      </c>
      <c r="J1235" s="36">
        <v>500</v>
      </c>
      <c r="K1235" s="36">
        <f t="shared" si="192"/>
        <v>6751</v>
      </c>
      <c r="L1235" s="36">
        <v>7000</v>
      </c>
      <c r="M1235" s="9">
        <f t="shared" si="193"/>
        <v>1.0368834246778256</v>
      </c>
      <c r="N1235" s="5">
        <v>1</v>
      </c>
      <c r="O1235" s="10">
        <f t="shared" si="194"/>
        <v>1.0368834246778256</v>
      </c>
    </row>
    <row r="1236" spans="2:15" ht="13.5" hidden="1" customHeight="1">
      <c r="B1236" s="33">
        <f t="shared" si="195"/>
        <v>7</v>
      </c>
      <c r="C1236" s="35" t="s">
        <v>265</v>
      </c>
      <c r="D1236" s="35" t="s">
        <v>325</v>
      </c>
      <c r="E1236" s="1" t="s">
        <v>268</v>
      </c>
      <c r="F1236" s="30" t="s">
        <v>34</v>
      </c>
      <c r="G1236" s="36">
        <f>350*9</f>
        <v>3150</v>
      </c>
      <c r="H1236" s="36">
        <v>1861</v>
      </c>
      <c r="I1236" s="36">
        <v>1240</v>
      </c>
      <c r="J1236" s="36">
        <v>500</v>
      </c>
      <c r="K1236" s="36">
        <f t="shared" si="192"/>
        <v>6751</v>
      </c>
      <c r="L1236" s="36">
        <v>7000</v>
      </c>
      <c r="M1236" s="9">
        <f t="shared" si="193"/>
        <v>1.0368834246778256</v>
      </c>
      <c r="N1236" s="5">
        <v>1</v>
      </c>
      <c r="O1236" s="10">
        <f t="shared" si="194"/>
        <v>1.0368834246778256</v>
      </c>
    </row>
    <row r="1237" spans="2:15" ht="13.5" hidden="1" customHeight="1">
      <c r="B1237" s="33">
        <f t="shared" si="195"/>
        <v>8</v>
      </c>
      <c r="C1237" s="35" t="s">
        <v>248</v>
      </c>
      <c r="D1237" s="35" t="s">
        <v>308</v>
      </c>
      <c r="E1237" s="1" t="s">
        <v>192</v>
      </c>
      <c r="F1237" s="30" t="s">
        <v>29</v>
      </c>
      <c r="G1237" s="36">
        <f>350*18-3000</f>
        <v>3300</v>
      </c>
      <c r="H1237" s="36">
        <v>1861</v>
      </c>
      <c r="I1237" s="36">
        <v>1240</v>
      </c>
      <c r="J1237" s="36">
        <v>500</v>
      </c>
      <c r="K1237" s="36">
        <f t="shared" si="192"/>
        <v>6901</v>
      </c>
      <c r="L1237" s="36">
        <v>7000</v>
      </c>
      <c r="M1237" s="9">
        <f t="shared" si="193"/>
        <v>1.0143457469931894</v>
      </c>
      <c r="N1237" s="5">
        <v>1</v>
      </c>
      <c r="O1237" s="10">
        <f t="shared" si="194"/>
        <v>1.0143457469931894</v>
      </c>
    </row>
    <row r="1238" spans="2:15" ht="13.5" hidden="1" customHeight="1">
      <c r="B1238" s="33">
        <f t="shared" si="195"/>
        <v>9</v>
      </c>
      <c r="C1238" s="35" t="s">
        <v>236</v>
      </c>
      <c r="D1238" s="35" t="s">
        <v>293</v>
      </c>
      <c r="E1238" s="1" t="s">
        <v>192</v>
      </c>
      <c r="F1238" s="30" t="s">
        <v>23</v>
      </c>
      <c r="G1238" s="36">
        <f>450*12-3000</f>
        <v>2400</v>
      </c>
      <c r="H1238" s="36">
        <v>1861</v>
      </c>
      <c r="I1238" s="36">
        <v>1240</v>
      </c>
      <c r="J1238" s="36">
        <v>500</v>
      </c>
      <c r="K1238" s="36">
        <f t="shared" si="192"/>
        <v>6001</v>
      </c>
      <c r="L1238" s="36">
        <v>7000</v>
      </c>
      <c r="M1238" s="9">
        <f t="shared" si="193"/>
        <v>1.1664722546242292</v>
      </c>
      <c r="N1238" s="5">
        <v>1</v>
      </c>
      <c r="O1238" s="10">
        <f t="shared" si="194"/>
        <v>1.1664722546242292</v>
      </c>
    </row>
    <row r="1239" spans="2:15" ht="13.5" hidden="1" customHeight="1">
      <c r="B1239" s="33">
        <f t="shared" si="195"/>
        <v>10</v>
      </c>
      <c r="C1239" s="35" t="s">
        <v>257</v>
      </c>
      <c r="D1239" s="35" t="s">
        <v>319</v>
      </c>
      <c r="E1239" s="1" t="s">
        <v>186</v>
      </c>
      <c r="F1239" s="30" t="s">
        <v>23</v>
      </c>
      <c r="G1239" s="36">
        <f>450*12</f>
        <v>5400</v>
      </c>
      <c r="H1239" s="36">
        <v>1861</v>
      </c>
      <c r="I1239" s="36">
        <v>1240</v>
      </c>
      <c r="J1239" s="36">
        <v>500</v>
      </c>
      <c r="K1239" s="36">
        <f t="shared" si="192"/>
        <v>9001</v>
      </c>
      <c r="L1239" s="36">
        <v>7000</v>
      </c>
      <c r="M1239" s="9">
        <f t="shared" si="193"/>
        <v>0.77769136762581936</v>
      </c>
      <c r="N1239" s="5">
        <v>1</v>
      </c>
      <c r="O1239" s="10">
        <f t="shared" si="194"/>
        <v>0.77769136762581936</v>
      </c>
    </row>
    <row r="1240" spans="2:15" ht="13.5" hidden="1" customHeight="1">
      <c r="B1240" s="33">
        <f t="shared" si="195"/>
        <v>11</v>
      </c>
      <c r="C1240" s="35" t="s">
        <v>218</v>
      </c>
      <c r="D1240" s="35" t="s">
        <v>271</v>
      </c>
      <c r="E1240" s="1" t="s">
        <v>47</v>
      </c>
      <c r="F1240" s="30" t="s">
        <v>41</v>
      </c>
      <c r="G1240" s="36">
        <f>333*15.5</f>
        <v>5161.5</v>
      </c>
      <c r="H1240" s="36">
        <v>1861</v>
      </c>
      <c r="I1240" s="36">
        <v>1240</v>
      </c>
      <c r="J1240" s="36">
        <v>500</v>
      </c>
      <c r="K1240" s="36">
        <f t="shared" si="192"/>
        <v>8762.5</v>
      </c>
      <c r="L1240" s="36">
        <v>7000</v>
      </c>
      <c r="M1240" s="9">
        <f t="shared" si="193"/>
        <v>0.79885877318116971</v>
      </c>
      <c r="N1240" s="5">
        <v>1</v>
      </c>
      <c r="O1240" s="10">
        <f t="shared" si="194"/>
        <v>0.79885877318116971</v>
      </c>
    </row>
    <row r="1241" spans="2:15" ht="13.5" hidden="1" customHeight="1">
      <c r="B1241" s="33">
        <f t="shared" si="195"/>
        <v>12</v>
      </c>
      <c r="C1241" s="35" t="s">
        <v>235</v>
      </c>
      <c r="D1241" s="35" t="s">
        <v>292</v>
      </c>
      <c r="E1241" s="1" t="s">
        <v>192</v>
      </c>
      <c r="F1241" s="30" t="s">
        <v>41</v>
      </c>
      <c r="G1241" s="36">
        <f>333*18.5-3000</f>
        <v>3160.5</v>
      </c>
      <c r="H1241" s="36">
        <v>1861</v>
      </c>
      <c r="I1241" s="36">
        <v>1240</v>
      </c>
      <c r="J1241" s="36">
        <v>500</v>
      </c>
      <c r="K1241" s="36">
        <f t="shared" si="192"/>
        <v>6761.5</v>
      </c>
      <c r="L1241" s="36">
        <v>7000</v>
      </c>
      <c r="M1241" s="9">
        <f t="shared" si="193"/>
        <v>1.0352732381867928</v>
      </c>
      <c r="N1241" s="5">
        <v>1</v>
      </c>
      <c r="O1241" s="10">
        <f t="shared" si="194"/>
        <v>1.0352732381867928</v>
      </c>
    </row>
    <row r="1242" spans="2:15" ht="13.5" hidden="1" customHeight="1">
      <c r="B1242" s="33">
        <f t="shared" si="195"/>
        <v>13</v>
      </c>
      <c r="C1242" s="35" t="s">
        <v>266</v>
      </c>
      <c r="D1242" s="35" t="s">
        <v>326</v>
      </c>
      <c r="E1242" s="1" t="s">
        <v>126</v>
      </c>
      <c r="F1242" s="30" t="s">
        <v>41</v>
      </c>
      <c r="G1242" s="36">
        <f>333*21-3000</f>
        <v>3993</v>
      </c>
      <c r="H1242" s="36">
        <v>1861</v>
      </c>
      <c r="I1242" s="36">
        <v>1240</v>
      </c>
      <c r="J1242" s="36">
        <v>500</v>
      </c>
      <c r="K1242" s="36">
        <f t="shared" si="192"/>
        <v>7594</v>
      </c>
      <c r="L1242" s="36">
        <v>7000</v>
      </c>
      <c r="M1242" s="9">
        <f t="shared" si="193"/>
        <v>0.92178035291019222</v>
      </c>
      <c r="N1242" s="5">
        <v>1</v>
      </c>
      <c r="O1242" s="10">
        <f t="shared" si="194"/>
        <v>0.92178035291019222</v>
      </c>
    </row>
    <row r="1243" spans="2:15" ht="13.5" hidden="1" customHeight="1">
      <c r="B1243" s="33">
        <f t="shared" si="195"/>
        <v>14</v>
      </c>
      <c r="C1243" s="35" t="s">
        <v>225</v>
      </c>
      <c r="D1243" s="35" t="s">
        <v>279</v>
      </c>
      <c r="E1243" s="1" t="s">
        <v>47</v>
      </c>
      <c r="F1243" s="30" t="s">
        <v>42</v>
      </c>
      <c r="G1243" s="36">
        <f>333*20</f>
        <v>6660</v>
      </c>
      <c r="H1243" s="36">
        <v>1861</v>
      </c>
      <c r="I1243" s="36">
        <v>1240</v>
      </c>
      <c r="J1243" s="36">
        <v>500</v>
      </c>
      <c r="K1243" s="36">
        <f t="shared" si="192"/>
        <v>10261</v>
      </c>
      <c r="L1243" s="36">
        <v>7000</v>
      </c>
      <c r="M1243" s="9">
        <f t="shared" si="193"/>
        <v>0.68219471786375596</v>
      </c>
      <c r="N1243" s="5">
        <v>1</v>
      </c>
      <c r="O1243" s="10">
        <f t="shared" si="194"/>
        <v>0.68219471786375596</v>
      </c>
    </row>
    <row r="1244" spans="2:15" ht="13.5" hidden="1" customHeight="1">
      <c r="B1244" s="33">
        <f t="shared" si="195"/>
        <v>15</v>
      </c>
      <c r="C1244" s="35" t="s">
        <v>237</v>
      </c>
      <c r="D1244" s="35" t="s">
        <v>294</v>
      </c>
      <c r="E1244" s="1" t="s">
        <v>189</v>
      </c>
      <c r="F1244" s="30" t="s">
        <v>42</v>
      </c>
      <c r="G1244" s="36">
        <f>333*20</f>
        <v>6660</v>
      </c>
      <c r="H1244" s="36">
        <v>1861</v>
      </c>
      <c r="I1244" s="36">
        <v>1240</v>
      </c>
      <c r="J1244" s="36">
        <v>500</v>
      </c>
      <c r="K1244" s="36">
        <f t="shared" si="192"/>
        <v>10261</v>
      </c>
      <c r="L1244" s="36">
        <v>7000</v>
      </c>
      <c r="M1244" s="9">
        <f t="shared" si="193"/>
        <v>0.68219471786375596</v>
      </c>
      <c r="N1244" s="5">
        <v>1</v>
      </c>
      <c r="O1244" s="10">
        <f t="shared" si="194"/>
        <v>0.68219471786375596</v>
      </c>
    </row>
    <row r="1245" spans="2:15" ht="13.5" hidden="1" customHeight="1">
      <c r="B1245" s="33">
        <f t="shared" si="195"/>
        <v>16</v>
      </c>
      <c r="C1245" s="35" t="s">
        <v>241</v>
      </c>
      <c r="D1245" s="35" t="s">
        <v>299</v>
      </c>
      <c r="E1245" s="1" t="s">
        <v>187</v>
      </c>
      <c r="F1245" s="30" t="s">
        <v>42</v>
      </c>
      <c r="G1245" s="36">
        <f>333*20</f>
        <v>6660</v>
      </c>
      <c r="H1245" s="36">
        <v>1861</v>
      </c>
      <c r="I1245" s="36">
        <v>1240</v>
      </c>
      <c r="J1245" s="36">
        <v>500</v>
      </c>
      <c r="K1245" s="36">
        <f t="shared" si="192"/>
        <v>10261</v>
      </c>
      <c r="L1245" s="36">
        <v>7000</v>
      </c>
      <c r="M1245" s="9">
        <f t="shared" si="193"/>
        <v>0.68219471786375596</v>
      </c>
      <c r="N1245" s="5">
        <v>1</v>
      </c>
      <c r="O1245" s="10">
        <f t="shared" si="194"/>
        <v>0.68219471786375596</v>
      </c>
    </row>
    <row r="1246" spans="2:15" ht="13.5" hidden="1" customHeight="1">
      <c r="B1246" s="33">
        <f t="shared" si="195"/>
        <v>17</v>
      </c>
      <c r="C1246" s="35" t="s">
        <v>243</v>
      </c>
      <c r="D1246" s="35" t="s">
        <v>302</v>
      </c>
      <c r="E1246" s="1" t="s">
        <v>47</v>
      </c>
      <c r="F1246" s="30" t="s">
        <v>42</v>
      </c>
      <c r="G1246" s="36">
        <f>333*20</f>
        <v>6660</v>
      </c>
      <c r="H1246" s="36">
        <v>1861</v>
      </c>
      <c r="I1246" s="36">
        <v>1240</v>
      </c>
      <c r="J1246" s="36">
        <v>500</v>
      </c>
      <c r="K1246" s="36">
        <f t="shared" si="192"/>
        <v>10261</v>
      </c>
      <c r="L1246" s="36">
        <v>7000</v>
      </c>
      <c r="M1246" s="9">
        <f t="shared" si="193"/>
        <v>0.68219471786375596</v>
      </c>
      <c r="N1246" s="5">
        <v>1</v>
      </c>
      <c r="O1246" s="10">
        <f t="shared" si="194"/>
        <v>0.68219471786375596</v>
      </c>
    </row>
    <row r="1247" spans="2:15" ht="13.5" hidden="1" customHeight="1">
      <c r="B1247" s="33">
        <f t="shared" si="195"/>
        <v>18</v>
      </c>
      <c r="C1247" s="35" t="s">
        <v>263</v>
      </c>
      <c r="D1247" s="35" t="s">
        <v>324</v>
      </c>
      <c r="E1247" s="1" t="s">
        <v>192</v>
      </c>
      <c r="F1247" s="30" t="s">
        <v>42</v>
      </c>
      <c r="G1247" s="36">
        <f>333*20-3000</f>
        <v>3660</v>
      </c>
      <c r="H1247" s="36">
        <v>1861</v>
      </c>
      <c r="I1247" s="36">
        <v>1240</v>
      </c>
      <c r="J1247" s="36">
        <v>500</v>
      </c>
      <c r="K1247" s="36">
        <f t="shared" si="192"/>
        <v>7261</v>
      </c>
      <c r="L1247" s="36">
        <v>7000</v>
      </c>
      <c r="M1247" s="9">
        <f t="shared" si="193"/>
        <v>0.96405453794243212</v>
      </c>
      <c r="N1247" s="5">
        <v>1</v>
      </c>
      <c r="O1247" s="10">
        <f t="shared" si="194"/>
        <v>0.96405453794243212</v>
      </c>
    </row>
    <row r="1248" spans="2:15" ht="13.5" hidden="1" customHeight="1">
      <c r="B1248" s="33">
        <f t="shared" si="195"/>
        <v>19</v>
      </c>
      <c r="C1248" s="35" t="s">
        <v>221</v>
      </c>
      <c r="D1248" s="35" t="s">
        <v>274</v>
      </c>
      <c r="E1248" s="1" t="s">
        <v>128</v>
      </c>
      <c r="F1248" s="30" t="s">
        <v>25</v>
      </c>
      <c r="G1248" s="36">
        <f>333*21</f>
        <v>6993</v>
      </c>
      <c r="H1248" s="36">
        <v>1861</v>
      </c>
      <c r="I1248" s="36">
        <v>1240</v>
      </c>
      <c r="J1248" s="36">
        <v>500</v>
      </c>
      <c r="K1248" s="36">
        <f t="shared" si="192"/>
        <v>10594</v>
      </c>
      <c r="L1248" s="36">
        <v>7000</v>
      </c>
      <c r="M1248" s="9">
        <f t="shared" si="193"/>
        <v>0.66075136869926376</v>
      </c>
      <c r="N1248" s="5">
        <v>1</v>
      </c>
      <c r="O1248" s="10">
        <f t="shared" si="194"/>
        <v>0.66075136869926376</v>
      </c>
    </row>
    <row r="1249" spans="2:15" ht="13.5" hidden="1" customHeight="1">
      <c r="B1249" s="33">
        <f t="shared" si="195"/>
        <v>20</v>
      </c>
      <c r="C1249" s="25" t="s">
        <v>229</v>
      </c>
      <c r="D1249" s="25" t="s">
        <v>284</v>
      </c>
      <c r="E1249" s="1" t="s">
        <v>126</v>
      </c>
      <c r="F1249" s="30" t="s">
        <v>25</v>
      </c>
      <c r="G1249" s="36">
        <f>333*21</f>
        <v>6993</v>
      </c>
      <c r="H1249" s="36">
        <v>1861</v>
      </c>
      <c r="I1249" s="36">
        <v>1240</v>
      </c>
      <c r="J1249" s="36">
        <v>500</v>
      </c>
      <c r="K1249" s="36">
        <f t="shared" si="192"/>
        <v>10594</v>
      </c>
      <c r="L1249" s="36">
        <v>7000</v>
      </c>
      <c r="M1249" s="9">
        <f t="shared" si="193"/>
        <v>0.66075136869926376</v>
      </c>
      <c r="N1249" s="5">
        <v>1</v>
      </c>
      <c r="O1249" s="10">
        <f t="shared" si="194"/>
        <v>0.66075136869926376</v>
      </c>
    </row>
    <row r="1250" spans="2:15" ht="13.5" hidden="1" customHeight="1">
      <c r="B1250" s="33">
        <f t="shared" si="195"/>
        <v>21</v>
      </c>
      <c r="C1250" s="35" t="s">
        <v>240</v>
      </c>
      <c r="D1250" s="35" t="s">
        <v>297</v>
      </c>
      <c r="E1250" s="1" t="s">
        <v>189</v>
      </c>
      <c r="F1250" s="30" t="s">
        <v>25</v>
      </c>
      <c r="G1250" s="36">
        <f>333*18</f>
        <v>5994</v>
      </c>
      <c r="H1250" s="36">
        <v>1861</v>
      </c>
      <c r="I1250" s="36">
        <v>1240</v>
      </c>
      <c r="J1250" s="36">
        <v>500</v>
      </c>
      <c r="K1250" s="36">
        <f t="shared" si="192"/>
        <v>9595</v>
      </c>
      <c r="L1250" s="36">
        <v>7000</v>
      </c>
      <c r="M1250" s="9">
        <f t="shared" si="193"/>
        <v>0.72954663887441373</v>
      </c>
      <c r="N1250" s="5">
        <v>1</v>
      </c>
      <c r="O1250" s="10">
        <f t="shared" si="194"/>
        <v>0.72954663887441373</v>
      </c>
    </row>
    <row r="1251" spans="2:15" ht="13.5" hidden="1" customHeight="1">
      <c r="B1251" s="33">
        <f t="shared" si="195"/>
        <v>22</v>
      </c>
      <c r="C1251" s="35" t="s">
        <v>249</v>
      </c>
      <c r="D1251" s="35" t="s">
        <v>310</v>
      </c>
      <c r="E1251" s="1" t="s">
        <v>123</v>
      </c>
      <c r="F1251" s="30" t="s">
        <v>159</v>
      </c>
      <c r="G1251" s="36">
        <f>333*19-3000</f>
        <v>3327</v>
      </c>
      <c r="H1251" s="36">
        <v>1861</v>
      </c>
      <c r="I1251" s="36">
        <v>1240</v>
      </c>
      <c r="J1251" s="36">
        <v>900</v>
      </c>
      <c r="K1251" s="36">
        <f t="shared" si="192"/>
        <v>7328</v>
      </c>
      <c r="L1251" s="36">
        <v>7000</v>
      </c>
      <c r="M1251" s="9">
        <f t="shared" si="193"/>
        <v>0.95524017467248912</v>
      </c>
      <c r="N1251" s="5">
        <v>1</v>
      </c>
      <c r="O1251" s="10">
        <f t="shared" si="194"/>
        <v>0.95524017467248912</v>
      </c>
    </row>
    <row r="1252" spans="2:15" ht="13.5" hidden="1" customHeight="1">
      <c r="B1252" s="33">
        <f t="shared" si="195"/>
        <v>23</v>
      </c>
      <c r="C1252" s="35" t="s">
        <v>234</v>
      </c>
      <c r="D1252" s="35" t="s">
        <v>291</v>
      </c>
      <c r="E1252" s="1" t="s">
        <v>122</v>
      </c>
      <c r="F1252" s="30" t="s">
        <v>36</v>
      </c>
      <c r="G1252" s="36">
        <f>333*21.5</f>
        <v>7159.5</v>
      </c>
      <c r="H1252" s="36">
        <v>1861</v>
      </c>
      <c r="I1252" s="36">
        <v>1240</v>
      </c>
      <c r="J1252" s="36">
        <v>500</v>
      </c>
      <c r="K1252" s="36">
        <f t="shared" si="192"/>
        <v>10760.5</v>
      </c>
      <c r="L1252" s="36">
        <v>7000</v>
      </c>
      <c r="M1252" s="9">
        <f t="shared" si="193"/>
        <v>0.65052739184982111</v>
      </c>
      <c r="N1252" s="5">
        <v>1</v>
      </c>
      <c r="O1252" s="10">
        <f t="shared" si="194"/>
        <v>0.65052739184982111</v>
      </c>
    </row>
    <row r="1253" spans="2:15" ht="13.5" hidden="1" customHeight="1">
      <c r="B1253" s="33">
        <f t="shared" si="195"/>
        <v>24</v>
      </c>
      <c r="C1253" s="35" t="s">
        <v>253</v>
      </c>
      <c r="D1253" s="35" t="s">
        <v>314</v>
      </c>
      <c r="E1253" s="1" t="s">
        <v>122</v>
      </c>
      <c r="F1253" s="30" t="s">
        <v>216</v>
      </c>
      <c r="G1253" s="36">
        <f>333*18-3000</f>
        <v>2994</v>
      </c>
      <c r="H1253" s="36">
        <v>1861</v>
      </c>
      <c r="I1253" s="36">
        <v>1240</v>
      </c>
      <c r="J1253" s="36">
        <v>500</v>
      </c>
      <c r="K1253" s="36">
        <f t="shared" si="192"/>
        <v>6595</v>
      </c>
      <c r="L1253" s="36">
        <v>7000</v>
      </c>
      <c r="M1253" s="9">
        <f t="shared" si="193"/>
        <v>1.0614101592115239</v>
      </c>
      <c r="N1253" s="5">
        <v>1</v>
      </c>
      <c r="O1253" s="10">
        <f t="shared" si="194"/>
        <v>1.0614101592115239</v>
      </c>
    </row>
    <row r="1254" spans="2:15" ht="13.5" hidden="1" customHeight="1">
      <c r="B1254" s="33">
        <f t="shared" si="195"/>
        <v>25</v>
      </c>
      <c r="C1254" s="35" t="s">
        <v>224</v>
      </c>
      <c r="D1254" s="35" t="s">
        <v>278</v>
      </c>
      <c r="E1254" s="1" t="s">
        <v>187</v>
      </c>
      <c r="F1254" s="30" t="s">
        <v>214</v>
      </c>
      <c r="G1254" s="36">
        <f t="shared" ref="G1254:G1259" si="196">333*18.5</f>
        <v>6160.5</v>
      </c>
      <c r="H1254" s="36">
        <v>1861</v>
      </c>
      <c r="I1254" s="36">
        <v>1240</v>
      </c>
      <c r="J1254" s="36">
        <v>750</v>
      </c>
      <c r="K1254" s="36">
        <f t="shared" si="192"/>
        <v>10011.5</v>
      </c>
      <c r="L1254" s="36">
        <v>7000</v>
      </c>
      <c r="M1254" s="9">
        <f t="shared" si="193"/>
        <v>0.6991959246866104</v>
      </c>
      <c r="N1254" s="5">
        <v>1</v>
      </c>
      <c r="O1254" s="10">
        <f t="shared" si="194"/>
        <v>0.6991959246866104</v>
      </c>
    </row>
    <row r="1255" spans="2:15" ht="13.5" hidden="1" customHeight="1">
      <c r="B1255" s="33">
        <f t="shared" si="195"/>
        <v>26</v>
      </c>
      <c r="C1255" s="25" t="s">
        <v>51</v>
      </c>
      <c r="D1255" s="25" t="s">
        <v>285</v>
      </c>
      <c r="E1255" s="1" t="s">
        <v>192</v>
      </c>
      <c r="F1255" s="30" t="s">
        <v>214</v>
      </c>
      <c r="G1255" s="36">
        <f t="shared" si="196"/>
        <v>6160.5</v>
      </c>
      <c r="H1255" s="36">
        <v>1861</v>
      </c>
      <c r="I1255" s="36">
        <v>1240</v>
      </c>
      <c r="J1255" s="36">
        <v>750</v>
      </c>
      <c r="K1255" s="36">
        <f t="shared" si="192"/>
        <v>10011.5</v>
      </c>
      <c r="L1255" s="36">
        <v>7000</v>
      </c>
      <c r="M1255" s="9">
        <f t="shared" si="193"/>
        <v>0.6991959246866104</v>
      </c>
      <c r="N1255" s="5">
        <v>1</v>
      </c>
      <c r="O1255" s="10">
        <f t="shared" si="194"/>
        <v>0.6991959246866104</v>
      </c>
    </row>
    <row r="1256" spans="2:15" ht="13.5" hidden="1" customHeight="1">
      <c r="B1256" s="33">
        <f t="shared" si="195"/>
        <v>27</v>
      </c>
      <c r="C1256" s="25" t="s">
        <v>53</v>
      </c>
      <c r="D1256" s="25" t="s">
        <v>286</v>
      </c>
      <c r="E1256" s="1" t="s">
        <v>123</v>
      </c>
      <c r="F1256" s="30" t="s">
        <v>329</v>
      </c>
      <c r="G1256" s="36">
        <f t="shared" si="196"/>
        <v>6160.5</v>
      </c>
      <c r="H1256" s="36">
        <v>1861</v>
      </c>
      <c r="I1256" s="36">
        <v>1240</v>
      </c>
      <c r="J1256" s="36">
        <v>750</v>
      </c>
      <c r="K1256" s="36">
        <f t="shared" si="192"/>
        <v>10011.5</v>
      </c>
      <c r="L1256" s="36">
        <v>7000</v>
      </c>
      <c r="M1256" s="9">
        <f t="shared" si="193"/>
        <v>0.6991959246866104</v>
      </c>
      <c r="N1256" s="5">
        <v>1</v>
      </c>
      <c r="O1256" s="10">
        <f t="shared" si="194"/>
        <v>0.6991959246866104</v>
      </c>
    </row>
    <row r="1257" spans="2:15" ht="13.5" hidden="1" customHeight="1">
      <c r="B1257" s="33">
        <f t="shared" si="195"/>
        <v>28</v>
      </c>
      <c r="C1257" s="35" t="s">
        <v>258</v>
      </c>
      <c r="D1257" s="35" t="s">
        <v>402</v>
      </c>
      <c r="E1257" s="1" t="s">
        <v>126</v>
      </c>
      <c r="F1257" s="30" t="s">
        <v>214</v>
      </c>
      <c r="G1257" s="36">
        <f>333*18.5-3000</f>
        <v>3160.5</v>
      </c>
      <c r="H1257" s="36">
        <v>1861</v>
      </c>
      <c r="I1257" s="36">
        <v>1240</v>
      </c>
      <c r="J1257" s="36">
        <v>750</v>
      </c>
      <c r="K1257" s="36">
        <f t="shared" si="192"/>
        <v>7011.5</v>
      </c>
      <c r="L1257" s="36">
        <v>7000</v>
      </c>
      <c r="M1257" s="9">
        <f t="shared" si="193"/>
        <v>0.99835983740996936</v>
      </c>
      <c r="N1257" s="5">
        <v>1</v>
      </c>
      <c r="O1257" s="10">
        <f t="shared" si="194"/>
        <v>0.99835983740996936</v>
      </c>
    </row>
    <row r="1258" spans="2:15" ht="13.5" hidden="1" customHeight="1">
      <c r="B1258" s="33">
        <f t="shared" si="195"/>
        <v>29</v>
      </c>
      <c r="C1258" s="35" t="s">
        <v>259</v>
      </c>
      <c r="D1258" s="35" t="s">
        <v>320</v>
      </c>
      <c r="E1258" s="1" t="s">
        <v>124</v>
      </c>
      <c r="F1258" s="30" t="s">
        <v>214</v>
      </c>
      <c r="G1258" s="36">
        <f t="shared" si="196"/>
        <v>6160.5</v>
      </c>
      <c r="H1258" s="36">
        <v>1861</v>
      </c>
      <c r="I1258" s="36">
        <v>1240</v>
      </c>
      <c r="J1258" s="36">
        <v>750</v>
      </c>
      <c r="K1258" s="36">
        <f t="shared" si="192"/>
        <v>10011.5</v>
      </c>
      <c r="L1258" s="36">
        <v>7000</v>
      </c>
      <c r="M1258" s="9">
        <f t="shared" si="193"/>
        <v>0.6991959246866104</v>
      </c>
      <c r="N1258" s="5">
        <v>1</v>
      </c>
      <c r="O1258" s="10">
        <f t="shared" si="194"/>
        <v>0.6991959246866104</v>
      </c>
    </row>
    <row r="1259" spans="2:15" ht="13.5" hidden="1" customHeight="1">
      <c r="B1259" s="33">
        <f t="shared" si="195"/>
        <v>30</v>
      </c>
      <c r="C1259" s="35" t="s">
        <v>260</v>
      </c>
      <c r="D1259" s="35" t="s">
        <v>321</v>
      </c>
      <c r="E1259" s="1" t="s">
        <v>124</v>
      </c>
      <c r="F1259" s="30" t="s">
        <v>214</v>
      </c>
      <c r="G1259" s="36">
        <f t="shared" si="196"/>
        <v>6160.5</v>
      </c>
      <c r="H1259" s="36">
        <v>1861</v>
      </c>
      <c r="I1259" s="36">
        <v>1240</v>
      </c>
      <c r="J1259" s="36">
        <v>750</v>
      </c>
      <c r="K1259" s="36">
        <f t="shared" si="192"/>
        <v>10011.5</v>
      </c>
      <c r="L1259" s="36">
        <v>7000</v>
      </c>
      <c r="M1259" s="9">
        <f t="shared" si="193"/>
        <v>0.6991959246866104</v>
      </c>
      <c r="N1259" s="5">
        <v>1</v>
      </c>
      <c r="O1259" s="10">
        <f t="shared" si="194"/>
        <v>0.6991959246866104</v>
      </c>
    </row>
    <row r="1260" spans="2:15" ht="13.5" hidden="1" customHeight="1">
      <c r="B1260" s="33">
        <f t="shared" si="195"/>
        <v>31</v>
      </c>
      <c r="C1260" s="35" t="s">
        <v>227</v>
      </c>
      <c r="D1260" s="35" t="s">
        <v>281</v>
      </c>
      <c r="E1260" s="1" t="s">
        <v>122</v>
      </c>
      <c r="F1260" s="30" t="s">
        <v>327</v>
      </c>
      <c r="G1260" s="36">
        <f>333*21</f>
        <v>6993</v>
      </c>
      <c r="H1260" s="36">
        <v>1861</v>
      </c>
      <c r="I1260" s="36">
        <v>1240</v>
      </c>
      <c r="J1260" s="36">
        <v>750</v>
      </c>
      <c r="K1260" s="36">
        <f t="shared" si="192"/>
        <v>10844</v>
      </c>
      <c r="L1260" s="36">
        <v>7000</v>
      </c>
      <c r="M1260" s="9">
        <f t="shared" si="193"/>
        <v>0.64551825894503878</v>
      </c>
      <c r="N1260" s="5">
        <v>1</v>
      </c>
      <c r="O1260" s="10">
        <f t="shared" si="194"/>
        <v>0.64551825894503878</v>
      </c>
    </row>
    <row r="1261" spans="2:15" ht="13.5" hidden="1" customHeight="1">
      <c r="B1261" s="33">
        <f t="shared" si="195"/>
        <v>32</v>
      </c>
      <c r="C1261" s="35" t="s">
        <v>232</v>
      </c>
      <c r="D1261" s="35" t="s">
        <v>289</v>
      </c>
      <c r="E1261" s="1" t="s">
        <v>122</v>
      </c>
      <c r="F1261" s="30" t="s">
        <v>327</v>
      </c>
      <c r="G1261" s="36">
        <f>333*21</f>
        <v>6993</v>
      </c>
      <c r="H1261" s="36">
        <v>1861</v>
      </c>
      <c r="I1261" s="36">
        <v>1240</v>
      </c>
      <c r="J1261" s="36">
        <v>750</v>
      </c>
      <c r="K1261" s="36">
        <f t="shared" si="192"/>
        <v>10844</v>
      </c>
      <c r="L1261" s="36">
        <v>7000</v>
      </c>
      <c r="M1261" s="9">
        <f t="shared" si="193"/>
        <v>0.64551825894503878</v>
      </c>
      <c r="N1261" s="5">
        <v>1</v>
      </c>
      <c r="O1261" s="10">
        <f t="shared" si="194"/>
        <v>0.64551825894503878</v>
      </c>
    </row>
    <row r="1262" spans="2:15" ht="13.5" hidden="1" customHeight="1">
      <c r="B1262" s="33">
        <f t="shared" si="195"/>
        <v>33</v>
      </c>
      <c r="C1262" s="35" t="s">
        <v>219</v>
      </c>
      <c r="D1262" s="35" t="s">
        <v>272</v>
      </c>
      <c r="E1262" s="1" t="s">
        <v>192</v>
      </c>
      <c r="F1262" s="30" t="s">
        <v>31</v>
      </c>
      <c r="G1262" s="36">
        <f>333*20.5</f>
        <v>6826.5</v>
      </c>
      <c r="H1262" s="36">
        <v>1861</v>
      </c>
      <c r="I1262" s="36">
        <v>1240</v>
      </c>
      <c r="J1262" s="36">
        <v>900</v>
      </c>
      <c r="K1262" s="36">
        <f t="shared" ref="K1262:K1287" si="197">SUM(G1262:J1262)</f>
        <v>10827.5</v>
      </c>
      <c r="L1262" s="36">
        <v>7000</v>
      </c>
      <c r="M1262" s="9">
        <f t="shared" ref="M1262:M1287" si="198">L1262/K1262</f>
        <v>0.64650196259524362</v>
      </c>
      <c r="N1262" s="5">
        <v>1</v>
      </c>
      <c r="O1262" s="10">
        <f t="shared" ref="O1262:O1287" si="199">N1262*M1262</f>
        <v>0.64650196259524362</v>
      </c>
    </row>
    <row r="1263" spans="2:15" ht="13.5" hidden="1" customHeight="1">
      <c r="B1263" s="33">
        <f t="shared" si="195"/>
        <v>34</v>
      </c>
      <c r="C1263" s="35" t="s">
        <v>223</v>
      </c>
      <c r="D1263" s="35" t="s">
        <v>276</v>
      </c>
      <c r="E1263" s="1" t="s">
        <v>126</v>
      </c>
      <c r="F1263" s="30" t="s">
        <v>31</v>
      </c>
      <c r="G1263" s="36">
        <f>333*20.5</f>
        <v>6826.5</v>
      </c>
      <c r="H1263" s="36">
        <v>1861</v>
      </c>
      <c r="I1263" s="36">
        <v>1240</v>
      </c>
      <c r="J1263" s="36">
        <v>900</v>
      </c>
      <c r="K1263" s="36">
        <f t="shared" si="197"/>
        <v>10827.5</v>
      </c>
      <c r="L1263" s="36">
        <v>7000</v>
      </c>
      <c r="M1263" s="9">
        <f t="shared" si="198"/>
        <v>0.64650196259524362</v>
      </c>
      <c r="N1263" s="5">
        <v>1</v>
      </c>
      <c r="O1263" s="10">
        <f t="shared" si="199"/>
        <v>0.64650196259524362</v>
      </c>
    </row>
    <row r="1264" spans="2:15" ht="13.5" hidden="1" customHeight="1">
      <c r="B1264" s="33">
        <f t="shared" si="195"/>
        <v>35</v>
      </c>
      <c r="C1264" s="35" t="s">
        <v>238</v>
      </c>
      <c r="D1264" s="35" t="s">
        <v>295</v>
      </c>
      <c r="E1264" s="1" t="s">
        <v>189</v>
      </c>
      <c r="F1264" s="30" t="s">
        <v>31</v>
      </c>
      <c r="G1264" s="36">
        <f>333*20.5</f>
        <v>6826.5</v>
      </c>
      <c r="H1264" s="36">
        <v>1861</v>
      </c>
      <c r="I1264" s="36">
        <v>1240</v>
      </c>
      <c r="J1264" s="36">
        <v>900</v>
      </c>
      <c r="K1264" s="36">
        <f t="shared" si="197"/>
        <v>10827.5</v>
      </c>
      <c r="L1264" s="36">
        <v>7000</v>
      </c>
      <c r="M1264" s="9">
        <f t="shared" si="198"/>
        <v>0.64650196259524362</v>
      </c>
      <c r="N1264" s="5">
        <v>1</v>
      </c>
      <c r="O1264" s="10">
        <f t="shared" si="199"/>
        <v>0.64650196259524362</v>
      </c>
    </row>
    <row r="1265" spans="2:15" ht="13.5" hidden="1" customHeight="1">
      <c r="B1265" s="33">
        <f t="shared" si="195"/>
        <v>36</v>
      </c>
      <c r="C1265" s="35" t="s">
        <v>84</v>
      </c>
      <c r="D1265" s="35" t="s">
        <v>301</v>
      </c>
      <c r="E1265" s="1" t="s">
        <v>124</v>
      </c>
      <c r="F1265" s="30" t="s">
        <v>31</v>
      </c>
      <c r="G1265" s="36">
        <f>333*20.5</f>
        <v>6826.5</v>
      </c>
      <c r="H1265" s="36">
        <v>1861</v>
      </c>
      <c r="I1265" s="36">
        <v>1240</v>
      </c>
      <c r="J1265" s="36">
        <v>900</v>
      </c>
      <c r="K1265" s="36">
        <f t="shared" si="197"/>
        <v>10827.5</v>
      </c>
      <c r="L1265" s="36">
        <v>7000</v>
      </c>
      <c r="M1265" s="9">
        <f t="shared" si="198"/>
        <v>0.64650196259524362</v>
      </c>
      <c r="N1265" s="5">
        <v>1</v>
      </c>
      <c r="O1265" s="10">
        <f t="shared" si="199"/>
        <v>0.64650196259524362</v>
      </c>
    </row>
    <row r="1266" spans="2:15" ht="13.5" hidden="1" customHeight="1">
      <c r="B1266" s="33">
        <f t="shared" si="195"/>
        <v>37</v>
      </c>
      <c r="C1266" s="35" t="s">
        <v>68</v>
      </c>
      <c r="D1266" s="35" t="s">
        <v>309</v>
      </c>
      <c r="E1266" s="1" t="s">
        <v>128</v>
      </c>
      <c r="F1266" s="30" t="s">
        <v>31</v>
      </c>
      <c r="G1266" s="36">
        <f>333*17.5-3000</f>
        <v>2827.5</v>
      </c>
      <c r="H1266" s="36">
        <v>1861</v>
      </c>
      <c r="I1266" s="36">
        <v>1240</v>
      </c>
      <c r="J1266" s="36">
        <v>900</v>
      </c>
      <c r="K1266" s="36">
        <f t="shared" si="197"/>
        <v>6828.5</v>
      </c>
      <c r="L1266" s="36">
        <v>7000</v>
      </c>
      <c r="M1266" s="9">
        <f t="shared" si="198"/>
        <v>1.0251153254741159</v>
      </c>
      <c r="N1266" s="5">
        <v>1</v>
      </c>
      <c r="O1266" s="10">
        <f t="shared" si="199"/>
        <v>1.0251153254741159</v>
      </c>
    </row>
    <row r="1267" spans="2:15" ht="13.5" hidden="1" customHeight="1">
      <c r="B1267" s="33">
        <f t="shared" si="195"/>
        <v>38</v>
      </c>
      <c r="C1267" s="35" t="s">
        <v>252</v>
      </c>
      <c r="D1267" s="35" t="s">
        <v>313</v>
      </c>
      <c r="E1267" s="1" t="s">
        <v>189</v>
      </c>
      <c r="F1267" s="30" t="s">
        <v>31</v>
      </c>
      <c r="G1267" s="36">
        <f>333*20.5-3000</f>
        <v>3826.5</v>
      </c>
      <c r="H1267" s="36">
        <v>1861</v>
      </c>
      <c r="I1267" s="36">
        <v>1240</v>
      </c>
      <c r="J1267" s="36">
        <v>900</v>
      </c>
      <c r="K1267" s="36">
        <f t="shared" si="197"/>
        <v>7827.5</v>
      </c>
      <c r="L1267" s="36">
        <v>7000</v>
      </c>
      <c r="M1267" s="9">
        <f t="shared" si="198"/>
        <v>0.8942829766847652</v>
      </c>
      <c r="N1267" s="5">
        <v>1</v>
      </c>
      <c r="O1267" s="10">
        <f t="shared" si="199"/>
        <v>0.8942829766847652</v>
      </c>
    </row>
    <row r="1268" spans="2:15" ht="13.5" hidden="1" customHeight="1">
      <c r="B1268" s="33">
        <f t="shared" si="195"/>
        <v>39</v>
      </c>
      <c r="C1268" s="35" t="s">
        <v>49</v>
      </c>
      <c r="D1268" s="35" t="s">
        <v>277</v>
      </c>
      <c r="E1268" s="1" t="s">
        <v>268</v>
      </c>
      <c r="F1268" s="30" t="s">
        <v>26</v>
      </c>
      <c r="G1268" s="36">
        <f>333*19</f>
        <v>6327</v>
      </c>
      <c r="H1268" s="36">
        <v>1861</v>
      </c>
      <c r="I1268" s="36">
        <v>1240</v>
      </c>
      <c r="J1268" s="36">
        <v>1800</v>
      </c>
      <c r="K1268" s="36">
        <f t="shared" si="197"/>
        <v>11228</v>
      </c>
      <c r="L1268" s="36">
        <v>7000</v>
      </c>
      <c r="M1268" s="9">
        <f t="shared" si="198"/>
        <v>0.62344139650872821</v>
      </c>
      <c r="N1268" s="5">
        <v>1</v>
      </c>
      <c r="O1268" s="10">
        <f t="shared" si="199"/>
        <v>0.62344139650872821</v>
      </c>
    </row>
    <row r="1269" spans="2:15" ht="13.5" hidden="1" customHeight="1">
      <c r="B1269" s="33">
        <f t="shared" si="195"/>
        <v>40</v>
      </c>
      <c r="C1269" s="35" t="s">
        <v>230</v>
      </c>
      <c r="D1269" s="35" t="s">
        <v>287</v>
      </c>
      <c r="E1269" s="1" t="s">
        <v>124</v>
      </c>
      <c r="F1269" s="30" t="s">
        <v>26</v>
      </c>
      <c r="G1269" s="36">
        <f>333*19</f>
        <v>6327</v>
      </c>
      <c r="H1269" s="36">
        <v>1861</v>
      </c>
      <c r="I1269" s="36">
        <v>1240</v>
      </c>
      <c r="J1269" s="36">
        <v>1800</v>
      </c>
      <c r="K1269" s="36">
        <f t="shared" si="197"/>
        <v>11228</v>
      </c>
      <c r="L1269" s="36">
        <v>7000</v>
      </c>
      <c r="M1269" s="9">
        <f t="shared" si="198"/>
        <v>0.62344139650872821</v>
      </c>
      <c r="N1269" s="5">
        <v>1</v>
      </c>
      <c r="O1269" s="10">
        <f t="shared" si="199"/>
        <v>0.62344139650872821</v>
      </c>
    </row>
    <row r="1270" spans="2:15" ht="13.5" hidden="1" customHeight="1">
      <c r="B1270" s="33">
        <f t="shared" si="195"/>
        <v>41</v>
      </c>
      <c r="C1270" s="35" t="s">
        <v>231</v>
      </c>
      <c r="D1270" s="35" t="s">
        <v>288</v>
      </c>
      <c r="E1270" s="1" t="s">
        <v>191</v>
      </c>
      <c r="F1270" s="30" t="s">
        <v>26</v>
      </c>
      <c r="G1270" s="36">
        <f>333*19</f>
        <v>6327</v>
      </c>
      <c r="H1270" s="36">
        <v>1861</v>
      </c>
      <c r="I1270" s="36">
        <v>1240</v>
      </c>
      <c r="J1270" s="36">
        <v>1800</v>
      </c>
      <c r="K1270" s="36">
        <f t="shared" si="197"/>
        <v>11228</v>
      </c>
      <c r="L1270" s="36">
        <v>7000</v>
      </c>
      <c r="M1270" s="9">
        <f t="shared" si="198"/>
        <v>0.62344139650872821</v>
      </c>
      <c r="N1270" s="5">
        <v>1</v>
      </c>
      <c r="O1270" s="10">
        <f t="shared" si="199"/>
        <v>0.62344139650872821</v>
      </c>
    </row>
    <row r="1271" spans="2:15" ht="13.5" hidden="1" customHeight="1">
      <c r="B1271" s="33">
        <f t="shared" si="195"/>
        <v>42</v>
      </c>
      <c r="C1271" s="35" t="s">
        <v>242</v>
      </c>
      <c r="D1271" s="35" t="s">
        <v>300</v>
      </c>
      <c r="E1271" s="1" t="s">
        <v>269</v>
      </c>
      <c r="F1271" s="30" t="s">
        <v>26</v>
      </c>
      <c r="G1271" s="36">
        <f>333*19</f>
        <v>6327</v>
      </c>
      <c r="H1271" s="36">
        <v>1861</v>
      </c>
      <c r="I1271" s="36">
        <v>1240</v>
      </c>
      <c r="J1271" s="36">
        <v>1800</v>
      </c>
      <c r="K1271" s="36">
        <f t="shared" si="197"/>
        <v>11228</v>
      </c>
      <c r="L1271" s="36">
        <v>7000</v>
      </c>
      <c r="M1271" s="9">
        <f t="shared" si="198"/>
        <v>0.62344139650872821</v>
      </c>
      <c r="N1271" s="5">
        <v>1</v>
      </c>
      <c r="O1271" s="10">
        <f t="shared" si="199"/>
        <v>0.62344139650872821</v>
      </c>
    </row>
    <row r="1272" spans="2:15" ht="13.5" hidden="1" customHeight="1">
      <c r="B1272" s="33">
        <f t="shared" si="195"/>
        <v>43</v>
      </c>
      <c r="C1272" s="25" t="s">
        <v>226</v>
      </c>
      <c r="D1272" s="25" t="s">
        <v>280</v>
      </c>
      <c r="E1272" s="1" t="s">
        <v>121</v>
      </c>
      <c r="F1272" s="30" t="s">
        <v>32</v>
      </c>
      <c r="G1272" s="36">
        <f>333*17</f>
        <v>5661</v>
      </c>
      <c r="H1272" s="36">
        <v>1861</v>
      </c>
      <c r="I1272" s="36">
        <v>1240</v>
      </c>
      <c r="J1272" s="36">
        <v>900</v>
      </c>
      <c r="K1272" s="36">
        <f t="shared" si="197"/>
        <v>9662</v>
      </c>
      <c r="L1272" s="36">
        <v>7000</v>
      </c>
      <c r="M1272" s="9">
        <f t="shared" si="198"/>
        <v>0.724487683709377</v>
      </c>
      <c r="N1272" s="5">
        <v>1</v>
      </c>
      <c r="O1272" s="10">
        <f t="shared" si="199"/>
        <v>0.724487683709377</v>
      </c>
    </row>
    <row r="1273" spans="2:15" ht="13.5" hidden="1" customHeight="1">
      <c r="B1273" s="33">
        <f t="shared" si="195"/>
        <v>44</v>
      </c>
      <c r="C1273" s="25" t="s">
        <v>133</v>
      </c>
      <c r="D1273" s="25" t="s">
        <v>283</v>
      </c>
      <c r="E1273" s="1" t="s">
        <v>268</v>
      </c>
      <c r="F1273" s="30" t="s">
        <v>32</v>
      </c>
      <c r="G1273" s="36">
        <f>333*17</f>
        <v>5661</v>
      </c>
      <c r="H1273" s="36">
        <v>1861</v>
      </c>
      <c r="I1273" s="36">
        <v>1240</v>
      </c>
      <c r="J1273" s="36">
        <v>900</v>
      </c>
      <c r="K1273" s="36">
        <f t="shared" si="197"/>
        <v>9662</v>
      </c>
      <c r="L1273" s="36">
        <v>7000</v>
      </c>
      <c r="M1273" s="9">
        <f t="shared" si="198"/>
        <v>0.724487683709377</v>
      </c>
      <c r="N1273" s="5">
        <v>1</v>
      </c>
      <c r="O1273" s="10">
        <f t="shared" si="199"/>
        <v>0.724487683709377</v>
      </c>
    </row>
    <row r="1274" spans="2:15" ht="13.5" hidden="1" customHeight="1">
      <c r="B1274" s="33">
        <f t="shared" si="195"/>
        <v>45</v>
      </c>
      <c r="C1274" s="35" t="s">
        <v>83</v>
      </c>
      <c r="D1274" s="35" t="s">
        <v>298</v>
      </c>
      <c r="E1274" s="1" t="s">
        <v>122</v>
      </c>
      <c r="F1274" s="30" t="s">
        <v>32</v>
      </c>
      <c r="G1274" s="36">
        <f>333*17</f>
        <v>5661</v>
      </c>
      <c r="H1274" s="36">
        <v>1861</v>
      </c>
      <c r="I1274" s="36">
        <v>1240</v>
      </c>
      <c r="J1274" s="36">
        <v>900</v>
      </c>
      <c r="K1274" s="36">
        <f t="shared" si="197"/>
        <v>9662</v>
      </c>
      <c r="L1274" s="36">
        <v>7000</v>
      </c>
      <c r="M1274" s="9">
        <f t="shared" si="198"/>
        <v>0.724487683709377</v>
      </c>
      <c r="N1274" s="5">
        <v>1</v>
      </c>
      <c r="O1274" s="10">
        <f t="shared" si="199"/>
        <v>0.724487683709377</v>
      </c>
    </row>
    <row r="1275" spans="2:15" ht="13.5" hidden="1" customHeight="1">
      <c r="B1275" s="33">
        <f t="shared" si="195"/>
        <v>46</v>
      </c>
      <c r="C1275" s="35" t="s">
        <v>247</v>
      </c>
      <c r="D1275" s="35" t="s">
        <v>307</v>
      </c>
      <c r="E1275" s="1" t="s">
        <v>47</v>
      </c>
      <c r="F1275" s="30" t="s">
        <v>43</v>
      </c>
      <c r="G1275" s="36">
        <f>333*18.5-3000</f>
        <v>3160.5</v>
      </c>
      <c r="H1275" s="36">
        <v>1861</v>
      </c>
      <c r="I1275" s="36">
        <v>1240</v>
      </c>
      <c r="J1275" s="36">
        <v>500</v>
      </c>
      <c r="K1275" s="36">
        <f t="shared" si="197"/>
        <v>6761.5</v>
      </c>
      <c r="L1275" s="36">
        <v>7000</v>
      </c>
      <c r="M1275" s="9">
        <f t="shared" si="198"/>
        <v>1.0352732381867928</v>
      </c>
      <c r="N1275" s="5">
        <v>1</v>
      </c>
      <c r="O1275" s="10">
        <f t="shared" si="199"/>
        <v>1.0352732381867928</v>
      </c>
    </row>
    <row r="1276" spans="2:15" ht="13.5" hidden="1" customHeight="1">
      <c r="B1276" s="33">
        <f t="shared" si="195"/>
        <v>47</v>
      </c>
      <c r="C1276" s="35" t="s">
        <v>261</v>
      </c>
      <c r="D1276" s="35" t="s">
        <v>322</v>
      </c>
      <c r="E1276" s="1" t="s">
        <v>186</v>
      </c>
      <c r="F1276" s="30" t="s">
        <v>43</v>
      </c>
      <c r="G1276" s="36">
        <f>333*18.5</f>
        <v>6160.5</v>
      </c>
      <c r="H1276" s="36">
        <v>1861</v>
      </c>
      <c r="I1276" s="36">
        <v>1240</v>
      </c>
      <c r="J1276" s="36">
        <v>500</v>
      </c>
      <c r="K1276" s="36">
        <f t="shared" si="197"/>
        <v>9761.5</v>
      </c>
      <c r="L1276" s="36">
        <v>7000</v>
      </c>
      <c r="M1276" s="9">
        <f t="shared" si="198"/>
        <v>0.71710290426676226</v>
      </c>
      <c r="N1276" s="5">
        <v>1</v>
      </c>
      <c r="O1276" s="10">
        <f t="shared" si="199"/>
        <v>0.71710290426676226</v>
      </c>
    </row>
    <row r="1277" spans="2:15" ht="13.5" hidden="1" customHeight="1">
      <c r="B1277" s="33">
        <f t="shared" si="195"/>
        <v>48</v>
      </c>
      <c r="C1277" s="35" t="s">
        <v>245</v>
      </c>
      <c r="D1277" s="35" t="s">
        <v>304</v>
      </c>
      <c r="E1277" s="1" t="s">
        <v>191</v>
      </c>
      <c r="F1277" s="30" t="s">
        <v>27</v>
      </c>
      <c r="G1277" s="36">
        <f>333*24</f>
        <v>7992</v>
      </c>
      <c r="H1277" s="36">
        <v>1861</v>
      </c>
      <c r="I1277" s="36">
        <v>1240</v>
      </c>
      <c r="J1277" s="36">
        <v>500</v>
      </c>
      <c r="K1277" s="36">
        <f t="shared" si="197"/>
        <v>11593</v>
      </c>
      <c r="L1277" s="36">
        <v>7000</v>
      </c>
      <c r="M1277" s="9">
        <f t="shared" si="198"/>
        <v>0.603812645561977</v>
      </c>
      <c r="N1277" s="5">
        <v>1</v>
      </c>
      <c r="O1277" s="10">
        <f t="shared" si="199"/>
        <v>0.603812645561977</v>
      </c>
    </row>
    <row r="1278" spans="2:15" ht="13.5" hidden="1" customHeight="1">
      <c r="B1278" s="33">
        <f t="shared" si="195"/>
        <v>49</v>
      </c>
      <c r="C1278" s="35" t="s">
        <v>246</v>
      </c>
      <c r="D1278" s="35" t="s">
        <v>305</v>
      </c>
      <c r="E1278" s="1" t="s">
        <v>189</v>
      </c>
      <c r="F1278" s="30" t="s">
        <v>27</v>
      </c>
      <c r="G1278" s="36">
        <f>333*21</f>
        <v>6993</v>
      </c>
      <c r="H1278" s="36">
        <v>1861</v>
      </c>
      <c r="I1278" s="36">
        <v>1240</v>
      </c>
      <c r="J1278" s="36">
        <v>500</v>
      </c>
      <c r="K1278" s="36">
        <f t="shared" si="197"/>
        <v>10594</v>
      </c>
      <c r="L1278" s="36">
        <v>7000</v>
      </c>
      <c r="M1278" s="9">
        <f t="shared" si="198"/>
        <v>0.66075136869926376</v>
      </c>
      <c r="N1278" s="5">
        <v>1</v>
      </c>
      <c r="O1278" s="10">
        <f t="shared" si="199"/>
        <v>0.66075136869926376</v>
      </c>
    </row>
    <row r="1279" spans="2:15" ht="13.5" hidden="1" customHeight="1">
      <c r="B1279" s="33">
        <f t="shared" si="195"/>
        <v>50</v>
      </c>
      <c r="C1279" s="35" t="s">
        <v>254</v>
      </c>
      <c r="D1279" s="35" t="s">
        <v>315</v>
      </c>
      <c r="E1279" s="1" t="s">
        <v>191</v>
      </c>
      <c r="F1279" s="30" t="s">
        <v>27</v>
      </c>
      <c r="G1279" s="36">
        <f>333*21-3000</f>
        <v>3993</v>
      </c>
      <c r="H1279" s="36">
        <v>1861</v>
      </c>
      <c r="I1279" s="36">
        <v>1240</v>
      </c>
      <c r="J1279" s="36">
        <v>500</v>
      </c>
      <c r="K1279" s="36">
        <f t="shared" si="197"/>
        <v>7594</v>
      </c>
      <c r="L1279" s="36">
        <v>7000</v>
      </c>
      <c r="M1279" s="9">
        <f t="shared" si="198"/>
        <v>0.92178035291019222</v>
      </c>
      <c r="N1279" s="5">
        <v>1</v>
      </c>
      <c r="O1279" s="10">
        <f t="shared" si="199"/>
        <v>0.92178035291019222</v>
      </c>
    </row>
    <row r="1280" spans="2:15" ht="13.5" hidden="1" customHeight="1">
      <c r="B1280" s="33">
        <f t="shared" si="195"/>
        <v>51</v>
      </c>
      <c r="C1280" s="35" t="s">
        <v>255</v>
      </c>
      <c r="D1280" s="35" t="s">
        <v>316</v>
      </c>
      <c r="E1280" s="1" t="s">
        <v>127</v>
      </c>
      <c r="F1280" s="30" t="s">
        <v>27</v>
      </c>
      <c r="G1280" s="36">
        <f>333*21</f>
        <v>6993</v>
      </c>
      <c r="H1280" s="36">
        <v>1861</v>
      </c>
      <c r="I1280" s="36">
        <v>1240</v>
      </c>
      <c r="J1280" s="36">
        <v>500</v>
      </c>
      <c r="K1280" s="36">
        <f t="shared" si="197"/>
        <v>10594</v>
      </c>
      <c r="L1280" s="36">
        <v>7000</v>
      </c>
      <c r="M1280" s="9">
        <f t="shared" si="198"/>
        <v>0.66075136869926376</v>
      </c>
      <c r="N1280" s="5">
        <v>1</v>
      </c>
      <c r="O1280" s="10">
        <f t="shared" si="199"/>
        <v>0.66075136869926376</v>
      </c>
    </row>
    <row r="1281" spans="1:15" ht="13.5" hidden="1" customHeight="1">
      <c r="B1281" s="33">
        <f t="shared" si="195"/>
        <v>52</v>
      </c>
      <c r="C1281" s="35" t="s">
        <v>220</v>
      </c>
      <c r="D1281" s="35" t="s">
        <v>273</v>
      </c>
      <c r="E1281" s="1" t="s">
        <v>127</v>
      </c>
      <c r="F1281" s="30" t="s">
        <v>30</v>
      </c>
      <c r="G1281" s="36">
        <f>333*21-3000</f>
        <v>3993</v>
      </c>
      <c r="H1281" s="36">
        <v>1861</v>
      </c>
      <c r="I1281" s="36">
        <v>1240</v>
      </c>
      <c r="J1281" s="36">
        <v>500</v>
      </c>
      <c r="K1281" s="36">
        <f t="shared" si="197"/>
        <v>7594</v>
      </c>
      <c r="L1281" s="36">
        <v>7000</v>
      </c>
      <c r="M1281" s="9">
        <f t="shared" si="198"/>
        <v>0.92178035291019222</v>
      </c>
      <c r="N1281" s="5">
        <v>1</v>
      </c>
      <c r="O1281" s="10">
        <f t="shared" si="199"/>
        <v>0.92178035291019222</v>
      </c>
    </row>
    <row r="1282" spans="1:15" ht="13.5" hidden="1" customHeight="1">
      <c r="B1282" s="33">
        <f t="shared" si="195"/>
        <v>53</v>
      </c>
      <c r="C1282" s="25" t="s">
        <v>228</v>
      </c>
      <c r="D1282" s="25" t="s">
        <v>282</v>
      </c>
      <c r="E1282" s="1" t="s">
        <v>186</v>
      </c>
      <c r="F1282" s="30" t="s">
        <v>30</v>
      </c>
      <c r="G1282" s="36">
        <f>333*21</f>
        <v>6993</v>
      </c>
      <c r="H1282" s="36">
        <v>1861</v>
      </c>
      <c r="I1282" s="36">
        <v>1240</v>
      </c>
      <c r="J1282" s="36">
        <v>500</v>
      </c>
      <c r="K1282" s="36">
        <f t="shared" si="197"/>
        <v>10594</v>
      </c>
      <c r="L1282" s="36">
        <v>7000</v>
      </c>
      <c r="M1282" s="9">
        <f t="shared" si="198"/>
        <v>0.66075136869926376</v>
      </c>
      <c r="N1282" s="5">
        <v>1</v>
      </c>
      <c r="O1282" s="10">
        <f t="shared" si="199"/>
        <v>0.66075136869926376</v>
      </c>
    </row>
    <row r="1283" spans="1:15" ht="13.5" hidden="1" customHeight="1">
      <c r="B1283" s="33">
        <f t="shared" si="195"/>
        <v>54</v>
      </c>
      <c r="C1283" s="35" t="s">
        <v>244</v>
      </c>
      <c r="D1283" s="35" t="s">
        <v>303</v>
      </c>
      <c r="E1283" s="1" t="s">
        <v>128</v>
      </c>
      <c r="F1283" s="30" t="s">
        <v>30</v>
      </c>
      <c r="G1283" s="36">
        <f>333*15</f>
        <v>4995</v>
      </c>
      <c r="H1283" s="36">
        <v>1861</v>
      </c>
      <c r="I1283" s="36">
        <v>1240</v>
      </c>
      <c r="J1283" s="36">
        <v>500</v>
      </c>
      <c r="K1283" s="36">
        <f t="shared" si="197"/>
        <v>8596</v>
      </c>
      <c r="L1283" s="36">
        <v>7000</v>
      </c>
      <c r="M1283" s="9">
        <f t="shared" si="198"/>
        <v>0.81433224755700329</v>
      </c>
      <c r="N1283" s="5">
        <v>1</v>
      </c>
      <c r="O1283" s="10">
        <f t="shared" si="199"/>
        <v>0.81433224755700329</v>
      </c>
    </row>
    <row r="1284" spans="1:15" ht="13.5" hidden="1" customHeight="1">
      <c r="B1284" s="33">
        <f t="shared" si="195"/>
        <v>55</v>
      </c>
      <c r="C1284" s="35" t="s">
        <v>250</v>
      </c>
      <c r="D1284" s="35" t="s">
        <v>311</v>
      </c>
      <c r="E1284" s="1" t="s">
        <v>122</v>
      </c>
      <c r="F1284" s="30" t="s">
        <v>30</v>
      </c>
      <c r="G1284" s="36">
        <f>333*21</f>
        <v>6993</v>
      </c>
      <c r="H1284" s="36">
        <v>1861</v>
      </c>
      <c r="I1284" s="36">
        <v>1240</v>
      </c>
      <c r="J1284" s="36">
        <v>500</v>
      </c>
      <c r="K1284" s="36">
        <f t="shared" si="197"/>
        <v>10594</v>
      </c>
      <c r="L1284" s="36">
        <v>7000</v>
      </c>
      <c r="M1284" s="9">
        <f t="shared" si="198"/>
        <v>0.66075136869926376</v>
      </c>
      <c r="N1284" s="5">
        <v>1</v>
      </c>
      <c r="O1284" s="10">
        <f t="shared" si="199"/>
        <v>0.66075136869926376</v>
      </c>
    </row>
    <row r="1285" spans="1:15" ht="13.5" hidden="1" customHeight="1">
      <c r="B1285" s="33">
        <f t="shared" si="195"/>
        <v>56</v>
      </c>
      <c r="C1285" s="35" t="s">
        <v>75</v>
      </c>
      <c r="D1285" s="35" t="s">
        <v>270</v>
      </c>
      <c r="E1285" s="1" t="s">
        <v>126</v>
      </c>
      <c r="F1285" s="30" t="s">
        <v>212</v>
      </c>
      <c r="G1285" s="36">
        <f>333*15</f>
        <v>4995</v>
      </c>
      <c r="H1285" s="36">
        <v>1861</v>
      </c>
      <c r="I1285" s="36">
        <v>1240</v>
      </c>
      <c r="J1285" s="36">
        <v>500</v>
      </c>
      <c r="K1285" s="36">
        <f t="shared" si="197"/>
        <v>8596</v>
      </c>
      <c r="L1285" s="36">
        <v>7000</v>
      </c>
      <c r="M1285" s="9">
        <f t="shared" si="198"/>
        <v>0.81433224755700329</v>
      </c>
      <c r="N1285" s="5">
        <v>1</v>
      </c>
      <c r="O1285" s="10">
        <f t="shared" si="199"/>
        <v>0.81433224755700329</v>
      </c>
    </row>
    <row r="1286" spans="1:15" ht="13.5" hidden="1" customHeight="1">
      <c r="B1286" s="33">
        <f t="shared" si="195"/>
        <v>57</v>
      </c>
      <c r="C1286" s="35" t="s">
        <v>233</v>
      </c>
      <c r="D1286" s="35" t="s">
        <v>290</v>
      </c>
      <c r="E1286" s="1" t="s">
        <v>124</v>
      </c>
      <c r="F1286" s="30" t="s">
        <v>215</v>
      </c>
      <c r="G1286" s="36">
        <f>258*21-3000</f>
        <v>2418</v>
      </c>
      <c r="H1286" s="36">
        <v>1884.4</v>
      </c>
      <c r="I1286" s="36">
        <v>3480</v>
      </c>
      <c r="J1286" s="36"/>
      <c r="K1286" s="36">
        <f t="shared" si="197"/>
        <v>7782.4</v>
      </c>
      <c r="L1286" s="36">
        <v>7000</v>
      </c>
      <c r="M1286" s="9">
        <f t="shared" si="198"/>
        <v>0.89946546052631582</v>
      </c>
      <c r="N1286" s="5">
        <v>1</v>
      </c>
      <c r="O1286" s="10">
        <f t="shared" si="199"/>
        <v>0.89946546052631582</v>
      </c>
    </row>
    <row r="1287" spans="1:15" ht="13.5" hidden="1" customHeight="1">
      <c r="B1287" s="33">
        <f t="shared" si="195"/>
        <v>58</v>
      </c>
      <c r="C1287" s="35" t="s">
        <v>117</v>
      </c>
      <c r="D1287" s="35" t="s">
        <v>318</v>
      </c>
      <c r="E1287" s="1" t="s">
        <v>47</v>
      </c>
      <c r="F1287" s="30" t="s">
        <v>35</v>
      </c>
      <c r="G1287" s="36">
        <f>258*26</f>
        <v>6708</v>
      </c>
      <c r="H1287" s="36">
        <v>1884.4</v>
      </c>
      <c r="I1287" s="36">
        <v>3480</v>
      </c>
      <c r="J1287" s="36"/>
      <c r="K1287" s="36">
        <f t="shared" si="197"/>
        <v>12072.4</v>
      </c>
      <c r="L1287" s="36">
        <v>7000</v>
      </c>
      <c r="M1287" s="9">
        <f t="shared" si="198"/>
        <v>0.57983499552698714</v>
      </c>
      <c r="N1287" s="5">
        <v>1</v>
      </c>
      <c r="O1287" s="10">
        <f t="shared" si="199"/>
        <v>0.57983499552698714</v>
      </c>
    </row>
    <row r="1288" spans="1:15" ht="16.5" hidden="1" customHeight="1">
      <c r="A1288" s="66" t="s">
        <v>45</v>
      </c>
      <c r="B1288" s="66"/>
      <c r="C1288" s="66"/>
      <c r="D1288" s="66"/>
      <c r="E1288" s="66"/>
      <c r="F1288" s="66"/>
      <c r="G1288" s="66"/>
      <c r="H1288" s="66"/>
      <c r="I1288" s="66"/>
      <c r="J1288" s="66"/>
      <c r="K1288" s="66"/>
      <c r="L1288" s="66"/>
      <c r="M1288" s="66"/>
      <c r="N1288" s="22">
        <f>SUM(N1230:N1287)</f>
        <v>58</v>
      </c>
      <c r="O1288" s="23">
        <f>SUM(O1230:O1287)</f>
        <v>45.463986784272933</v>
      </c>
    </row>
    <row r="1289" spans="1:15" s="47" customFormat="1" ht="13.5" hidden="1" customHeight="1">
      <c r="A1289" s="71" t="s">
        <v>411</v>
      </c>
      <c r="B1289" s="48">
        <v>1</v>
      </c>
      <c r="C1289" s="49" t="s">
        <v>166</v>
      </c>
      <c r="D1289" s="49" t="s">
        <v>182</v>
      </c>
      <c r="E1289" s="47" t="s">
        <v>122</v>
      </c>
      <c r="F1289" s="50" t="s">
        <v>42</v>
      </c>
      <c r="G1289" s="51"/>
      <c r="H1289" s="51"/>
      <c r="I1289" s="51"/>
      <c r="J1289" s="51"/>
      <c r="K1289" s="51"/>
      <c r="L1289" s="51"/>
      <c r="M1289" s="52"/>
      <c r="N1289" s="53"/>
      <c r="O1289" s="54"/>
    </row>
    <row r="1290" spans="1:15" s="47" customFormat="1" ht="13.5" hidden="1" customHeight="1">
      <c r="A1290" s="71"/>
      <c r="B1290" s="48">
        <v>2</v>
      </c>
      <c r="C1290" s="49" t="s">
        <v>175</v>
      </c>
      <c r="D1290" s="49" t="s">
        <v>207</v>
      </c>
      <c r="E1290" s="47" t="s">
        <v>124</v>
      </c>
      <c r="F1290" s="50" t="s">
        <v>159</v>
      </c>
      <c r="G1290" s="51"/>
      <c r="H1290" s="51"/>
      <c r="I1290" s="51"/>
      <c r="J1290" s="51"/>
      <c r="K1290" s="51"/>
      <c r="L1290" s="51"/>
      <c r="M1290" s="52"/>
      <c r="N1290" s="53"/>
      <c r="O1290" s="54"/>
    </row>
    <row r="1291" spans="1:15" s="47" customFormat="1" ht="13.5" hidden="1" customHeight="1">
      <c r="A1291" s="71"/>
      <c r="B1291" s="48">
        <v>3</v>
      </c>
      <c r="C1291" s="55" t="s">
        <v>95</v>
      </c>
      <c r="D1291" s="55" t="s">
        <v>196</v>
      </c>
      <c r="E1291" s="47" t="s">
        <v>127</v>
      </c>
      <c r="F1291" s="50" t="s">
        <v>37</v>
      </c>
      <c r="G1291" s="51"/>
      <c r="H1291" s="51"/>
      <c r="I1291" s="51"/>
      <c r="J1291" s="51"/>
      <c r="K1291" s="51"/>
      <c r="L1291" s="51"/>
      <c r="M1291" s="52"/>
      <c r="N1291" s="53"/>
      <c r="O1291" s="54"/>
    </row>
    <row r="1292" spans="1:15" s="47" customFormat="1" ht="13.5" hidden="1" customHeight="1">
      <c r="A1292" s="71"/>
      <c r="B1292" s="48">
        <v>4</v>
      </c>
      <c r="C1292" s="49" t="s">
        <v>172</v>
      </c>
      <c r="D1292" s="49" t="s">
        <v>204</v>
      </c>
      <c r="E1292" s="47" t="s">
        <v>126</v>
      </c>
      <c r="F1292" s="50" t="s">
        <v>328</v>
      </c>
      <c r="G1292" s="51"/>
      <c r="H1292" s="51"/>
      <c r="I1292" s="51"/>
      <c r="J1292" s="51"/>
      <c r="K1292" s="51"/>
      <c r="L1292" s="51"/>
      <c r="M1292" s="52"/>
      <c r="N1292" s="53"/>
      <c r="O1292" s="54"/>
    </row>
    <row r="1293" spans="1:15" s="47" customFormat="1" ht="13.5" hidden="1" customHeight="1">
      <c r="A1293" s="71"/>
      <c r="B1293" s="48">
        <v>5</v>
      </c>
      <c r="C1293" s="49" t="s">
        <v>169</v>
      </c>
      <c r="D1293" s="49" t="s">
        <v>306</v>
      </c>
      <c r="E1293" s="47" t="s">
        <v>123</v>
      </c>
      <c r="F1293" s="50" t="s">
        <v>27</v>
      </c>
      <c r="G1293" s="51"/>
      <c r="H1293" s="51"/>
      <c r="I1293" s="51"/>
      <c r="J1293" s="51"/>
      <c r="K1293" s="51"/>
      <c r="L1293" s="51"/>
      <c r="M1293" s="52"/>
      <c r="N1293" s="53"/>
      <c r="O1293" s="54"/>
    </row>
    <row r="1294" spans="1:15" s="47" customFormat="1" ht="13.5" hidden="1" customHeight="1">
      <c r="A1294" s="56"/>
      <c r="B1294" s="48"/>
      <c r="C1294" s="49"/>
      <c r="D1294" s="49"/>
      <c r="F1294" s="50"/>
      <c r="G1294" s="51"/>
      <c r="H1294" s="51"/>
      <c r="I1294" s="51"/>
      <c r="J1294" s="51"/>
      <c r="K1294" s="51"/>
      <c r="L1294" s="51"/>
      <c r="M1294" s="52"/>
      <c r="N1294" s="53"/>
      <c r="O1294" s="54"/>
    </row>
    <row r="1295" spans="1:15" s="47" customFormat="1" ht="13.5" hidden="1" customHeight="1">
      <c r="A1295" s="72" t="s">
        <v>412</v>
      </c>
      <c r="B1295" s="48">
        <v>1</v>
      </c>
      <c r="C1295" s="49" t="s">
        <v>220</v>
      </c>
      <c r="D1295" s="49" t="s">
        <v>273</v>
      </c>
      <c r="E1295" s="47" t="s">
        <v>127</v>
      </c>
      <c r="F1295" s="50" t="s">
        <v>30</v>
      </c>
      <c r="G1295" s="51"/>
      <c r="H1295" s="51"/>
      <c r="I1295" s="51"/>
      <c r="J1295" s="51"/>
      <c r="K1295" s="51"/>
      <c r="L1295" s="51"/>
      <c r="M1295" s="52"/>
      <c r="N1295" s="53"/>
      <c r="O1295" s="54"/>
    </row>
    <row r="1296" spans="1:15" s="47" customFormat="1" ht="13.5" hidden="1" customHeight="1">
      <c r="A1296" s="72"/>
      <c r="B1296" s="48">
        <f>+B1295+1</f>
        <v>2</v>
      </c>
      <c r="C1296" s="49" t="s">
        <v>339</v>
      </c>
      <c r="D1296" s="49" t="s">
        <v>275</v>
      </c>
      <c r="E1296" s="47" t="s">
        <v>192</v>
      </c>
      <c r="F1296" s="50" t="s">
        <v>213</v>
      </c>
      <c r="G1296" s="51"/>
      <c r="H1296" s="51"/>
      <c r="I1296" s="51"/>
      <c r="J1296" s="51"/>
      <c r="K1296" s="51"/>
      <c r="L1296" s="51"/>
      <c r="M1296" s="52"/>
      <c r="N1296" s="53"/>
      <c r="O1296" s="54"/>
    </row>
    <row r="1297" spans="1:15" s="47" customFormat="1" ht="13.5" hidden="1" customHeight="1">
      <c r="A1297" s="72"/>
      <c r="B1297" s="48">
        <f t="shared" ref="B1297:B1313" si="200">+B1296+1</f>
        <v>3</v>
      </c>
      <c r="C1297" s="49" t="s">
        <v>233</v>
      </c>
      <c r="D1297" s="49" t="s">
        <v>290</v>
      </c>
      <c r="E1297" s="47" t="s">
        <v>124</v>
      </c>
      <c r="F1297" s="50" t="s">
        <v>215</v>
      </c>
      <c r="G1297" s="51"/>
      <c r="H1297" s="51"/>
      <c r="I1297" s="51"/>
      <c r="J1297" s="51"/>
      <c r="K1297" s="51"/>
      <c r="L1297" s="51"/>
      <c r="M1297" s="52"/>
      <c r="N1297" s="53"/>
      <c r="O1297" s="54"/>
    </row>
    <row r="1298" spans="1:15" s="47" customFormat="1" ht="13.5" hidden="1" customHeight="1">
      <c r="A1298" s="72"/>
      <c r="B1298" s="48">
        <f t="shared" si="200"/>
        <v>4</v>
      </c>
      <c r="C1298" s="49" t="s">
        <v>235</v>
      </c>
      <c r="D1298" s="49" t="s">
        <v>292</v>
      </c>
      <c r="E1298" s="47" t="s">
        <v>192</v>
      </c>
      <c r="F1298" s="50" t="s">
        <v>41</v>
      </c>
      <c r="G1298" s="51"/>
      <c r="H1298" s="51"/>
      <c r="I1298" s="51"/>
      <c r="J1298" s="51"/>
      <c r="K1298" s="51"/>
      <c r="L1298" s="51"/>
      <c r="M1298" s="52"/>
      <c r="N1298" s="53"/>
      <c r="O1298" s="54"/>
    </row>
    <row r="1299" spans="1:15" s="47" customFormat="1" ht="13.5" hidden="1" customHeight="1">
      <c r="A1299" s="57"/>
      <c r="B1299" s="48">
        <f t="shared" si="200"/>
        <v>5</v>
      </c>
      <c r="C1299" s="49" t="s">
        <v>236</v>
      </c>
      <c r="D1299" s="49" t="s">
        <v>293</v>
      </c>
      <c r="E1299" s="47" t="s">
        <v>192</v>
      </c>
      <c r="F1299" s="50" t="s">
        <v>23</v>
      </c>
      <c r="G1299" s="51"/>
      <c r="H1299" s="51"/>
      <c r="I1299" s="51"/>
      <c r="J1299" s="51"/>
      <c r="K1299" s="51"/>
      <c r="L1299" s="51"/>
      <c r="M1299" s="52"/>
      <c r="N1299" s="53"/>
      <c r="O1299" s="54"/>
    </row>
    <row r="1300" spans="1:15" s="47" customFormat="1" ht="13.5" hidden="1" customHeight="1">
      <c r="A1300" s="57" t="s">
        <v>413</v>
      </c>
      <c r="B1300" s="48">
        <f t="shared" si="200"/>
        <v>6</v>
      </c>
      <c r="C1300" s="55" t="s">
        <v>169</v>
      </c>
      <c r="D1300" s="55" t="s">
        <v>183</v>
      </c>
      <c r="F1300" s="50" t="s">
        <v>27</v>
      </c>
      <c r="G1300" s="51"/>
      <c r="H1300" s="51"/>
      <c r="I1300" s="51"/>
      <c r="J1300" s="51"/>
      <c r="K1300" s="51"/>
      <c r="L1300" s="51"/>
      <c r="M1300" s="52"/>
      <c r="N1300" s="53"/>
      <c r="O1300" s="54"/>
    </row>
    <row r="1301" spans="1:15" s="47" customFormat="1" ht="13.5" hidden="1" customHeight="1">
      <c r="A1301" s="72" t="s">
        <v>414</v>
      </c>
      <c r="B1301" s="48">
        <f t="shared" si="200"/>
        <v>7</v>
      </c>
      <c r="C1301" s="49" t="s">
        <v>247</v>
      </c>
      <c r="D1301" s="49" t="s">
        <v>307</v>
      </c>
      <c r="E1301" s="47" t="s">
        <v>47</v>
      </c>
      <c r="F1301" s="50" t="s">
        <v>43</v>
      </c>
      <c r="G1301" s="51"/>
      <c r="H1301" s="51"/>
      <c r="I1301" s="51"/>
      <c r="J1301" s="51"/>
      <c r="K1301" s="51"/>
      <c r="L1301" s="51"/>
      <c r="M1301" s="52"/>
      <c r="N1301" s="53"/>
      <c r="O1301" s="54"/>
    </row>
    <row r="1302" spans="1:15" s="47" customFormat="1" ht="13.5" hidden="1" customHeight="1">
      <c r="A1302" s="72"/>
      <c r="B1302" s="48">
        <f t="shared" si="200"/>
        <v>8</v>
      </c>
      <c r="C1302" s="49" t="s">
        <v>248</v>
      </c>
      <c r="D1302" s="49" t="s">
        <v>308</v>
      </c>
      <c r="E1302" s="47" t="s">
        <v>192</v>
      </c>
      <c r="F1302" s="50" t="s">
        <v>29</v>
      </c>
      <c r="G1302" s="51"/>
      <c r="H1302" s="51"/>
      <c r="I1302" s="51"/>
      <c r="J1302" s="51"/>
      <c r="K1302" s="51"/>
      <c r="L1302" s="51"/>
      <c r="M1302" s="52"/>
      <c r="N1302" s="53"/>
      <c r="O1302" s="54"/>
    </row>
    <row r="1303" spans="1:15" s="47" customFormat="1" ht="13.5" hidden="1" customHeight="1">
      <c r="A1303" s="72"/>
      <c r="B1303" s="48">
        <f t="shared" si="200"/>
        <v>9</v>
      </c>
      <c r="C1303" s="49" t="s">
        <v>68</v>
      </c>
      <c r="D1303" s="49" t="s">
        <v>309</v>
      </c>
      <c r="E1303" s="47" t="s">
        <v>128</v>
      </c>
      <c r="F1303" s="50" t="s">
        <v>31</v>
      </c>
      <c r="G1303" s="51"/>
      <c r="H1303" s="51"/>
      <c r="I1303" s="51"/>
      <c r="J1303" s="51"/>
      <c r="K1303" s="51"/>
      <c r="L1303" s="51"/>
      <c r="M1303" s="52"/>
      <c r="N1303" s="53"/>
      <c r="O1303" s="54"/>
    </row>
    <row r="1304" spans="1:15" s="47" customFormat="1" ht="13.5" hidden="1" customHeight="1">
      <c r="A1304" s="57"/>
      <c r="B1304" s="48">
        <f t="shared" si="200"/>
        <v>10</v>
      </c>
      <c r="C1304" s="49" t="s">
        <v>249</v>
      </c>
      <c r="D1304" s="49" t="s">
        <v>310</v>
      </c>
      <c r="E1304" s="47" t="s">
        <v>123</v>
      </c>
      <c r="F1304" s="50" t="s">
        <v>159</v>
      </c>
      <c r="G1304" s="51"/>
      <c r="H1304" s="51"/>
      <c r="I1304" s="51"/>
      <c r="J1304" s="51"/>
      <c r="K1304" s="51"/>
      <c r="L1304" s="51"/>
      <c r="M1304" s="52"/>
      <c r="N1304" s="53"/>
      <c r="O1304" s="54"/>
    </row>
    <row r="1305" spans="1:15" s="47" customFormat="1" ht="13.5" hidden="1" customHeight="1">
      <c r="A1305" s="57"/>
      <c r="B1305" s="48">
        <f t="shared" si="200"/>
        <v>11</v>
      </c>
      <c r="C1305" s="49" t="s">
        <v>251</v>
      </c>
      <c r="D1305" s="49" t="s">
        <v>312</v>
      </c>
      <c r="E1305" s="47" t="s">
        <v>126</v>
      </c>
      <c r="F1305" s="50" t="s">
        <v>140</v>
      </c>
      <c r="G1305" s="51"/>
      <c r="H1305" s="51"/>
      <c r="I1305" s="51"/>
      <c r="J1305" s="51"/>
      <c r="K1305" s="51"/>
      <c r="L1305" s="51"/>
      <c r="M1305" s="52"/>
      <c r="N1305" s="53"/>
      <c r="O1305" s="54"/>
    </row>
    <row r="1306" spans="1:15" s="47" customFormat="1" ht="13.5" hidden="1" customHeight="1">
      <c r="A1306" s="57"/>
      <c r="B1306" s="48">
        <f t="shared" si="200"/>
        <v>12</v>
      </c>
      <c r="C1306" s="49" t="s">
        <v>252</v>
      </c>
      <c r="D1306" s="49" t="s">
        <v>313</v>
      </c>
      <c r="E1306" s="47" t="s">
        <v>189</v>
      </c>
      <c r="F1306" s="50" t="s">
        <v>31</v>
      </c>
      <c r="G1306" s="51"/>
      <c r="H1306" s="51"/>
      <c r="I1306" s="51"/>
      <c r="J1306" s="51"/>
      <c r="K1306" s="51"/>
      <c r="L1306" s="51"/>
      <c r="M1306" s="52"/>
      <c r="N1306" s="53"/>
      <c r="O1306" s="54"/>
    </row>
    <row r="1307" spans="1:15" s="47" customFormat="1" ht="13.5" hidden="1" customHeight="1">
      <c r="A1307" s="57"/>
      <c r="B1307" s="48">
        <f t="shared" si="200"/>
        <v>13</v>
      </c>
      <c r="C1307" s="49" t="s">
        <v>253</v>
      </c>
      <c r="D1307" s="49" t="s">
        <v>314</v>
      </c>
      <c r="E1307" s="47" t="s">
        <v>122</v>
      </c>
      <c r="F1307" s="50" t="s">
        <v>216</v>
      </c>
      <c r="G1307" s="51"/>
      <c r="H1307" s="51"/>
      <c r="I1307" s="51"/>
      <c r="J1307" s="51"/>
      <c r="K1307" s="51"/>
      <c r="L1307" s="51"/>
      <c r="M1307" s="52"/>
      <c r="N1307" s="53"/>
      <c r="O1307" s="54"/>
    </row>
    <row r="1308" spans="1:15" s="47" customFormat="1" ht="13.5" hidden="1" customHeight="1">
      <c r="A1308" s="57"/>
      <c r="B1308" s="48">
        <f t="shared" si="200"/>
        <v>14</v>
      </c>
      <c r="C1308" s="49" t="s">
        <v>254</v>
      </c>
      <c r="D1308" s="49" t="s">
        <v>315</v>
      </c>
      <c r="E1308" s="47" t="s">
        <v>191</v>
      </c>
      <c r="F1308" s="50" t="s">
        <v>27</v>
      </c>
      <c r="G1308" s="51"/>
      <c r="H1308" s="51"/>
      <c r="I1308" s="51"/>
      <c r="J1308" s="51"/>
      <c r="K1308" s="51"/>
      <c r="L1308" s="51"/>
      <c r="M1308" s="52"/>
      <c r="N1308" s="53"/>
      <c r="O1308" s="54"/>
    </row>
    <row r="1309" spans="1:15" s="47" customFormat="1" ht="13.5" hidden="1" customHeight="1">
      <c r="A1309" s="57"/>
      <c r="B1309" s="48">
        <f t="shared" si="200"/>
        <v>15</v>
      </c>
      <c r="C1309" s="49" t="s">
        <v>256</v>
      </c>
      <c r="D1309" s="49" t="s">
        <v>317</v>
      </c>
      <c r="E1309" s="47" t="s">
        <v>126</v>
      </c>
      <c r="F1309" s="50" t="s">
        <v>330</v>
      </c>
      <c r="G1309" s="51"/>
      <c r="H1309" s="51"/>
      <c r="I1309" s="51"/>
      <c r="J1309" s="51"/>
      <c r="K1309" s="51"/>
      <c r="L1309" s="51"/>
      <c r="M1309" s="52"/>
      <c r="N1309" s="53"/>
      <c r="O1309" s="54"/>
    </row>
    <row r="1310" spans="1:15" s="47" customFormat="1" ht="13.5" hidden="1" customHeight="1">
      <c r="A1310" s="57"/>
      <c r="B1310" s="48">
        <f t="shared" si="200"/>
        <v>16</v>
      </c>
      <c r="C1310" s="49" t="s">
        <v>258</v>
      </c>
      <c r="D1310" s="49" t="s">
        <v>402</v>
      </c>
      <c r="E1310" s="47" t="s">
        <v>126</v>
      </c>
      <c r="F1310" s="50" t="s">
        <v>214</v>
      </c>
      <c r="G1310" s="51"/>
      <c r="H1310" s="51"/>
      <c r="I1310" s="51"/>
      <c r="J1310" s="51"/>
      <c r="K1310" s="51"/>
      <c r="L1310" s="51"/>
      <c r="M1310" s="52"/>
      <c r="N1310" s="53"/>
      <c r="O1310" s="54"/>
    </row>
    <row r="1311" spans="1:15" s="47" customFormat="1" ht="13.5" hidden="1" customHeight="1">
      <c r="A1311" s="57"/>
      <c r="B1311" s="48">
        <f t="shared" si="200"/>
        <v>17</v>
      </c>
      <c r="C1311" s="49" t="s">
        <v>263</v>
      </c>
      <c r="D1311" s="49" t="s">
        <v>324</v>
      </c>
      <c r="E1311" s="47" t="s">
        <v>192</v>
      </c>
      <c r="F1311" s="50" t="s">
        <v>42</v>
      </c>
      <c r="G1311" s="51"/>
      <c r="H1311" s="51"/>
      <c r="I1311" s="51"/>
      <c r="J1311" s="51"/>
      <c r="K1311" s="51"/>
      <c r="L1311" s="51"/>
      <c r="M1311" s="52"/>
      <c r="N1311" s="53"/>
      <c r="O1311" s="54"/>
    </row>
    <row r="1312" spans="1:15" s="47" customFormat="1" ht="13.5" hidden="1" customHeight="1">
      <c r="A1312" s="57"/>
      <c r="B1312" s="48">
        <f t="shared" si="200"/>
        <v>18</v>
      </c>
      <c r="C1312" s="49" t="s">
        <v>264</v>
      </c>
      <c r="D1312" s="49" t="s">
        <v>267</v>
      </c>
      <c r="F1312" s="50" t="s">
        <v>213</v>
      </c>
      <c r="G1312" s="51"/>
      <c r="H1312" s="51"/>
      <c r="I1312" s="51"/>
      <c r="J1312" s="51"/>
      <c r="K1312" s="51"/>
      <c r="L1312" s="51"/>
      <c r="M1312" s="52"/>
      <c r="N1312" s="53"/>
      <c r="O1312" s="54"/>
    </row>
    <row r="1313" spans="1:15" s="47" customFormat="1" ht="13.5" hidden="1" customHeight="1">
      <c r="A1313" s="57"/>
      <c r="B1313" s="48">
        <f t="shared" si="200"/>
        <v>19</v>
      </c>
      <c r="C1313" s="49" t="s">
        <v>266</v>
      </c>
      <c r="D1313" s="49" t="s">
        <v>326</v>
      </c>
      <c r="E1313" s="47" t="s">
        <v>126</v>
      </c>
      <c r="F1313" s="50" t="s">
        <v>41</v>
      </c>
      <c r="G1313" s="51"/>
      <c r="H1313" s="51"/>
      <c r="I1313" s="51"/>
      <c r="J1313" s="51"/>
      <c r="K1313" s="51"/>
      <c r="L1313" s="51"/>
      <c r="M1313" s="52"/>
      <c r="N1313" s="53"/>
      <c r="O1313" s="54"/>
    </row>
    <row r="1314" spans="1:15" ht="13.5" hidden="1" customHeight="1"/>
    <row r="1315" spans="1:15" ht="13.5" hidden="1" customHeight="1">
      <c r="A1315" s="44" t="s">
        <v>137</v>
      </c>
      <c r="B1315" s="44"/>
      <c r="C1315" s="44"/>
      <c r="D1315" s="44"/>
      <c r="E1315" s="44"/>
      <c r="F1315" s="44"/>
      <c r="G1315" s="44"/>
      <c r="H1315" s="44"/>
      <c r="I1315" s="44"/>
      <c r="J1315" s="44"/>
      <c r="K1315" s="44"/>
      <c r="L1315" s="44"/>
      <c r="M1315" s="44"/>
      <c r="N1315" s="44"/>
      <c r="O1315" s="44"/>
    </row>
    <row r="1316" spans="1:15" ht="13.5" hidden="1" customHeight="1">
      <c r="B1316" s="33">
        <v>1</v>
      </c>
      <c r="C1316" s="35" t="s">
        <v>222</v>
      </c>
      <c r="D1316" s="35" t="s">
        <v>275</v>
      </c>
      <c r="E1316" s="1" t="s">
        <v>192</v>
      </c>
      <c r="F1316" s="30" t="s">
        <v>213</v>
      </c>
      <c r="G1316" s="36">
        <f>333*21.5</f>
        <v>7159.5</v>
      </c>
      <c r="H1316" s="36">
        <v>1861</v>
      </c>
      <c r="I1316" s="36">
        <v>1240</v>
      </c>
      <c r="J1316" s="36"/>
      <c r="K1316" s="36">
        <f t="shared" ref="K1316:K1347" si="201">SUM(G1316:J1316)</f>
        <v>10260.5</v>
      </c>
      <c r="L1316" s="36">
        <v>7000</v>
      </c>
      <c r="M1316" s="9">
        <f t="shared" ref="M1316:M1347" si="202">L1316/K1316</f>
        <v>0.68222796160031185</v>
      </c>
      <c r="N1316" s="5">
        <v>1</v>
      </c>
      <c r="O1316" s="10">
        <f t="shared" ref="O1316:O1347" si="203">N1316*M1316</f>
        <v>0.68222796160031185</v>
      </c>
    </row>
    <row r="1317" spans="1:15" ht="13.5" hidden="1" customHeight="1">
      <c r="B1317" s="33">
        <f>B1316+1</f>
        <v>2</v>
      </c>
      <c r="C1317" s="35" t="s">
        <v>264</v>
      </c>
      <c r="D1317" s="35" t="s">
        <v>267</v>
      </c>
      <c r="F1317" s="30" t="s">
        <v>213</v>
      </c>
      <c r="G1317" s="36">
        <f>333*21.5</f>
        <v>7159.5</v>
      </c>
      <c r="H1317" s="36">
        <v>1861</v>
      </c>
      <c r="I1317" s="36">
        <v>1240</v>
      </c>
      <c r="J1317" s="36"/>
      <c r="K1317" s="36">
        <f t="shared" si="201"/>
        <v>10260.5</v>
      </c>
      <c r="L1317" s="36">
        <v>7000</v>
      </c>
      <c r="M1317" s="9">
        <f t="shared" si="202"/>
        <v>0.68222796160031185</v>
      </c>
      <c r="N1317" s="5">
        <v>1</v>
      </c>
      <c r="O1317" s="10">
        <f t="shared" si="203"/>
        <v>0.68222796160031185</v>
      </c>
    </row>
    <row r="1318" spans="1:15" ht="13.5" hidden="1" customHeight="1">
      <c r="B1318" s="33">
        <f t="shared" ref="B1318:B1373" si="204">B1317+1</f>
        <v>3</v>
      </c>
      <c r="C1318" s="35" t="s">
        <v>251</v>
      </c>
      <c r="D1318" s="35" t="s">
        <v>312</v>
      </c>
      <c r="E1318" s="1" t="s">
        <v>126</v>
      </c>
      <c r="F1318" s="30" t="s">
        <v>140</v>
      </c>
      <c r="G1318" s="36">
        <f>300*15</f>
        <v>4500</v>
      </c>
      <c r="H1318" s="36">
        <v>1861</v>
      </c>
      <c r="I1318" s="36">
        <v>1240</v>
      </c>
      <c r="J1318" s="36"/>
      <c r="K1318" s="36">
        <f t="shared" si="201"/>
        <v>7601</v>
      </c>
      <c r="L1318" s="36">
        <v>7000</v>
      </c>
      <c r="M1318" s="9">
        <f t="shared" si="202"/>
        <v>0.92093145638731744</v>
      </c>
      <c r="N1318" s="5">
        <v>1</v>
      </c>
      <c r="O1318" s="10">
        <f t="shared" si="203"/>
        <v>0.92093145638731744</v>
      </c>
    </row>
    <row r="1319" spans="1:15" ht="13.5" hidden="1" customHeight="1">
      <c r="B1319" s="33">
        <f t="shared" si="204"/>
        <v>4</v>
      </c>
      <c r="C1319" s="35" t="s">
        <v>239</v>
      </c>
      <c r="D1319" s="35" t="s">
        <v>296</v>
      </c>
      <c r="E1319" s="1" t="s">
        <v>124</v>
      </c>
      <c r="F1319" s="30" t="s">
        <v>330</v>
      </c>
      <c r="G1319" s="36">
        <f>350*18.5</f>
        <v>6475</v>
      </c>
      <c r="H1319" s="36">
        <v>1861</v>
      </c>
      <c r="I1319" s="36">
        <v>1240</v>
      </c>
      <c r="J1319" s="36">
        <v>500</v>
      </c>
      <c r="K1319" s="36">
        <f t="shared" si="201"/>
        <v>10076</v>
      </c>
      <c r="L1319" s="36">
        <v>7000</v>
      </c>
      <c r="M1319" s="9">
        <f t="shared" si="202"/>
        <v>0.69472012703453756</v>
      </c>
      <c r="N1319" s="5">
        <v>1</v>
      </c>
      <c r="O1319" s="10">
        <f t="shared" si="203"/>
        <v>0.69472012703453756</v>
      </c>
    </row>
    <row r="1320" spans="1:15" ht="13.5" hidden="1" customHeight="1">
      <c r="B1320" s="33">
        <f t="shared" si="204"/>
        <v>5</v>
      </c>
      <c r="C1320" s="35" t="s">
        <v>256</v>
      </c>
      <c r="D1320" s="35" t="s">
        <v>317</v>
      </c>
      <c r="E1320" s="1" t="s">
        <v>126</v>
      </c>
      <c r="F1320" s="30" t="s">
        <v>330</v>
      </c>
      <c r="G1320" s="36">
        <f>350*18.5</f>
        <v>6475</v>
      </c>
      <c r="H1320" s="36">
        <v>1861</v>
      </c>
      <c r="I1320" s="36">
        <v>1240</v>
      </c>
      <c r="J1320" s="36">
        <v>500</v>
      </c>
      <c r="K1320" s="36">
        <f t="shared" si="201"/>
        <v>10076</v>
      </c>
      <c r="L1320" s="36">
        <v>7000</v>
      </c>
      <c r="M1320" s="9">
        <f t="shared" si="202"/>
        <v>0.69472012703453756</v>
      </c>
      <c r="N1320" s="5">
        <v>1</v>
      </c>
      <c r="O1320" s="10">
        <f t="shared" si="203"/>
        <v>0.69472012703453756</v>
      </c>
    </row>
    <row r="1321" spans="1:15" ht="13.5" hidden="1" customHeight="1">
      <c r="B1321" s="33">
        <f t="shared" si="204"/>
        <v>6</v>
      </c>
      <c r="C1321" s="35" t="s">
        <v>262</v>
      </c>
      <c r="D1321" s="35" t="s">
        <v>323</v>
      </c>
      <c r="E1321" s="1" t="s">
        <v>122</v>
      </c>
      <c r="F1321" s="30" t="s">
        <v>34</v>
      </c>
      <c r="G1321" s="36">
        <f>350*18.5</f>
        <v>6475</v>
      </c>
      <c r="H1321" s="36">
        <v>1861</v>
      </c>
      <c r="I1321" s="36">
        <v>1240</v>
      </c>
      <c r="J1321" s="36">
        <v>500</v>
      </c>
      <c r="K1321" s="36">
        <f t="shared" si="201"/>
        <v>10076</v>
      </c>
      <c r="L1321" s="36">
        <v>7000</v>
      </c>
      <c r="M1321" s="9">
        <f t="shared" si="202"/>
        <v>0.69472012703453756</v>
      </c>
      <c r="N1321" s="5">
        <v>1</v>
      </c>
      <c r="O1321" s="10">
        <f t="shared" si="203"/>
        <v>0.69472012703453756</v>
      </c>
    </row>
    <row r="1322" spans="1:15" ht="13.5" hidden="1" customHeight="1">
      <c r="B1322" s="33">
        <f t="shared" si="204"/>
        <v>7</v>
      </c>
      <c r="C1322" s="35" t="s">
        <v>265</v>
      </c>
      <c r="D1322" s="35" t="s">
        <v>325</v>
      </c>
      <c r="E1322" s="1" t="s">
        <v>268</v>
      </c>
      <c r="F1322" s="30" t="s">
        <v>34</v>
      </c>
      <c r="G1322" s="36">
        <f>350*12</f>
        <v>4200</v>
      </c>
      <c r="H1322" s="36">
        <v>1861</v>
      </c>
      <c r="I1322" s="36">
        <v>1240</v>
      </c>
      <c r="J1322" s="36">
        <v>500</v>
      </c>
      <c r="K1322" s="36">
        <f t="shared" si="201"/>
        <v>7801</v>
      </c>
      <c r="L1322" s="36">
        <v>7000</v>
      </c>
      <c r="M1322" s="9">
        <f t="shared" si="202"/>
        <v>0.89732085630047431</v>
      </c>
      <c r="N1322" s="5">
        <v>1</v>
      </c>
      <c r="O1322" s="10">
        <f t="shared" si="203"/>
        <v>0.89732085630047431</v>
      </c>
    </row>
    <row r="1323" spans="1:15" ht="13.5" hidden="1" customHeight="1">
      <c r="B1323" s="33">
        <f t="shared" si="204"/>
        <v>8</v>
      </c>
      <c r="C1323" s="35" t="s">
        <v>248</v>
      </c>
      <c r="D1323" s="35" t="s">
        <v>308</v>
      </c>
      <c r="E1323" s="1" t="s">
        <v>192</v>
      </c>
      <c r="F1323" s="30" t="s">
        <v>29</v>
      </c>
      <c r="G1323" s="36">
        <f>450*12</f>
        <v>5400</v>
      </c>
      <c r="H1323" s="36">
        <v>1861</v>
      </c>
      <c r="I1323" s="36">
        <v>1240</v>
      </c>
      <c r="J1323" s="36">
        <v>500</v>
      </c>
      <c r="K1323" s="36">
        <f t="shared" si="201"/>
        <v>9001</v>
      </c>
      <c r="L1323" s="36">
        <v>7000</v>
      </c>
      <c r="M1323" s="9">
        <f t="shared" si="202"/>
        <v>0.77769136762581936</v>
      </c>
      <c r="N1323" s="5">
        <v>1</v>
      </c>
      <c r="O1323" s="10">
        <f t="shared" si="203"/>
        <v>0.77769136762581936</v>
      </c>
    </row>
    <row r="1324" spans="1:15" ht="13.5" hidden="1" customHeight="1">
      <c r="B1324" s="33">
        <f t="shared" si="204"/>
        <v>9</v>
      </c>
      <c r="C1324" s="35" t="s">
        <v>236</v>
      </c>
      <c r="D1324" s="35" t="s">
        <v>293</v>
      </c>
      <c r="E1324" s="1" t="s">
        <v>192</v>
      </c>
      <c r="F1324" s="30" t="s">
        <v>23</v>
      </c>
      <c r="G1324" s="36">
        <f>400*6</f>
        <v>2400</v>
      </c>
      <c r="H1324" s="36">
        <v>1861</v>
      </c>
      <c r="I1324" s="36">
        <v>1240</v>
      </c>
      <c r="J1324" s="36">
        <v>500</v>
      </c>
      <c r="K1324" s="36">
        <f t="shared" si="201"/>
        <v>6001</v>
      </c>
      <c r="L1324" s="36">
        <v>7000</v>
      </c>
      <c r="M1324" s="9">
        <f t="shared" si="202"/>
        <v>1.1664722546242292</v>
      </c>
      <c r="N1324" s="5">
        <v>1</v>
      </c>
      <c r="O1324" s="10">
        <f t="shared" si="203"/>
        <v>1.1664722546242292</v>
      </c>
    </row>
    <row r="1325" spans="1:15" ht="13.5" hidden="1" customHeight="1">
      <c r="B1325" s="33">
        <f t="shared" si="204"/>
        <v>10</v>
      </c>
      <c r="C1325" s="35" t="s">
        <v>257</v>
      </c>
      <c r="D1325" s="35" t="s">
        <v>319</v>
      </c>
      <c r="E1325" s="1" t="s">
        <v>186</v>
      </c>
      <c r="F1325" s="30" t="s">
        <v>23</v>
      </c>
      <c r="G1325" s="36">
        <f>400*6</f>
        <v>2400</v>
      </c>
      <c r="H1325" s="36">
        <v>1861</v>
      </c>
      <c r="I1325" s="36">
        <v>1240</v>
      </c>
      <c r="J1325" s="36">
        <v>500</v>
      </c>
      <c r="K1325" s="36">
        <f t="shared" si="201"/>
        <v>6001</v>
      </c>
      <c r="L1325" s="36">
        <v>7000</v>
      </c>
      <c r="M1325" s="9">
        <f t="shared" si="202"/>
        <v>1.1664722546242292</v>
      </c>
      <c r="N1325" s="5">
        <v>1</v>
      </c>
      <c r="O1325" s="10">
        <f t="shared" si="203"/>
        <v>1.1664722546242292</v>
      </c>
    </row>
    <row r="1326" spans="1:15" ht="13.5" hidden="1" customHeight="1">
      <c r="B1326" s="33">
        <f t="shared" si="204"/>
        <v>11</v>
      </c>
      <c r="C1326" s="35" t="s">
        <v>218</v>
      </c>
      <c r="D1326" s="35" t="s">
        <v>271</v>
      </c>
      <c r="E1326" s="1" t="s">
        <v>47</v>
      </c>
      <c r="F1326" s="30" t="s">
        <v>41</v>
      </c>
      <c r="G1326" s="36">
        <f>333*15.5</f>
        <v>5161.5</v>
      </c>
      <c r="H1326" s="36">
        <v>1861</v>
      </c>
      <c r="I1326" s="36">
        <v>1240</v>
      </c>
      <c r="J1326" s="36">
        <v>500</v>
      </c>
      <c r="K1326" s="36">
        <f t="shared" si="201"/>
        <v>8762.5</v>
      </c>
      <c r="L1326" s="36">
        <v>7000</v>
      </c>
      <c r="M1326" s="9">
        <f t="shared" si="202"/>
        <v>0.79885877318116971</v>
      </c>
      <c r="N1326" s="5">
        <v>1</v>
      </c>
      <c r="O1326" s="10">
        <f t="shared" si="203"/>
        <v>0.79885877318116971</v>
      </c>
    </row>
    <row r="1327" spans="1:15" ht="13.5" hidden="1" customHeight="1">
      <c r="B1327" s="33">
        <f t="shared" si="204"/>
        <v>12</v>
      </c>
      <c r="C1327" s="35" t="s">
        <v>235</v>
      </c>
      <c r="D1327" s="35" t="s">
        <v>292</v>
      </c>
      <c r="E1327" s="1" t="s">
        <v>192</v>
      </c>
      <c r="F1327" s="30" t="s">
        <v>41</v>
      </c>
      <c r="G1327" s="36">
        <f>333*15.5</f>
        <v>5161.5</v>
      </c>
      <c r="H1327" s="36">
        <v>1861</v>
      </c>
      <c r="I1327" s="36">
        <v>1240</v>
      </c>
      <c r="J1327" s="36">
        <v>500</v>
      </c>
      <c r="K1327" s="36">
        <f t="shared" si="201"/>
        <v>8762.5</v>
      </c>
      <c r="L1327" s="36">
        <v>7000</v>
      </c>
      <c r="M1327" s="9">
        <f t="shared" si="202"/>
        <v>0.79885877318116971</v>
      </c>
      <c r="N1327" s="5">
        <v>1</v>
      </c>
      <c r="O1327" s="10">
        <f t="shared" si="203"/>
        <v>0.79885877318116971</v>
      </c>
    </row>
    <row r="1328" spans="1:15" ht="13.5" hidden="1" customHeight="1">
      <c r="B1328" s="33">
        <f t="shared" si="204"/>
        <v>13</v>
      </c>
      <c r="C1328" s="35" t="s">
        <v>266</v>
      </c>
      <c r="D1328" s="35" t="s">
        <v>326</v>
      </c>
      <c r="E1328" s="1" t="s">
        <v>126</v>
      </c>
      <c r="F1328" s="30" t="s">
        <v>41</v>
      </c>
      <c r="G1328" s="36">
        <f>333*21</f>
        <v>6993</v>
      </c>
      <c r="H1328" s="36">
        <v>1861</v>
      </c>
      <c r="I1328" s="36">
        <v>1240</v>
      </c>
      <c r="J1328" s="36">
        <v>500</v>
      </c>
      <c r="K1328" s="36">
        <f t="shared" si="201"/>
        <v>10594</v>
      </c>
      <c r="L1328" s="36">
        <v>7000</v>
      </c>
      <c r="M1328" s="9">
        <f t="shared" si="202"/>
        <v>0.66075136869926376</v>
      </c>
      <c r="N1328" s="5">
        <v>1</v>
      </c>
      <c r="O1328" s="10">
        <f t="shared" si="203"/>
        <v>0.66075136869926376</v>
      </c>
    </row>
    <row r="1329" spans="2:15" ht="13.5" hidden="1" customHeight="1">
      <c r="B1329" s="33">
        <f t="shared" si="204"/>
        <v>14</v>
      </c>
      <c r="C1329" s="35" t="s">
        <v>225</v>
      </c>
      <c r="D1329" s="35" t="s">
        <v>279</v>
      </c>
      <c r="E1329" s="1" t="s">
        <v>47</v>
      </c>
      <c r="F1329" s="30" t="s">
        <v>42</v>
      </c>
      <c r="G1329" s="36">
        <f t="shared" ref="G1329:G1333" si="205">333*21</f>
        <v>6993</v>
      </c>
      <c r="H1329" s="36">
        <v>1861</v>
      </c>
      <c r="I1329" s="36">
        <v>1240</v>
      </c>
      <c r="J1329" s="36">
        <v>500</v>
      </c>
      <c r="K1329" s="36">
        <f t="shared" si="201"/>
        <v>10594</v>
      </c>
      <c r="L1329" s="36">
        <v>7000</v>
      </c>
      <c r="M1329" s="9">
        <f t="shared" si="202"/>
        <v>0.66075136869926376</v>
      </c>
      <c r="N1329" s="5">
        <v>1</v>
      </c>
      <c r="O1329" s="10">
        <f t="shared" si="203"/>
        <v>0.66075136869926376</v>
      </c>
    </row>
    <row r="1330" spans="2:15" ht="13.5" hidden="1" customHeight="1">
      <c r="B1330" s="33">
        <f t="shared" si="204"/>
        <v>15</v>
      </c>
      <c r="C1330" s="35" t="s">
        <v>237</v>
      </c>
      <c r="D1330" s="35" t="s">
        <v>294</v>
      </c>
      <c r="E1330" s="1" t="s">
        <v>189</v>
      </c>
      <c r="F1330" s="30" t="s">
        <v>42</v>
      </c>
      <c r="G1330" s="36">
        <f t="shared" si="205"/>
        <v>6993</v>
      </c>
      <c r="H1330" s="36">
        <v>1861</v>
      </c>
      <c r="I1330" s="36">
        <v>1240</v>
      </c>
      <c r="J1330" s="36">
        <v>500</v>
      </c>
      <c r="K1330" s="36">
        <f t="shared" si="201"/>
        <v>10594</v>
      </c>
      <c r="L1330" s="36">
        <v>7000</v>
      </c>
      <c r="M1330" s="9">
        <f t="shared" si="202"/>
        <v>0.66075136869926376</v>
      </c>
      <c r="N1330" s="5">
        <v>1</v>
      </c>
      <c r="O1330" s="10">
        <f t="shared" si="203"/>
        <v>0.66075136869926376</v>
      </c>
    </row>
    <row r="1331" spans="2:15" ht="13.5" hidden="1" customHeight="1">
      <c r="B1331" s="33">
        <f t="shared" si="204"/>
        <v>16</v>
      </c>
      <c r="C1331" s="35" t="s">
        <v>241</v>
      </c>
      <c r="D1331" s="35" t="s">
        <v>299</v>
      </c>
      <c r="E1331" s="1" t="s">
        <v>187</v>
      </c>
      <c r="F1331" s="30" t="s">
        <v>42</v>
      </c>
      <c r="G1331" s="36">
        <f t="shared" si="205"/>
        <v>6993</v>
      </c>
      <c r="H1331" s="36">
        <v>1861</v>
      </c>
      <c r="I1331" s="36">
        <v>1240</v>
      </c>
      <c r="J1331" s="36">
        <v>500</v>
      </c>
      <c r="K1331" s="36">
        <f t="shared" si="201"/>
        <v>10594</v>
      </c>
      <c r="L1331" s="36">
        <v>7000</v>
      </c>
      <c r="M1331" s="9">
        <f t="shared" si="202"/>
        <v>0.66075136869926376</v>
      </c>
      <c r="N1331" s="5">
        <v>1</v>
      </c>
      <c r="O1331" s="10">
        <f t="shared" si="203"/>
        <v>0.66075136869926376</v>
      </c>
    </row>
    <row r="1332" spans="2:15" ht="13.5" hidden="1" customHeight="1">
      <c r="B1332" s="33">
        <f t="shared" si="204"/>
        <v>17</v>
      </c>
      <c r="C1332" s="35" t="s">
        <v>243</v>
      </c>
      <c r="D1332" s="35" t="s">
        <v>302</v>
      </c>
      <c r="E1332" s="1" t="s">
        <v>47</v>
      </c>
      <c r="F1332" s="30" t="s">
        <v>42</v>
      </c>
      <c r="G1332" s="36">
        <f t="shared" si="205"/>
        <v>6993</v>
      </c>
      <c r="H1332" s="36">
        <v>1861</v>
      </c>
      <c r="I1332" s="36">
        <v>1240</v>
      </c>
      <c r="J1332" s="36">
        <v>500</v>
      </c>
      <c r="K1332" s="36">
        <f t="shared" si="201"/>
        <v>10594</v>
      </c>
      <c r="L1332" s="36">
        <v>7000</v>
      </c>
      <c r="M1332" s="9">
        <f t="shared" si="202"/>
        <v>0.66075136869926376</v>
      </c>
      <c r="N1332" s="5">
        <v>1</v>
      </c>
      <c r="O1332" s="10">
        <f t="shared" si="203"/>
        <v>0.66075136869926376</v>
      </c>
    </row>
    <row r="1333" spans="2:15" ht="13.5" hidden="1" customHeight="1">
      <c r="B1333" s="33">
        <f t="shared" si="204"/>
        <v>18</v>
      </c>
      <c r="C1333" s="35" t="s">
        <v>263</v>
      </c>
      <c r="D1333" s="35" t="s">
        <v>324</v>
      </c>
      <c r="E1333" s="1" t="s">
        <v>192</v>
      </c>
      <c r="F1333" s="30" t="s">
        <v>42</v>
      </c>
      <c r="G1333" s="36">
        <f t="shared" si="205"/>
        <v>6993</v>
      </c>
      <c r="H1333" s="36">
        <v>1861</v>
      </c>
      <c r="I1333" s="36">
        <v>1240</v>
      </c>
      <c r="J1333" s="36">
        <v>500</v>
      </c>
      <c r="K1333" s="36">
        <f t="shared" si="201"/>
        <v>10594</v>
      </c>
      <c r="L1333" s="36">
        <v>7000</v>
      </c>
      <c r="M1333" s="9">
        <f t="shared" si="202"/>
        <v>0.66075136869926376</v>
      </c>
      <c r="N1333" s="5">
        <v>1</v>
      </c>
      <c r="O1333" s="10">
        <f t="shared" si="203"/>
        <v>0.66075136869926376</v>
      </c>
    </row>
    <row r="1334" spans="2:15" ht="13.5" hidden="1" customHeight="1">
      <c r="B1334" s="33">
        <f t="shared" si="204"/>
        <v>19</v>
      </c>
      <c r="C1334" s="35" t="s">
        <v>221</v>
      </c>
      <c r="D1334" s="35" t="s">
        <v>274</v>
      </c>
      <c r="E1334" s="1" t="s">
        <v>128</v>
      </c>
      <c r="F1334" s="30" t="s">
        <v>25</v>
      </c>
      <c r="G1334" s="36">
        <f>300*15</f>
        <v>4500</v>
      </c>
      <c r="H1334" s="36">
        <v>1861</v>
      </c>
      <c r="I1334" s="36">
        <v>1240</v>
      </c>
      <c r="J1334" s="36">
        <v>500</v>
      </c>
      <c r="K1334" s="36">
        <f t="shared" si="201"/>
        <v>8101</v>
      </c>
      <c r="L1334" s="36">
        <v>7000</v>
      </c>
      <c r="M1334" s="9">
        <f t="shared" si="202"/>
        <v>0.86409085298111343</v>
      </c>
      <c r="N1334" s="5">
        <v>1</v>
      </c>
      <c r="O1334" s="10">
        <f t="shared" si="203"/>
        <v>0.86409085298111343</v>
      </c>
    </row>
    <row r="1335" spans="2:15" ht="13.5" hidden="1" customHeight="1">
      <c r="B1335" s="33">
        <f t="shared" si="204"/>
        <v>20</v>
      </c>
      <c r="C1335" s="25" t="s">
        <v>229</v>
      </c>
      <c r="D1335" s="25" t="s">
        <v>284</v>
      </c>
      <c r="E1335" s="1" t="s">
        <v>126</v>
      </c>
      <c r="F1335" s="30" t="s">
        <v>25</v>
      </c>
      <c r="G1335" s="36">
        <f>300*15</f>
        <v>4500</v>
      </c>
      <c r="H1335" s="36">
        <v>1861</v>
      </c>
      <c r="I1335" s="36">
        <v>1240</v>
      </c>
      <c r="J1335" s="36">
        <v>500</v>
      </c>
      <c r="K1335" s="36">
        <f t="shared" si="201"/>
        <v>8101</v>
      </c>
      <c r="L1335" s="36">
        <v>7000</v>
      </c>
      <c r="M1335" s="9">
        <f t="shared" si="202"/>
        <v>0.86409085298111343</v>
      </c>
      <c r="N1335" s="5">
        <v>1</v>
      </c>
      <c r="O1335" s="10">
        <f t="shared" si="203"/>
        <v>0.86409085298111343</v>
      </c>
    </row>
    <row r="1336" spans="2:15" ht="13.5" hidden="1" customHeight="1">
      <c r="B1336" s="33">
        <f t="shared" si="204"/>
        <v>21</v>
      </c>
      <c r="C1336" s="35" t="s">
        <v>240</v>
      </c>
      <c r="D1336" s="35" t="s">
        <v>297</v>
      </c>
      <c r="E1336" s="1" t="s">
        <v>189</v>
      </c>
      <c r="F1336" s="30" t="s">
        <v>25</v>
      </c>
      <c r="G1336" s="36">
        <f>300*15</f>
        <v>4500</v>
      </c>
      <c r="H1336" s="36">
        <v>1861</v>
      </c>
      <c r="I1336" s="36">
        <v>1240</v>
      </c>
      <c r="J1336" s="36">
        <v>500</v>
      </c>
      <c r="K1336" s="36">
        <f t="shared" si="201"/>
        <v>8101</v>
      </c>
      <c r="L1336" s="36">
        <v>7000</v>
      </c>
      <c r="M1336" s="9">
        <f t="shared" si="202"/>
        <v>0.86409085298111343</v>
      </c>
      <c r="N1336" s="5">
        <v>1</v>
      </c>
      <c r="O1336" s="10">
        <f t="shared" si="203"/>
        <v>0.86409085298111343</v>
      </c>
    </row>
    <row r="1337" spans="2:15" ht="13.5" hidden="1" customHeight="1">
      <c r="B1337" s="33">
        <f t="shared" si="204"/>
        <v>22</v>
      </c>
      <c r="C1337" s="35" t="s">
        <v>249</v>
      </c>
      <c r="D1337" s="35" t="s">
        <v>310</v>
      </c>
      <c r="E1337" s="1" t="s">
        <v>123</v>
      </c>
      <c r="F1337" s="30" t="s">
        <v>159</v>
      </c>
      <c r="G1337" s="36">
        <f t="shared" ref="G1337" si="206">333*15</f>
        <v>4995</v>
      </c>
      <c r="H1337" s="36">
        <v>1861</v>
      </c>
      <c r="I1337" s="36">
        <v>1240</v>
      </c>
      <c r="J1337" s="36">
        <v>900</v>
      </c>
      <c r="K1337" s="36">
        <f t="shared" si="201"/>
        <v>8996</v>
      </c>
      <c r="L1337" s="36">
        <v>7000</v>
      </c>
      <c r="M1337" s="9">
        <f t="shared" si="202"/>
        <v>0.77812361049355272</v>
      </c>
      <c r="N1337" s="5">
        <v>1</v>
      </c>
      <c r="O1337" s="10">
        <f t="shared" si="203"/>
        <v>0.77812361049355272</v>
      </c>
    </row>
    <row r="1338" spans="2:15" ht="13.5" hidden="1" customHeight="1">
      <c r="B1338" s="33">
        <f t="shared" si="204"/>
        <v>23</v>
      </c>
      <c r="C1338" s="35" t="s">
        <v>234</v>
      </c>
      <c r="D1338" s="35" t="s">
        <v>291</v>
      </c>
      <c r="E1338" s="1" t="s">
        <v>122</v>
      </c>
      <c r="F1338" s="30" t="s">
        <v>36</v>
      </c>
      <c r="G1338" s="36">
        <f>333*21.5</f>
        <v>7159.5</v>
      </c>
      <c r="H1338" s="36">
        <v>1861</v>
      </c>
      <c r="I1338" s="36">
        <v>1240</v>
      </c>
      <c r="J1338" s="36"/>
      <c r="K1338" s="36">
        <f t="shared" si="201"/>
        <v>10260.5</v>
      </c>
      <c r="L1338" s="36">
        <v>7000</v>
      </c>
      <c r="M1338" s="9">
        <f t="shared" si="202"/>
        <v>0.68222796160031185</v>
      </c>
      <c r="N1338" s="5">
        <v>1</v>
      </c>
      <c r="O1338" s="10">
        <f t="shared" si="203"/>
        <v>0.68222796160031185</v>
      </c>
    </row>
    <row r="1339" spans="2:15" ht="13.5" hidden="1" customHeight="1">
      <c r="B1339" s="33">
        <f t="shared" si="204"/>
        <v>24</v>
      </c>
      <c r="C1339" s="35" t="s">
        <v>253</v>
      </c>
      <c r="D1339" s="35" t="s">
        <v>314</v>
      </c>
      <c r="E1339" s="1" t="s">
        <v>122</v>
      </c>
      <c r="F1339" s="30" t="s">
        <v>216</v>
      </c>
      <c r="G1339" s="36">
        <f>300*15</f>
        <v>4500</v>
      </c>
      <c r="H1339" s="36">
        <v>1861</v>
      </c>
      <c r="I1339" s="36">
        <v>1240</v>
      </c>
      <c r="J1339" s="36"/>
      <c r="K1339" s="36">
        <f t="shared" si="201"/>
        <v>7601</v>
      </c>
      <c r="L1339" s="36">
        <v>7000</v>
      </c>
      <c r="M1339" s="9">
        <f t="shared" si="202"/>
        <v>0.92093145638731744</v>
      </c>
      <c r="N1339" s="5">
        <v>1</v>
      </c>
      <c r="O1339" s="10">
        <f t="shared" si="203"/>
        <v>0.92093145638731744</v>
      </c>
    </row>
    <row r="1340" spans="2:15" ht="13.5" hidden="1" customHeight="1">
      <c r="B1340" s="33">
        <f t="shared" si="204"/>
        <v>25</v>
      </c>
      <c r="C1340" s="35" t="s">
        <v>224</v>
      </c>
      <c r="D1340" s="35" t="s">
        <v>278</v>
      </c>
      <c r="E1340" s="1" t="s">
        <v>187</v>
      </c>
      <c r="F1340" s="30" t="s">
        <v>214</v>
      </c>
      <c r="G1340" s="36">
        <f>333*18.5</f>
        <v>6160.5</v>
      </c>
      <c r="H1340" s="36">
        <v>1861</v>
      </c>
      <c r="I1340" s="36">
        <v>1240</v>
      </c>
      <c r="J1340" s="36">
        <v>750</v>
      </c>
      <c r="K1340" s="36">
        <f t="shared" si="201"/>
        <v>10011.5</v>
      </c>
      <c r="L1340" s="36">
        <v>7000</v>
      </c>
      <c r="M1340" s="9">
        <f t="shared" si="202"/>
        <v>0.6991959246866104</v>
      </c>
      <c r="N1340" s="5">
        <v>1</v>
      </c>
      <c r="O1340" s="10">
        <f t="shared" si="203"/>
        <v>0.6991959246866104</v>
      </c>
    </row>
    <row r="1341" spans="2:15" ht="13.5" hidden="1" customHeight="1">
      <c r="B1341" s="33">
        <f t="shared" si="204"/>
        <v>26</v>
      </c>
      <c r="C1341" s="25" t="s">
        <v>51</v>
      </c>
      <c r="D1341" s="25" t="s">
        <v>285</v>
      </c>
      <c r="E1341" s="1" t="s">
        <v>192</v>
      </c>
      <c r="F1341" s="30" t="s">
        <v>214</v>
      </c>
      <c r="G1341" s="36">
        <f>333*18.5</f>
        <v>6160.5</v>
      </c>
      <c r="H1341" s="36">
        <v>1861</v>
      </c>
      <c r="I1341" s="36">
        <v>1240</v>
      </c>
      <c r="J1341" s="36">
        <v>750</v>
      </c>
      <c r="K1341" s="36">
        <f t="shared" si="201"/>
        <v>10011.5</v>
      </c>
      <c r="L1341" s="36">
        <v>7000</v>
      </c>
      <c r="M1341" s="9">
        <f t="shared" si="202"/>
        <v>0.6991959246866104</v>
      </c>
      <c r="N1341" s="5">
        <v>1</v>
      </c>
      <c r="O1341" s="10">
        <f t="shared" si="203"/>
        <v>0.6991959246866104</v>
      </c>
    </row>
    <row r="1342" spans="2:15" ht="13.5" hidden="1" customHeight="1">
      <c r="B1342" s="33">
        <f t="shared" si="204"/>
        <v>27</v>
      </c>
      <c r="C1342" s="25" t="s">
        <v>53</v>
      </c>
      <c r="D1342" s="25" t="s">
        <v>286</v>
      </c>
      <c r="E1342" s="1" t="s">
        <v>123</v>
      </c>
      <c r="F1342" s="30" t="s">
        <v>329</v>
      </c>
      <c r="G1342" s="36">
        <f>333*18.5</f>
        <v>6160.5</v>
      </c>
      <c r="H1342" s="36">
        <v>1861</v>
      </c>
      <c r="I1342" s="36">
        <v>1240</v>
      </c>
      <c r="J1342" s="36">
        <v>750</v>
      </c>
      <c r="K1342" s="36">
        <f t="shared" si="201"/>
        <v>10011.5</v>
      </c>
      <c r="L1342" s="36">
        <v>7000</v>
      </c>
      <c r="M1342" s="9">
        <f t="shared" si="202"/>
        <v>0.6991959246866104</v>
      </c>
      <c r="N1342" s="5">
        <v>1</v>
      </c>
      <c r="O1342" s="10">
        <f t="shared" si="203"/>
        <v>0.6991959246866104</v>
      </c>
    </row>
    <row r="1343" spans="2:15" ht="13.5" hidden="1" customHeight="1">
      <c r="B1343" s="33">
        <f t="shared" si="204"/>
        <v>28</v>
      </c>
      <c r="C1343" s="35" t="s">
        <v>258</v>
      </c>
      <c r="D1343" s="35" t="s">
        <v>402</v>
      </c>
      <c r="E1343" s="1" t="s">
        <v>126</v>
      </c>
      <c r="F1343" s="30" t="s">
        <v>214</v>
      </c>
      <c r="G1343" s="36">
        <f>333*18.5</f>
        <v>6160.5</v>
      </c>
      <c r="H1343" s="36">
        <v>1861</v>
      </c>
      <c r="I1343" s="36">
        <v>1240</v>
      </c>
      <c r="J1343" s="36">
        <v>750</v>
      </c>
      <c r="K1343" s="36">
        <f t="shared" si="201"/>
        <v>10011.5</v>
      </c>
      <c r="L1343" s="36">
        <v>7000</v>
      </c>
      <c r="M1343" s="9">
        <f t="shared" si="202"/>
        <v>0.6991959246866104</v>
      </c>
      <c r="N1343" s="5">
        <v>1</v>
      </c>
      <c r="O1343" s="10">
        <f t="shared" si="203"/>
        <v>0.6991959246866104</v>
      </c>
    </row>
    <row r="1344" spans="2:15" ht="13.5" hidden="1" customHeight="1">
      <c r="B1344" s="33">
        <f t="shared" si="204"/>
        <v>29</v>
      </c>
      <c r="C1344" s="35" t="s">
        <v>259</v>
      </c>
      <c r="D1344" s="35" t="s">
        <v>320</v>
      </c>
      <c r="E1344" s="1" t="s">
        <v>124</v>
      </c>
      <c r="F1344" s="30" t="s">
        <v>214</v>
      </c>
      <c r="G1344" s="36">
        <f t="shared" ref="G1344:G1345" si="207">333*18.5</f>
        <v>6160.5</v>
      </c>
      <c r="H1344" s="36">
        <v>1861</v>
      </c>
      <c r="I1344" s="36">
        <v>1240</v>
      </c>
      <c r="J1344" s="36">
        <v>750</v>
      </c>
      <c r="K1344" s="36">
        <f t="shared" si="201"/>
        <v>10011.5</v>
      </c>
      <c r="L1344" s="36">
        <v>7000</v>
      </c>
      <c r="M1344" s="9">
        <f t="shared" si="202"/>
        <v>0.6991959246866104</v>
      </c>
      <c r="N1344" s="5">
        <v>1</v>
      </c>
      <c r="O1344" s="10">
        <f t="shared" si="203"/>
        <v>0.6991959246866104</v>
      </c>
    </row>
    <row r="1345" spans="2:15" ht="13.5" hidden="1" customHeight="1">
      <c r="B1345" s="33">
        <f t="shared" si="204"/>
        <v>30</v>
      </c>
      <c r="C1345" s="35" t="s">
        <v>260</v>
      </c>
      <c r="D1345" s="35" t="s">
        <v>321</v>
      </c>
      <c r="E1345" s="1" t="s">
        <v>124</v>
      </c>
      <c r="F1345" s="30" t="s">
        <v>214</v>
      </c>
      <c r="G1345" s="36">
        <f t="shared" si="207"/>
        <v>6160.5</v>
      </c>
      <c r="H1345" s="36">
        <v>1861</v>
      </c>
      <c r="I1345" s="36">
        <v>1240</v>
      </c>
      <c r="J1345" s="36">
        <v>750</v>
      </c>
      <c r="K1345" s="36">
        <f t="shared" si="201"/>
        <v>10011.5</v>
      </c>
      <c r="L1345" s="36">
        <v>7000</v>
      </c>
      <c r="M1345" s="9">
        <f t="shared" si="202"/>
        <v>0.6991959246866104</v>
      </c>
      <c r="N1345" s="5">
        <v>1</v>
      </c>
      <c r="O1345" s="10">
        <f t="shared" si="203"/>
        <v>0.6991959246866104</v>
      </c>
    </row>
    <row r="1346" spans="2:15" ht="13.5" hidden="1" customHeight="1">
      <c r="B1346" s="33">
        <f t="shared" si="204"/>
        <v>31</v>
      </c>
      <c r="C1346" s="35" t="s">
        <v>227</v>
      </c>
      <c r="D1346" s="35" t="s">
        <v>281</v>
      </c>
      <c r="E1346" s="1" t="s">
        <v>122</v>
      </c>
      <c r="F1346" s="30" t="s">
        <v>327</v>
      </c>
      <c r="G1346" s="36">
        <f>333*15</f>
        <v>4995</v>
      </c>
      <c r="H1346" s="36">
        <v>1861</v>
      </c>
      <c r="I1346" s="36">
        <v>1240</v>
      </c>
      <c r="J1346" s="36">
        <v>750</v>
      </c>
      <c r="K1346" s="36">
        <f t="shared" si="201"/>
        <v>8846</v>
      </c>
      <c r="L1346" s="36">
        <v>7000</v>
      </c>
      <c r="M1346" s="9">
        <f t="shared" si="202"/>
        <v>0.79131810988017182</v>
      </c>
      <c r="N1346" s="5">
        <v>1</v>
      </c>
      <c r="O1346" s="10">
        <f t="shared" si="203"/>
        <v>0.79131810988017182</v>
      </c>
    </row>
    <row r="1347" spans="2:15" ht="13.5" hidden="1" customHeight="1">
      <c r="B1347" s="33">
        <f t="shared" si="204"/>
        <v>32</v>
      </c>
      <c r="C1347" s="35" t="s">
        <v>232</v>
      </c>
      <c r="D1347" s="35" t="s">
        <v>289</v>
      </c>
      <c r="E1347" s="1" t="s">
        <v>122</v>
      </c>
      <c r="F1347" s="30" t="s">
        <v>327</v>
      </c>
      <c r="G1347" s="36">
        <f>333*15</f>
        <v>4995</v>
      </c>
      <c r="H1347" s="36">
        <v>1861</v>
      </c>
      <c r="I1347" s="36">
        <v>1240</v>
      </c>
      <c r="J1347" s="36">
        <v>750</v>
      </c>
      <c r="K1347" s="36">
        <f t="shared" si="201"/>
        <v>8846</v>
      </c>
      <c r="L1347" s="36">
        <v>7000</v>
      </c>
      <c r="M1347" s="9">
        <f t="shared" si="202"/>
        <v>0.79131810988017182</v>
      </c>
      <c r="N1347" s="5">
        <v>1</v>
      </c>
      <c r="O1347" s="10">
        <f t="shared" si="203"/>
        <v>0.79131810988017182</v>
      </c>
    </row>
    <row r="1348" spans="2:15" ht="13.5" hidden="1" customHeight="1">
      <c r="B1348" s="33">
        <f t="shared" si="204"/>
        <v>33</v>
      </c>
      <c r="C1348" s="35" t="s">
        <v>219</v>
      </c>
      <c r="D1348" s="35" t="s">
        <v>272</v>
      </c>
      <c r="E1348" s="1" t="s">
        <v>192</v>
      </c>
      <c r="F1348" s="30" t="s">
        <v>31</v>
      </c>
      <c r="G1348" s="36">
        <f>333*20.5</f>
        <v>6826.5</v>
      </c>
      <c r="H1348" s="36">
        <v>1861</v>
      </c>
      <c r="I1348" s="36">
        <v>1240</v>
      </c>
      <c r="J1348" s="36">
        <v>900</v>
      </c>
      <c r="K1348" s="36">
        <f t="shared" ref="K1348:K1373" si="208">SUM(G1348:J1348)</f>
        <v>10827.5</v>
      </c>
      <c r="L1348" s="36">
        <v>7000</v>
      </c>
      <c r="M1348" s="9">
        <f t="shared" ref="M1348:M1373" si="209">L1348/K1348</f>
        <v>0.64650196259524362</v>
      </c>
      <c r="N1348" s="5">
        <v>1</v>
      </c>
      <c r="O1348" s="10">
        <f t="shared" ref="O1348:O1373" si="210">N1348*M1348</f>
        <v>0.64650196259524362</v>
      </c>
    </row>
    <row r="1349" spans="2:15" ht="13.5" hidden="1" customHeight="1">
      <c r="B1349" s="33">
        <f t="shared" si="204"/>
        <v>34</v>
      </c>
      <c r="C1349" s="35" t="s">
        <v>223</v>
      </c>
      <c r="D1349" s="35" t="s">
        <v>276</v>
      </c>
      <c r="E1349" s="1" t="s">
        <v>126</v>
      </c>
      <c r="F1349" s="30" t="s">
        <v>31</v>
      </c>
      <c r="G1349" s="36">
        <f t="shared" ref="G1349:G1353" si="211">333*20.5</f>
        <v>6826.5</v>
      </c>
      <c r="H1349" s="36">
        <v>1861</v>
      </c>
      <c r="I1349" s="36">
        <v>1240</v>
      </c>
      <c r="J1349" s="36">
        <v>900</v>
      </c>
      <c r="K1349" s="36">
        <f t="shared" si="208"/>
        <v>10827.5</v>
      </c>
      <c r="L1349" s="36">
        <v>7000</v>
      </c>
      <c r="M1349" s="9">
        <f t="shared" si="209"/>
        <v>0.64650196259524362</v>
      </c>
      <c r="N1349" s="5">
        <v>1</v>
      </c>
      <c r="O1349" s="10">
        <f t="shared" si="210"/>
        <v>0.64650196259524362</v>
      </c>
    </row>
    <row r="1350" spans="2:15" ht="13.5" hidden="1" customHeight="1">
      <c r="B1350" s="33">
        <f t="shared" si="204"/>
        <v>35</v>
      </c>
      <c r="C1350" s="35" t="s">
        <v>238</v>
      </c>
      <c r="D1350" s="35" t="s">
        <v>295</v>
      </c>
      <c r="E1350" s="1" t="s">
        <v>189</v>
      </c>
      <c r="F1350" s="30" t="s">
        <v>31</v>
      </c>
      <c r="G1350" s="36">
        <f t="shared" si="211"/>
        <v>6826.5</v>
      </c>
      <c r="H1350" s="36">
        <v>1861</v>
      </c>
      <c r="I1350" s="36">
        <v>1240</v>
      </c>
      <c r="J1350" s="36">
        <v>900</v>
      </c>
      <c r="K1350" s="36">
        <f t="shared" si="208"/>
        <v>10827.5</v>
      </c>
      <c r="L1350" s="36">
        <v>7000</v>
      </c>
      <c r="M1350" s="9">
        <f t="shared" si="209"/>
        <v>0.64650196259524362</v>
      </c>
      <c r="N1350" s="5">
        <v>1</v>
      </c>
      <c r="O1350" s="10">
        <f t="shared" si="210"/>
        <v>0.64650196259524362</v>
      </c>
    </row>
    <row r="1351" spans="2:15" ht="13.5" hidden="1" customHeight="1">
      <c r="B1351" s="33">
        <f t="shared" si="204"/>
        <v>36</v>
      </c>
      <c r="C1351" s="35" t="s">
        <v>84</v>
      </c>
      <c r="D1351" s="35" t="s">
        <v>301</v>
      </c>
      <c r="E1351" s="1" t="s">
        <v>124</v>
      </c>
      <c r="F1351" s="30" t="s">
        <v>31</v>
      </c>
      <c r="G1351" s="36">
        <f t="shared" si="211"/>
        <v>6826.5</v>
      </c>
      <c r="H1351" s="36">
        <v>1861</v>
      </c>
      <c r="I1351" s="36">
        <v>1240</v>
      </c>
      <c r="J1351" s="36">
        <v>900</v>
      </c>
      <c r="K1351" s="36">
        <f t="shared" si="208"/>
        <v>10827.5</v>
      </c>
      <c r="L1351" s="36">
        <v>7000</v>
      </c>
      <c r="M1351" s="9">
        <f t="shared" si="209"/>
        <v>0.64650196259524362</v>
      </c>
      <c r="N1351" s="5">
        <v>1</v>
      </c>
      <c r="O1351" s="10">
        <f t="shared" si="210"/>
        <v>0.64650196259524362</v>
      </c>
    </row>
    <row r="1352" spans="2:15" ht="13.5" hidden="1" customHeight="1">
      <c r="B1352" s="33">
        <f t="shared" si="204"/>
        <v>37</v>
      </c>
      <c r="C1352" s="35" t="s">
        <v>68</v>
      </c>
      <c r="D1352" s="35" t="s">
        <v>309</v>
      </c>
      <c r="E1352" s="1" t="s">
        <v>128</v>
      </c>
      <c r="F1352" s="30" t="s">
        <v>31</v>
      </c>
      <c r="G1352" s="36">
        <f t="shared" si="211"/>
        <v>6826.5</v>
      </c>
      <c r="H1352" s="36">
        <v>1861</v>
      </c>
      <c r="I1352" s="36">
        <v>1240</v>
      </c>
      <c r="J1352" s="36">
        <v>900</v>
      </c>
      <c r="K1352" s="36">
        <f t="shared" si="208"/>
        <v>10827.5</v>
      </c>
      <c r="L1352" s="36">
        <v>7000</v>
      </c>
      <c r="M1352" s="9">
        <f t="shared" si="209"/>
        <v>0.64650196259524362</v>
      </c>
      <c r="N1352" s="5">
        <v>1</v>
      </c>
      <c r="O1352" s="10">
        <f t="shared" si="210"/>
        <v>0.64650196259524362</v>
      </c>
    </row>
    <row r="1353" spans="2:15" ht="13.5" hidden="1" customHeight="1">
      <c r="B1353" s="33">
        <f t="shared" si="204"/>
        <v>38</v>
      </c>
      <c r="C1353" s="35" t="s">
        <v>252</v>
      </c>
      <c r="D1353" s="35" t="s">
        <v>313</v>
      </c>
      <c r="E1353" s="1" t="s">
        <v>189</v>
      </c>
      <c r="F1353" s="30" t="s">
        <v>31</v>
      </c>
      <c r="G1353" s="36">
        <f t="shared" si="211"/>
        <v>6826.5</v>
      </c>
      <c r="H1353" s="36">
        <v>1861</v>
      </c>
      <c r="I1353" s="36">
        <v>1240</v>
      </c>
      <c r="J1353" s="36">
        <v>900</v>
      </c>
      <c r="K1353" s="36">
        <f t="shared" si="208"/>
        <v>10827.5</v>
      </c>
      <c r="L1353" s="36">
        <v>7000</v>
      </c>
      <c r="M1353" s="9">
        <f t="shared" si="209"/>
        <v>0.64650196259524362</v>
      </c>
      <c r="N1353" s="5">
        <v>1</v>
      </c>
      <c r="O1353" s="10">
        <f t="shared" si="210"/>
        <v>0.64650196259524362</v>
      </c>
    </row>
    <row r="1354" spans="2:15" ht="13.5" hidden="1" customHeight="1">
      <c r="B1354" s="33">
        <f t="shared" si="204"/>
        <v>39</v>
      </c>
      <c r="C1354" s="35" t="s">
        <v>49</v>
      </c>
      <c r="D1354" s="35" t="s">
        <v>277</v>
      </c>
      <c r="E1354" s="1" t="s">
        <v>268</v>
      </c>
      <c r="F1354" s="30" t="s">
        <v>26</v>
      </c>
      <c r="G1354" s="36">
        <f>333*19</f>
        <v>6327</v>
      </c>
      <c r="H1354" s="36">
        <v>1861</v>
      </c>
      <c r="I1354" s="36">
        <v>1240</v>
      </c>
      <c r="J1354" s="36">
        <v>1800</v>
      </c>
      <c r="K1354" s="36">
        <f t="shared" si="208"/>
        <v>11228</v>
      </c>
      <c r="L1354" s="36">
        <v>7000</v>
      </c>
      <c r="M1354" s="9">
        <f t="shared" si="209"/>
        <v>0.62344139650872821</v>
      </c>
      <c r="N1354" s="5">
        <v>1</v>
      </c>
      <c r="O1354" s="10">
        <f t="shared" si="210"/>
        <v>0.62344139650872821</v>
      </c>
    </row>
    <row r="1355" spans="2:15" ht="13.5" hidden="1" customHeight="1">
      <c r="B1355" s="33">
        <f t="shared" si="204"/>
        <v>40</v>
      </c>
      <c r="C1355" s="35" t="s">
        <v>230</v>
      </c>
      <c r="D1355" s="35" t="s">
        <v>287</v>
      </c>
      <c r="E1355" s="1" t="s">
        <v>124</v>
      </c>
      <c r="F1355" s="30" t="s">
        <v>26</v>
      </c>
      <c r="G1355" s="36">
        <f t="shared" ref="G1355:G1357" si="212">333*19</f>
        <v>6327</v>
      </c>
      <c r="H1355" s="36">
        <v>1861</v>
      </c>
      <c r="I1355" s="36">
        <v>1240</v>
      </c>
      <c r="J1355" s="36">
        <v>1800</v>
      </c>
      <c r="K1355" s="36">
        <f t="shared" si="208"/>
        <v>11228</v>
      </c>
      <c r="L1355" s="36">
        <v>7000</v>
      </c>
      <c r="M1355" s="9">
        <f t="shared" si="209"/>
        <v>0.62344139650872821</v>
      </c>
      <c r="N1355" s="5">
        <v>1</v>
      </c>
      <c r="O1355" s="10">
        <f t="shared" si="210"/>
        <v>0.62344139650872821</v>
      </c>
    </row>
    <row r="1356" spans="2:15" ht="13.5" hidden="1" customHeight="1">
      <c r="B1356" s="33">
        <f t="shared" si="204"/>
        <v>41</v>
      </c>
      <c r="C1356" s="35" t="s">
        <v>231</v>
      </c>
      <c r="D1356" s="35" t="s">
        <v>288</v>
      </c>
      <c r="E1356" s="1" t="s">
        <v>191</v>
      </c>
      <c r="F1356" s="30" t="s">
        <v>26</v>
      </c>
      <c r="G1356" s="36">
        <f t="shared" si="212"/>
        <v>6327</v>
      </c>
      <c r="H1356" s="36">
        <v>1861</v>
      </c>
      <c r="I1356" s="36">
        <v>1240</v>
      </c>
      <c r="J1356" s="36">
        <v>1800</v>
      </c>
      <c r="K1356" s="36">
        <f t="shared" si="208"/>
        <v>11228</v>
      </c>
      <c r="L1356" s="36">
        <v>7000</v>
      </c>
      <c r="M1356" s="9">
        <f t="shared" si="209"/>
        <v>0.62344139650872821</v>
      </c>
      <c r="N1356" s="5">
        <v>1</v>
      </c>
      <c r="O1356" s="10">
        <f t="shared" si="210"/>
        <v>0.62344139650872821</v>
      </c>
    </row>
    <row r="1357" spans="2:15" ht="13.5" hidden="1" customHeight="1">
      <c r="B1357" s="33">
        <f t="shared" si="204"/>
        <v>42</v>
      </c>
      <c r="C1357" s="35" t="s">
        <v>242</v>
      </c>
      <c r="D1357" s="35" t="s">
        <v>300</v>
      </c>
      <c r="E1357" s="1" t="s">
        <v>269</v>
      </c>
      <c r="F1357" s="30" t="s">
        <v>26</v>
      </c>
      <c r="G1357" s="36">
        <f t="shared" si="212"/>
        <v>6327</v>
      </c>
      <c r="H1357" s="36">
        <v>1861</v>
      </c>
      <c r="I1357" s="36">
        <v>1240</v>
      </c>
      <c r="J1357" s="36">
        <v>1800</v>
      </c>
      <c r="K1357" s="36">
        <f t="shared" si="208"/>
        <v>11228</v>
      </c>
      <c r="L1357" s="36">
        <v>7000</v>
      </c>
      <c r="M1357" s="9">
        <f t="shared" si="209"/>
        <v>0.62344139650872821</v>
      </c>
      <c r="N1357" s="5">
        <v>1</v>
      </c>
      <c r="O1357" s="10">
        <f t="shared" si="210"/>
        <v>0.62344139650872821</v>
      </c>
    </row>
    <row r="1358" spans="2:15" ht="13.5" hidden="1" customHeight="1">
      <c r="B1358" s="33">
        <f t="shared" si="204"/>
        <v>43</v>
      </c>
      <c r="C1358" s="25" t="s">
        <v>226</v>
      </c>
      <c r="D1358" s="25" t="s">
        <v>280</v>
      </c>
      <c r="E1358" s="1" t="s">
        <v>121</v>
      </c>
      <c r="F1358" s="30" t="s">
        <v>32</v>
      </c>
      <c r="G1358" s="36">
        <f>300*17</f>
        <v>5100</v>
      </c>
      <c r="H1358" s="36">
        <v>1861</v>
      </c>
      <c r="I1358" s="36">
        <v>1240</v>
      </c>
      <c r="J1358" s="36">
        <v>900</v>
      </c>
      <c r="K1358" s="36">
        <f t="shared" si="208"/>
        <v>9101</v>
      </c>
      <c r="L1358" s="36">
        <v>7000</v>
      </c>
      <c r="M1358" s="9">
        <f t="shared" si="209"/>
        <v>0.76914624766509176</v>
      </c>
      <c r="N1358" s="5">
        <v>1</v>
      </c>
      <c r="O1358" s="10">
        <f t="shared" si="210"/>
        <v>0.76914624766509176</v>
      </c>
    </row>
    <row r="1359" spans="2:15" ht="13.5" hidden="1" customHeight="1">
      <c r="B1359" s="33">
        <f t="shared" si="204"/>
        <v>44</v>
      </c>
      <c r="C1359" s="25" t="s">
        <v>133</v>
      </c>
      <c r="D1359" s="25" t="s">
        <v>283</v>
      </c>
      <c r="E1359" s="1" t="s">
        <v>268</v>
      </c>
      <c r="F1359" s="30" t="s">
        <v>32</v>
      </c>
      <c r="G1359" s="36">
        <f t="shared" ref="G1359:G1360" si="213">300*17</f>
        <v>5100</v>
      </c>
      <c r="H1359" s="36">
        <v>1861</v>
      </c>
      <c r="I1359" s="36">
        <v>1240</v>
      </c>
      <c r="J1359" s="36">
        <v>900</v>
      </c>
      <c r="K1359" s="36">
        <f t="shared" si="208"/>
        <v>9101</v>
      </c>
      <c r="L1359" s="36">
        <v>7000</v>
      </c>
      <c r="M1359" s="9">
        <f t="shared" si="209"/>
        <v>0.76914624766509176</v>
      </c>
      <c r="N1359" s="5">
        <v>1</v>
      </c>
      <c r="O1359" s="10">
        <f t="shared" si="210"/>
        <v>0.76914624766509176</v>
      </c>
    </row>
    <row r="1360" spans="2:15" ht="13.5" hidden="1" customHeight="1">
      <c r="B1360" s="33">
        <f t="shared" si="204"/>
        <v>45</v>
      </c>
      <c r="C1360" s="35" t="s">
        <v>83</v>
      </c>
      <c r="D1360" s="35" t="s">
        <v>298</v>
      </c>
      <c r="E1360" s="1" t="s">
        <v>122</v>
      </c>
      <c r="F1360" s="30" t="s">
        <v>32</v>
      </c>
      <c r="G1360" s="36">
        <f t="shared" si="213"/>
        <v>5100</v>
      </c>
      <c r="H1360" s="36">
        <v>1861</v>
      </c>
      <c r="I1360" s="36">
        <v>1240</v>
      </c>
      <c r="J1360" s="36">
        <v>900</v>
      </c>
      <c r="K1360" s="36">
        <f t="shared" si="208"/>
        <v>9101</v>
      </c>
      <c r="L1360" s="36">
        <v>7000</v>
      </c>
      <c r="M1360" s="9">
        <f t="shared" si="209"/>
        <v>0.76914624766509176</v>
      </c>
      <c r="N1360" s="5">
        <v>1</v>
      </c>
      <c r="O1360" s="10">
        <f t="shared" si="210"/>
        <v>0.76914624766509176</v>
      </c>
    </row>
    <row r="1361" spans="1:15" ht="13.5" hidden="1" customHeight="1">
      <c r="B1361" s="33">
        <f t="shared" si="204"/>
        <v>46</v>
      </c>
      <c r="C1361" s="35" t="s">
        <v>247</v>
      </c>
      <c r="D1361" s="35" t="s">
        <v>307</v>
      </c>
      <c r="E1361" s="1" t="s">
        <v>47</v>
      </c>
      <c r="F1361" s="30" t="s">
        <v>43</v>
      </c>
      <c r="G1361" s="36">
        <f>333*18.5</f>
        <v>6160.5</v>
      </c>
      <c r="H1361" s="36">
        <v>1861</v>
      </c>
      <c r="I1361" s="36">
        <v>1240</v>
      </c>
      <c r="J1361" s="36">
        <v>500</v>
      </c>
      <c r="K1361" s="36">
        <f t="shared" si="208"/>
        <v>9761.5</v>
      </c>
      <c r="L1361" s="36">
        <v>7000</v>
      </c>
      <c r="M1361" s="9">
        <f t="shared" si="209"/>
        <v>0.71710290426676226</v>
      </c>
      <c r="N1361" s="5">
        <v>1</v>
      </c>
      <c r="O1361" s="10">
        <f t="shared" si="210"/>
        <v>0.71710290426676226</v>
      </c>
    </row>
    <row r="1362" spans="1:15" ht="13.5" hidden="1" customHeight="1">
      <c r="B1362" s="33">
        <f t="shared" si="204"/>
        <v>47</v>
      </c>
      <c r="C1362" s="35" t="s">
        <v>261</v>
      </c>
      <c r="D1362" s="35" t="s">
        <v>322</v>
      </c>
      <c r="E1362" s="1" t="s">
        <v>186</v>
      </c>
      <c r="F1362" s="30" t="s">
        <v>43</v>
      </c>
      <c r="G1362" s="36">
        <f>333*18.5</f>
        <v>6160.5</v>
      </c>
      <c r="H1362" s="36">
        <v>1861</v>
      </c>
      <c r="I1362" s="36">
        <v>1240</v>
      </c>
      <c r="J1362" s="36">
        <v>500</v>
      </c>
      <c r="K1362" s="36">
        <f t="shared" si="208"/>
        <v>9761.5</v>
      </c>
      <c r="L1362" s="36">
        <v>7000</v>
      </c>
      <c r="M1362" s="9">
        <f t="shared" si="209"/>
        <v>0.71710290426676226</v>
      </c>
      <c r="N1362" s="5">
        <v>1</v>
      </c>
      <c r="O1362" s="10">
        <f t="shared" si="210"/>
        <v>0.71710290426676226</v>
      </c>
    </row>
    <row r="1363" spans="1:15" ht="13.5" hidden="1" customHeight="1">
      <c r="B1363" s="33">
        <f t="shared" si="204"/>
        <v>48</v>
      </c>
      <c r="C1363" s="35" t="s">
        <v>245</v>
      </c>
      <c r="D1363" s="35" t="s">
        <v>304</v>
      </c>
      <c r="E1363" s="1" t="s">
        <v>191</v>
      </c>
      <c r="F1363" s="30" t="s">
        <v>27</v>
      </c>
      <c r="G1363" s="36">
        <f>333*18</f>
        <v>5994</v>
      </c>
      <c r="H1363" s="36">
        <v>1861</v>
      </c>
      <c r="I1363" s="36">
        <v>1240</v>
      </c>
      <c r="J1363" s="36">
        <v>500</v>
      </c>
      <c r="K1363" s="36">
        <f t="shared" si="208"/>
        <v>9595</v>
      </c>
      <c r="L1363" s="36">
        <v>7000</v>
      </c>
      <c r="M1363" s="9">
        <f t="shared" si="209"/>
        <v>0.72954663887441373</v>
      </c>
      <c r="N1363" s="5">
        <v>1</v>
      </c>
      <c r="O1363" s="10">
        <f t="shared" si="210"/>
        <v>0.72954663887441373</v>
      </c>
    </row>
    <row r="1364" spans="1:15" ht="13.5" hidden="1" customHeight="1">
      <c r="B1364" s="33">
        <f t="shared" si="204"/>
        <v>49</v>
      </c>
      <c r="C1364" s="35" t="s">
        <v>246</v>
      </c>
      <c r="D1364" s="35" t="s">
        <v>305</v>
      </c>
      <c r="E1364" s="1" t="s">
        <v>189</v>
      </c>
      <c r="F1364" s="30" t="s">
        <v>27</v>
      </c>
      <c r="G1364" s="36">
        <f>333*15</f>
        <v>4995</v>
      </c>
      <c r="H1364" s="36">
        <v>1861</v>
      </c>
      <c r="I1364" s="36">
        <v>1240</v>
      </c>
      <c r="J1364" s="36">
        <v>500</v>
      </c>
      <c r="K1364" s="36">
        <f t="shared" si="208"/>
        <v>8596</v>
      </c>
      <c r="L1364" s="36">
        <v>7000</v>
      </c>
      <c r="M1364" s="9">
        <f t="shared" si="209"/>
        <v>0.81433224755700329</v>
      </c>
      <c r="N1364" s="5">
        <v>1</v>
      </c>
      <c r="O1364" s="10">
        <f t="shared" si="210"/>
        <v>0.81433224755700329</v>
      </c>
    </row>
    <row r="1365" spans="1:15" ht="13.5" hidden="1" customHeight="1">
      <c r="B1365" s="33">
        <f t="shared" si="204"/>
        <v>50</v>
      </c>
      <c r="C1365" s="35" t="s">
        <v>254</v>
      </c>
      <c r="D1365" s="35" t="s">
        <v>315</v>
      </c>
      <c r="E1365" s="1" t="s">
        <v>191</v>
      </c>
      <c r="F1365" s="30" t="s">
        <v>27</v>
      </c>
      <c r="G1365" s="36">
        <f>333*18</f>
        <v>5994</v>
      </c>
      <c r="H1365" s="36">
        <v>1861</v>
      </c>
      <c r="I1365" s="36">
        <v>1240</v>
      </c>
      <c r="J1365" s="36">
        <v>500</v>
      </c>
      <c r="K1365" s="36">
        <f t="shared" si="208"/>
        <v>9595</v>
      </c>
      <c r="L1365" s="36">
        <v>7000</v>
      </c>
      <c r="M1365" s="9">
        <f t="shared" si="209"/>
        <v>0.72954663887441373</v>
      </c>
      <c r="N1365" s="5">
        <v>1</v>
      </c>
      <c r="O1365" s="10">
        <f t="shared" si="210"/>
        <v>0.72954663887441373</v>
      </c>
    </row>
    <row r="1366" spans="1:15" ht="13.5" hidden="1" customHeight="1">
      <c r="B1366" s="33">
        <f t="shared" si="204"/>
        <v>51</v>
      </c>
      <c r="C1366" s="35" t="s">
        <v>255</v>
      </c>
      <c r="D1366" s="35" t="s">
        <v>316</v>
      </c>
      <c r="E1366" s="1" t="s">
        <v>127</v>
      </c>
      <c r="F1366" s="30" t="s">
        <v>27</v>
      </c>
      <c r="G1366" s="36">
        <f>333*15</f>
        <v>4995</v>
      </c>
      <c r="H1366" s="36">
        <v>1861</v>
      </c>
      <c r="I1366" s="36">
        <v>1240</v>
      </c>
      <c r="J1366" s="36">
        <v>500</v>
      </c>
      <c r="K1366" s="36">
        <f t="shared" si="208"/>
        <v>8596</v>
      </c>
      <c r="L1366" s="36">
        <v>7000</v>
      </c>
      <c r="M1366" s="9">
        <f t="shared" si="209"/>
        <v>0.81433224755700329</v>
      </c>
      <c r="N1366" s="5">
        <v>1</v>
      </c>
      <c r="O1366" s="10">
        <f t="shared" si="210"/>
        <v>0.81433224755700329</v>
      </c>
    </row>
    <row r="1367" spans="1:15" ht="13.5" hidden="1" customHeight="1">
      <c r="B1367" s="33">
        <f t="shared" si="204"/>
        <v>52</v>
      </c>
      <c r="C1367" s="35" t="s">
        <v>220</v>
      </c>
      <c r="D1367" s="35" t="s">
        <v>273</v>
      </c>
      <c r="E1367" s="1" t="s">
        <v>127</v>
      </c>
      <c r="F1367" s="30" t="s">
        <v>30</v>
      </c>
      <c r="G1367" s="36">
        <f>300*21</f>
        <v>6300</v>
      </c>
      <c r="H1367" s="36">
        <v>1861</v>
      </c>
      <c r="I1367" s="36">
        <v>1240</v>
      </c>
      <c r="J1367" s="36">
        <v>500</v>
      </c>
      <c r="K1367" s="36">
        <f t="shared" si="208"/>
        <v>9901</v>
      </c>
      <c r="L1367" s="36">
        <v>7000</v>
      </c>
      <c r="M1367" s="9">
        <f t="shared" si="209"/>
        <v>0.70699929300070696</v>
      </c>
      <c r="N1367" s="5">
        <v>1</v>
      </c>
      <c r="O1367" s="10">
        <f t="shared" si="210"/>
        <v>0.70699929300070696</v>
      </c>
    </row>
    <row r="1368" spans="1:15" ht="13.5" hidden="1" customHeight="1">
      <c r="B1368" s="33">
        <f t="shared" si="204"/>
        <v>53</v>
      </c>
      <c r="C1368" s="25" t="s">
        <v>228</v>
      </c>
      <c r="D1368" s="25" t="s">
        <v>282</v>
      </c>
      <c r="E1368" s="1" t="s">
        <v>186</v>
      </c>
      <c r="F1368" s="30" t="s">
        <v>30</v>
      </c>
      <c r="G1368" s="36">
        <f>300*21</f>
        <v>6300</v>
      </c>
      <c r="H1368" s="36">
        <v>1861</v>
      </c>
      <c r="I1368" s="36">
        <v>1240</v>
      </c>
      <c r="J1368" s="36">
        <v>500</v>
      </c>
      <c r="K1368" s="36">
        <f t="shared" si="208"/>
        <v>9901</v>
      </c>
      <c r="L1368" s="36">
        <v>7000</v>
      </c>
      <c r="M1368" s="9">
        <f t="shared" si="209"/>
        <v>0.70699929300070696</v>
      </c>
      <c r="N1368" s="5">
        <v>1</v>
      </c>
      <c r="O1368" s="10">
        <f t="shared" si="210"/>
        <v>0.70699929300070696</v>
      </c>
    </row>
    <row r="1369" spans="1:15" ht="13.5" hidden="1" customHeight="1">
      <c r="B1369" s="33">
        <f t="shared" si="204"/>
        <v>54</v>
      </c>
      <c r="C1369" s="35" t="s">
        <v>244</v>
      </c>
      <c r="D1369" s="35" t="s">
        <v>303</v>
      </c>
      <c r="E1369" s="1" t="s">
        <v>128</v>
      </c>
      <c r="F1369" s="30" t="s">
        <v>30</v>
      </c>
      <c r="G1369" s="36">
        <f>300*15</f>
        <v>4500</v>
      </c>
      <c r="H1369" s="36">
        <v>1861</v>
      </c>
      <c r="I1369" s="36">
        <v>1240</v>
      </c>
      <c r="J1369" s="36">
        <v>500</v>
      </c>
      <c r="K1369" s="36">
        <f t="shared" si="208"/>
        <v>8101</v>
      </c>
      <c r="L1369" s="36">
        <v>7000</v>
      </c>
      <c r="M1369" s="9">
        <f t="shared" si="209"/>
        <v>0.86409085298111343</v>
      </c>
      <c r="N1369" s="5">
        <v>1</v>
      </c>
      <c r="O1369" s="10">
        <f t="shared" si="210"/>
        <v>0.86409085298111343</v>
      </c>
    </row>
    <row r="1370" spans="1:15" ht="13.5" hidden="1" customHeight="1">
      <c r="B1370" s="33">
        <f t="shared" si="204"/>
        <v>55</v>
      </c>
      <c r="C1370" s="35" t="s">
        <v>250</v>
      </c>
      <c r="D1370" s="35" t="s">
        <v>311</v>
      </c>
      <c r="E1370" s="1" t="s">
        <v>122</v>
      </c>
      <c r="F1370" s="30" t="s">
        <v>30</v>
      </c>
      <c r="G1370" s="36">
        <f>300*21</f>
        <v>6300</v>
      </c>
      <c r="H1370" s="36">
        <v>1861</v>
      </c>
      <c r="I1370" s="36">
        <v>1240</v>
      </c>
      <c r="J1370" s="36">
        <v>500</v>
      </c>
      <c r="K1370" s="36">
        <f t="shared" si="208"/>
        <v>9901</v>
      </c>
      <c r="L1370" s="36">
        <v>7000</v>
      </c>
      <c r="M1370" s="9">
        <f t="shared" si="209"/>
        <v>0.70699929300070696</v>
      </c>
      <c r="N1370" s="5">
        <v>1</v>
      </c>
      <c r="O1370" s="10">
        <f t="shared" si="210"/>
        <v>0.70699929300070696</v>
      </c>
    </row>
    <row r="1371" spans="1:15" ht="13.5" hidden="1" customHeight="1">
      <c r="B1371" s="33">
        <f t="shared" si="204"/>
        <v>56</v>
      </c>
      <c r="C1371" s="35" t="s">
        <v>75</v>
      </c>
      <c r="D1371" s="35" t="s">
        <v>270</v>
      </c>
      <c r="E1371" s="1" t="s">
        <v>126</v>
      </c>
      <c r="F1371" s="30" t="s">
        <v>212</v>
      </c>
      <c r="G1371" s="36">
        <f>300*18</f>
        <v>5400</v>
      </c>
      <c r="H1371" s="36">
        <v>1861</v>
      </c>
      <c r="I1371" s="36">
        <v>1240</v>
      </c>
      <c r="J1371" s="36">
        <v>500</v>
      </c>
      <c r="K1371" s="36">
        <f t="shared" si="208"/>
        <v>9001</v>
      </c>
      <c r="L1371" s="36">
        <v>7000</v>
      </c>
      <c r="M1371" s="9">
        <f t="shared" si="209"/>
        <v>0.77769136762581936</v>
      </c>
      <c r="N1371" s="5">
        <v>1</v>
      </c>
      <c r="O1371" s="10">
        <f t="shared" si="210"/>
        <v>0.77769136762581936</v>
      </c>
    </row>
    <row r="1372" spans="1:15" ht="13.5" hidden="1" customHeight="1">
      <c r="B1372" s="33">
        <f t="shared" si="204"/>
        <v>57</v>
      </c>
      <c r="C1372" s="35" t="s">
        <v>233</v>
      </c>
      <c r="D1372" s="35" t="s">
        <v>290</v>
      </c>
      <c r="E1372" s="1" t="s">
        <v>124</v>
      </c>
      <c r="F1372" s="30" t="s">
        <v>215</v>
      </c>
      <c r="G1372" s="36">
        <f>333*24</f>
        <v>7992</v>
      </c>
      <c r="H1372" s="36">
        <v>1884.4</v>
      </c>
      <c r="I1372" s="36">
        <v>3480</v>
      </c>
      <c r="J1372" s="36"/>
      <c r="K1372" s="36">
        <f t="shared" si="208"/>
        <v>13356.4</v>
      </c>
      <c r="L1372" s="36">
        <v>7000</v>
      </c>
      <c r="M1372" s="9">
        <f t="shared" si="209"/>
        <v>0.52409331855889318</v>
      </c>
      <c r="N1372" s="5">
        <v>1</v>
      </c>
      <c r="O1372" s="10">
        <f t="shared" si="210"/>
        <v>0.52409331855889318</v>
      </c>
    </row>
    <row r="1373" spans="1:15" ht="13.5" hidden="1" customHeight="1">
      <c r="B1373" s="33">
        <f t="shared" si="204"/>
        <v>58</v>
      </c>
      <c r="C1373" s="35" t="s">
        <v>117</v>
      </c>
      <c r="D1373" s="35" t="s">
        <v>318</v>
      </c>
      <c r="E1373" s="1" t="s">
        <v>47</v>
      </c>
      <c r="F1373" s="30" t="s">
        <v>35</v>
      </c>
      <c r="G1373" s="36">
        <f>333*24.5</f>
        <v>8158.5</v>
      </c>
      <c r="H1373" s="36">
        <v>1884.4</v>
      </c>
      <c r="I1373" s="36">
        <v>3480</v>
      </c>
      <c r="J1373" s="36"/>
      <c r="K1373" s="36">
        <f t="shared" si="208"/>
        <v>13522.9</v>
      </c>
      <c r="L1373" s="36">
        <v>7000</v>
      </c>
      <c r="M1373" s="9">
        <f t="shared" si="209"/>
        <v>0.51764044694555167</v>
      </c>
      <c r="N1373" s="5">
        <v>1</v>
      </c>
      <c r="O1373" s="10">
        <f t="shared" si="210"/>
        <v>0.51764044694555167</v>
      </c>
    </row>
    <row r="1374" spans="1:15" ht="16.5" hidden="1" customHeight="1">
      <c r="A1374" s="66" t="s">
        <v>45</v>
      </c>
      <c r="B1374" s="66"/>
      <c r="C1374" s="66"/>
      <c r="D1374" s="66"/>
      <c r="E1374" s="66"/>
      <c r="F1374" s="66"/>
      <c r="G1374" s="66"/>
      <c r="H1374" s="66"/>
      <c r="I1374" s="66"/>
      <c r="J1374" s="66"/>
      <c r="K1374" s="66"/>
      <c r="L1374" s="66"/>
      <c r="M1374" s="66"/>
      <c r="N1374" s="22">
        <f>SUM(N1316:N1373)</f>
        <v>58</v>
      </c>
      <c r="O1374" s="23">
        <f>SUM(O1316:O1373)</f>
        <v>42.697791158840253</v>
      </c>
    </row>
    <row r="1375" spans="1:15" ht="13.5" hidden="1" customHeight="1">
      <c r="A1375" s="44" t="s">
        <v>138</v>
      </c>
      <c r="B1375" s="44"/>
      <c r="C1375" s="44"/>
      <c r="D1375" s="44"/>
      <c r="E1375" s="44"/>
      <c r="F1375" s="44"/>
      <c r="G1375" s="44"/>
      <c r="H1375" s="44"/>
      <c r="I1375" s="44"/>
      <c r="J1375" s="44"/>
      <c r="K1375" s="44"/>
      <c r="L1375" s="44"/>
      <c r="M1375" s="44"/>
      <c r="N1375" s="44"/>
      <c r="O1375" s="44"/>
    </row>
    <row r="1376" spans="1:15" ht="13.5" hidden="1" customHeight="1">
      <c r="B1376" s="33">
        <v>1</v>
      </c>
      <c r="C1376" s="35" t="s">
        <v>222</v>
      </c>
      <c r="D1376" s="35" t="s">
        <v>275</v>
      </c>
      <c r="E1376" s="1" t="s">
        <v>192</v>
      </c>
      <c r="F1376" s="30" t="s">
        <v>213</v>
      </c>
      <c r="G1376" s="36">
        <f>333*23</f>
        <v>7659</v>
      </c>
      <c r="H1376" s="36">
        <v>1861</v>
      </c>
      <c r="I1376" s="36">
        <v>1240</v>
      </c>
      <c r="J1376" s="36"/>
      <c r="K1376" s="36">
        <f t="shared" ref="K1376:K1407" si="214">SUM(G1376:J1376)</f>
        <v>10760</v>
      </c>
      <c r="L1376" s="36">
        <v>7000</v>
      </c>
      <c r="M1376" s="9">
        <f t="shared" ref="M1376:M1407" si="215">L1376/K1376</f>
        <v>0.65055762081784385</v>
      </c>
      <c r="N1376" s="5">
        <v>1</v>
      </c>
      <c r="O1376" s="10">
        <f t="shared" ref="O1376:O1407" si="216">N1376*M1376</f>
        <v>0.65055762081784385</v>
      </c>
    </row>
    <row r="1377" spans="2:15" ht="13.5" hidden="1" customHeight="1">
      <c r="B1377" s="33">
        <f>B1376+1</f>
        <v>2</v>
      </c>
      <c r="C1377" s="35" t="s">
        <v>264</v>
      </c>
      <c r="D1377" s="35" t="s">
        <v>267</v>
      </c>
      <c r="F1377" s="30" t="s">
        <v>213</v>
      </c>
      <c r="G1377" s="36">
        <f>333*23</f>
        <v>7659</v>
      </c>
      <c r="H1377" s="36">
        <v>1861</v>
      </c>
      <c r="I1377" s="36">
        <v>1240</v>
      </c>
      <c r="J1377" s="36"/>
      <c r="K1377" s="36">
        <f t="shared" si="214"/>
        <v>10760</v>
      </c>
      <c r="L1377" s="36">
        <v>7000</v>
      </c>
      <c r="M1377" s="9">
        <f t="shared" si="215"/>
        <v>0.65055762081784385</v>
      </c>
      <c r="N1377" s="5">
        <v>1</v>
      </c>
      <c r="O1377" s="10">
        <f t="shared" si="216"/>
        <v>0.65055762081784385</v>
      </c>
    </row>
    <row r="1378" spans="2:15" ht="13.5" hidden="1" customHeight="1">
      <c r="B1378" s="33">
        <f t="shared" ref="B1378:B1433" si="217">B1377+1</f>
        <v>3</v>
      </c>
      <c r="C1378" s="35" t="s">
        <v>251</v>
      </c>
      <c r="D1378" s="35" t="s">
        <v>312</v>
      </c>
      <c r="E1378" s="1" t="s">
        <v>126</v>
      </c>
      <c r="F1378" s="30" t="s">
        <v>140</v>
      </c>
      <c r="G1378" s="36">
        <f>300*9</f>
        <v>2700</v>
      </c>
      <c r="H1378" s="36">
        <v>1861</v>
      </c>
      <c r="I1378" s="36">
        <v>1240</v>
      </c>
      <c r="J1378" s="36"/>
      <c r="K1378" s="36">
        <f t="shared" si="214"/>
        <v>5801</v>
      </c>
      <c r="L1378" s="36">
        <v>7000</v>
      </c>
      <c r="M1378" s="9">
        <f t="shared" si="215"/>
        <v>1.2066885019824167</v>
      </c>
      <c r="N1378" s="5">
        <v>1</v>
      </c>
      <c r="O1378" s="10">
        <f t="shared" si="216"/>
        <v>1.2066885019824167</v>
      </c>
    </row>
    <row r="1379" spans="2:15" ht="13.5" hidden="1" customHeight="1">
      <c r="B1379" s="33">
        <f t="shared" si="217"/>
        <v>4</v>
      </c>
      <c r="C1379" s="35" t="s">
        <v>239</v>
      </c>
      <c r="D1379" s="35" t="s">
        <v>296</v>
      </c>
      <c r="E1379" s="1" t="s">
        <v>124</v>
      </c>
      <c r="F1379" s="30" t="s">
        <v>330</v>
      </c>
      <c r="G1379" s="36">
        <f>350*20</f>
        <v>7000</v>
      </c>
      <c r="H1379" s="36">
        <v>1861</v>
      </c>
      <c r="I1379" s="36">
        <v>1240</v>
      </c>
      <c r="J1379" s="36">
        <v>500</v>
      </c>
      <c r="K1379" s="36">
        <f t="shared" si="214"/>
        <v>10601</v>
      </c>
      <c r="L1379" s="36">
        <v>7000</v>
      </c>
      <c r="M1379" s="9">
        <f t="shared" si="215"/>
        <v>0.66031506461654565</v>
      </c>
      <c r="N1379" s="5">
        <v>1</v>
      </c>
      <c r="O1379" s="10">
        <f t="shared" si="216"/>
        <v>0.66031506461654565</v>
      </c>
    </row>
    <row r="1380" spans="2:15" ht="13.5" hidden="1" customHeight="1">
      <c r="B1380" s="33">
        <f t="shared" si="217"/>
        <v>5</v>
      </c>
      <c r="C1380" s="35" t="s">
        <v>256</v>
      </c>
      <c r="D1380" s="35" t="s">
        <v>317</v>
      </c>
      <c r="E1380" s="1" t="s">
        <v>126</v>
      </c>
      <c r="F1380" s="30" t="s">
        <v>330</v>
      </c>
      <c r="G1380" s="36">
        <f>350*20</f>
        <v>7000</v>
      </c>
      <c r="H1380" s="36">
        <v>1861</v>
      </c>
      <c r="I1380" s="36">
        <v>1240</v>
      </c>
      <c r="J1380" s="36">
        <v>500</v>
      </c>
      <c r="K1380" s="36">
        <f t="shared" si="214"/>
        <v>10601</v>
      </c>
      <c r="L1380" s="36">
        <v>7000</v>
      </c>
      <c r="M1380" s="9">
        <f t="shared" si="215"/>
        <v>0.66031506461654565</v>
      </c>
      <c r="N1380" s="5">
        <v>1</v>
      </c>
      <c r="O1380" s="10">
        <f t="shared" si="216"/>
        <v>0.66031506461654565</v>
      </c>
    </row>
    <row r="1381" spans="2:15" ht="13.5" hidden="1" customHeight="1">
      <c r="B1381" s="33">
        <f t="shared" si="217"/>
        <v>6</v>
      </c>
      <c r="C1381" s="35" t="s">
        <v>262</v>
      </c>
      <c r="D1381" s="35" t="s">
        <v>323</v>
      </c>
      <c r="E1381" s="1" t="s">
        <v>122</v>
      </c>
      <c r="F1381" s="30" t="s">
        <v>34</v>
      </c>
      <c r="G1381" s="36">
        <f>350*15</f>
        <v>5250</v>
      </c>
      <c r="H1381" s="36">
        <v>1861</v>
      </c>
      <c r="I1381" s="36">
        <v>1240</v>
      </c>
      <c r="J1381" s="36">
        <v>500</v>
      </c>
      <c r="K1381" s="36">
        <f t="shared" si="214"/>
        <v>8851</v>
      </c>
      <c r="L1381" s="36">
        <v>7000</v>
      </c>
      <c r="M1381" s="9">
        <f t="shared" si="215"/>
        <v>0.79087108801265393</v>
      </c>
      <c r="N1381" s="5">
        <v>1</v>
      </c>
      <c r="O1381" s="10">
        <f t="shared" si="216"/>
        <v>0.79087108801265393</v>
      </c>
    </row>
    <row r="1382" spans="2:15" ht="13.5" hidden="1" customHeight="1">
      <c r="B1382" s="33">
        <f t="shared" si="217"/>
        <v>7</v>
      </c>
      <c r="C1382" s="35" t="s">
        <v>265</v>
      </c>
      <c r="D1382" s="35" t="s">
        <v>325</v>
      </c>
      <c r="E1382" s="1" t="s">
        <v>268</v>
      </c>
      <c r="F1382" s="30" t="s">
        <v>34</v>
      </c>
      <c r="G1382" s="36">
        <f>350*15</f>
        <v>5250</v>
      </c>
      <c r="H1382" s="36">
        <v>1861</v>
      </c>
      <c r="I1382" s="36">
        <v>1240</v>
      </c>
      <c r="J1382" s="36">
        <v>500</v>
      </c>
      <c r="K1382" s="36">
        <f t="shared" si="214"/>
        <v>8851</v>
      </c>
      <c r="L1382" s="36">
        <v>7000</v>
      </c>
      <c r="M1382" s="9">
        <f t="shared" si="215"/>
        <v>0.79087108801265393</v>
      </c>
      <c r="N1382" s="5">
        <v>1</v>
      </c>
      <c r="O1382" s="10">
        <f t="shared" si="216"/>
        <v>0.79087108801265393</v>
      </c>
    </row>
    <row r="1383" spans="2:15" ht="13.5" hidden="1" customHeight="1">
      <c r="B1383" s="33">
        <f t="shared" si="217"/>
        <v>8</v>
      </c>
      <c r="C1383" s="35" t="s">
        <v>248</v>
      </c>
      <c r="D1383" s="35" t="s">
        <v>308</v>
      </c>
      <c r="E1383" s="1" t="s">
        <v>192</v>
      </c>
      <c r="F1383" s="30" t="s">
        <v>29</v>
      </c>
      <c r="G1383" s="36">
        <f>450*18</f>
        <v>8100</v>
      </c>
      <c r="H1383" s="36">
        <v>1861</v>
      </c>
      <c r="I1383" s="36">
        <v>1240</v>
      </c>
      <c r="J1383" s="36">
        <v>500</v>
      </c>
      <c r="K1383" s="36">
        <f t="shared" si="214"/>
        <v>11701</v>
      </c>
      <c r="L1383" s="36">
        <v>7000</v>
      </c>
      <c r="M1383" s="9">
        <f t="shared" si="215"/>
        <v>0.59823946671224681</v>
      </c>
      <c r="N1383" s="5">
        <v>1</v>
      </c>
      <c r="O1383" s="10">
        <f t="shared" si="216"/>
        <v>0.59823946671224681</v>
      </c>
    </row>
    <row r="1384" spans="2:15" ht="13.5" hidden="1" customHeight="1">
      <c r="B1384" s="33">
        <f t="shared" si="217"/>
        <v>9</v>
      </c>
      <c r="C1384" s="35" t="s">
        <v>236</v>
      </c>
      <c r="D1384" s="35" t="s">
        <v>293</v>
      </c>
      <c r="E1384" s="1" t="s">
        <v>192</v>
      </c>
      <c r="F1384" s="30" t="s">
        <v>23</v>
      </c>
      <c r="G1384" s="36">
        <f>400*5</f>
        <v>2000</v>
      </c>
      <c r="H1384" s="36">
        <v>1861</v>
      </c>
      <c r="I1384" s="36">
        <v>1240</v>
      </c>
      <c r="J1384" s="36">
        <v>500</v>
      </c>
      <c r="K1384" s="36">
        <f t="shared" si="214"/>
        <v>5601</v>
      </c>
      <c r="L1384" s="36">
        <v>7000</v>
      </c>
      <c r="M1384" s="9">
        <f t="shared" si="215"/>
        <v>1.2497768255668631</v>
      </c>
      <c r="N1384" s="5">
        <v>1</v>
      </c>
      <c r="O1384" s="10">
        <f t="shared" si="216"/>
        <v>1.2497768255668631</v>
      </c>
    </row>
    <row r="1385" spans="2:15" ht="13.5" hidden="1" customHeight="1">
      <c r="B1385" s="33">
        <f t="shared" si="217"/>
        <v>10</v>
      </c>
      <c r="C1385" s="35" t="s">
        <v>257</v>
      </c>
      <c r="D1385" s="35" t="s">
        <v>319</v>
      </c>
      <c r="E1385" s="1" t="s">
        <v>186</v>
      </c>
      <c r="F1385" s="30" t="s">
        <v>23</v>
      </c>
      <c r="G1385" s="36">
        <f>400*5</f>
        <v>2000</v>
      </c>
      <c r="H1385" s="36">
        <v>1861</v>
      </c>
      <c r="I1385" s="36">
        <v>1240</v>
      </c>
      <c r="J1385" s="36">
        <v>500</v>
      </c>
      <c r="K1385" s="36">
        <f t="shared" si="214"/>
        <v>5601</v>
      </c>
      <c r="L1385" s="36">
        <v>7000</v>
      </c>
      <c r="M1385" s="9">
        <f t="shared" si="215"/>
        <v>1.2497768255668631</v>
      </c>
      <c r="N1385" s="5">
        <v>1</v>
      </c>
      <c r="O1385" s="10">
        <f t="shared" si="216"/>
        <v>1.2497768255668631</v>
      </c>
    </row>
    <row r="1386" spans="2:15" ht="13.5" hidden="1" customHeight="1">
      <c r="B1386" s="33">
        <f t="shared" si="217"/>
        <v>11</v>
      </c>
      <c r="C1386" s="35" t="s">
        <v>218</v>
      </c>
      <c r="D1386" s="35" t="s">
        <v>271</v>
      </c>
      <c r="E1386" s="1" t="s">
        <v>47</v>
      </c>
      <c r="F1386" s="30" t="s">
        <v>41</v>
      </c>
      <c r="G1386" s="36">
        <f>333*17</f>
        <v>5661</v>
      </c>
      <c r="H1386" s="36">
        <v>1861</v>
      </c>
      <c r="I1386" s="36">
        <v>1240</v>
      </c>
      <c r="J1386" s="36">
        <v>500</v>
      </c>
      <c r="K1386" s="36">
        <f t="shared" si="214"/>
        <v>9262</v>
      </c>
      <c r="L1386" s="36">
        <v>7000</v>
      </c>
      <c r="M1386" s="9">
        <f t="shared" si="215"/>
        <v>0.75577629021809545</v>
      </c>
      <c r="N1386" s="5">
        <v>1</v>
      </c>
      <c r="O1386" s="10">
        <f t="shared" si="216"/>
        <v>0.75577629021809545</v>
      </c>
    </row>
    <row r="1387" spans="2:15" ht="13.5" hidden="1" customHeight="1">
      <c r="B1387" s="33">
        <f t="shared" si="217"/>
        <v>12</v>
      </c>
      <c r="C1387" s="35" t="s">
        <v>235</v>
      </c>
      <c r="D1387" s="35" t="s">
        <v>292</v>
      </c>
      <c r="E1387" s="1" t="s">
        <v>192</v>
      </c>
      <c r="F1387" s="30" t="s">
        <v>41</v>
      </c>
      <c r="G1387" s="36">
        <f>333*23</f>
        <v>7659</v>
      </c>
      <c r="H1387" s="36">
        <v>1861</v>
      </c>
      <c r="I1387" s="36">
        <v>1240</v>
      </c>
      <c r="J1387" s="36">
        <v>500</v>
      </c>
      <c r="K1387" s="36">
        <f t="shared" si="214"/>
        <v>11260</v>
      </c>
      <c r="L1387" s="36">
        <v>7000</v>
      </c>
      <c r="M1387" s="9">
        <f t="shared" si="215"/>
        <v>0.62166962699822381</v>
      </c>
      <c r="N1387" s="5">
        <v>1</v>
      </c>
      <c r="O1387" s="10">
        <f t="shared" si="216"/>
        <v>0.62166962699822381</v>
      </c>
    </row>
    <row r="1388" spans="2:15" ht="13.5" hidden="1" customHeight="1">
      <c r="B1388" s="33">
        <f t="shared" si="217"/>
        <v>13</v>
      </c>
      <c r="C1388" s="35" t="s">
        <v>266</v>
      </c>
      <c r="D1388" s="35" t="s">
        <v>326</v>
      </c>
      <c r="E1388" s="1" t="s">
        <v>126</v>
      </c>
      <c r="F1388" s="30" t="s">
        <v>41</v>
      </c>
      <c r="G1388" s="36">
        <f t="shared" ref="G1388:G1393" si="218">333*21</f>
        <v>6993</v>
      </c>
      <c r="H1388" s="36">
        <v>1861</v>
      </c>
      <c r="I1388" s="36">
        <v>1240</v>
      </c>
      <c r="J1388" s="36">
        <v>500</v>
      </c>
      <c r="K1388" s="36">
        <f t="shared" si="214"/>
        <v>10594</v>
      </c>
      <c r="L1388" s="36">
        <v>7000</v>
      </c>
      <c r="M1388" s="9">
        <f t="shared" si="215"/>
        <v>0.66075136869926376</v>
      </c>
      <c r="N1388" s="5">
        <v>1</v>
      </c>
      <c r="O1388" s="10">
        <f t="shared" si="216"/>
        <v>0.66075136869926376</v>
      </c>
    </row>
    <row r="1389" spans="2:15" ht="13.5" hidden="1" customHeight="1">
      <c r="B1389" s="33">
        <f t="shared" si="217"/>
        <v>14</v>
      </c>
      <c r="C1389" s="35" t="s">
        <v>225</v>
      </c>
      <c r="D1389" s="35" t="s">
        <v>279</v>
      </c>
      <c r="E1389" s="1" t="s">
        <v>47</v>
      </c>
      <c r="F1389" s="30" t="s">
        <v>42</v>
      </c>
      <c r="G1389" s="36">
        <f t="shared" si="218"/>
        <v>6993</v>
      </c>
      <c r="H1389" s="36">
        <v>1861</v>
      </c>
      <c r="I1389" s="36">
        <v>1240</v>
      </c>
      <c r="J1389" s="36">
        <v>500</v>
      </c>
      <c r="K1389" s="36">
        <f t="shared" si="214"/>
        <v>10594</v>
      </c>
      <c r="L1389" s="36">
        <v>7000</v>
      </c>
      <c r="M1389" s="9">
        <f t="shared" si="215"/>
        <v>0.66075136869926376</v>
      </c>
      <c r="N1389" s="5">
        <v>1</v>
      </c>
      <c r="O1389" s="10">
        <f t="shared" si="216"/>
        <v>0.66075136869926376</v>
      </c>
    </row>
    <row r="1390" spans="2:15" ht="13.5" hidden="1" customHeight="1">
      <c r="B1390" s="33">
        <f t="shared" si="217"/>
        <v>15</v>
      </c>
      <c r="C1390" s="35" t="s">
        <v>237</v>
      </c>
      <c r="D1390" s="35" t="s">
        <v>294</v>
      </c>
      <c r="E1390" s="1" t="s">
        <v>189</v>
      </c>
      <c r="F1390" s="30" t="s">
        <v>42</v>
      </c>
      <c r="G1390" s="36">
        <f t="shared" si="218"/>
        <v>6993</v>
      </c>
      <c r="H1390" s="36">
        <v>1861</v>
      </c>
      <c r="I1390" s="36">
        <v>1240</v>
      </c>
      <c r="J1390" s="36">
        <v>500</v>
      </c>
      <c r="K1390" s="36">
        <f t="shared" si="214"/>
        <v>10594</v>
      </c>
      <c r="L1390" s="36">
        <v>7000</v>
      </c>
      <c r="M1390" s="9">
        <f t="shared" si="215"/>
        <v>0.66075136869926376</v>
      </c>
      <c r="N1390" s="5">
        <v>1</v>
      </c>
      <c r="O1390" s="10">
        <f t="shared" si="216"/>
        <v>0.66075136869926376</v>
      </c>
    </row>
    <row r="1391" spans="2:15" ht="13.5" hidden="1" customHeight="1">
      <c r="B1391" s="33">
        <f t="shared" si="217"/>
        <v>16</v>
      </c>
      <c r="C1391" s="35" t="s">
        <v>241</v>
      </c>
      <c r="D1391" s="35" t="s">
        <v>299</v>
      </c>
      <c r="E1391" s="1" t="s">
        <v>187</v>
      </c>
      <c r="F1391" s="30" t="s">
        <v>42</v>
      </c>
      <c r="G1391" s="36">
        <f t="shared" si="218"/>
        <v>6993</v>
      </c>
      <c r="H1391" s="36">
        <v>1861</v>
      </c>
      <c r="I1391" s="36">
        <v>1240</v>
      </c>
      <c r="J1391" s="36">
        <v>500</v>
      </c>
      <c r="K1391" s="36">
        <f t="shared" si="214"/>
        <v>10594</v>
      </c>
      <c r="L1391" s="36">
        <v>7000</v>
      </c>
      <c r="M1391" s="9">
        <f t="shared" si="215"/>
        <v>0.66075136869926376</v>
      </c>
      <c r="N1391" s="5">
        <v>1</v>
      </c>
      <c r="O1391" s="10">
        <f t="shared" si="216"/>
        <v>0.66075136869926376</v>
      </c>
    </row>
    <row r="1392" spans="2:15" ht="13.5" hidden="1" customHeight="1">
      <c r="B1392" s="33">
        <f t="shared" si="217"/>
        <v>17</v>
      </c>
      <c r="C1392" s="35" t="s">
        <v>243</v>
      </c>
      <c r="D1392" s="35" t="s">
        <v>302</v>
      </c>
      <c r="E1392" s="1" t="s">
        <v>47</v>
      </c>
      <c r="F1392" s="30" t="s">
        <v>42</v>
      </c>
      <c r="G1392" s="36">
        <f t="shared" si="218"/>
        <v>6993</v>
      </c>
      <c r="H1392" s="36">
        <v>1861</v>
      </c>
      <c r="I1392" s="36">
        <v>1240</v>
      </c>
      <c r="J1392" s="36">
        <v>500</v>
      </c>
      <c r="K1392" s="36">
        <f t="shared" si="214"/>
        <v>10594</v>
      </c>
      <c r="L1392" s="36">
        <v>7000</v>
      </c>
      <c r="M1392" s="9">
        <f t="shared" si="215"/>
        <v>0.66075136869926376</v>
      </c>
      <c r="N1392" s="5">
        <v>1</v>
      </c>
      <c r="O1392" s="10">
        <f t="shared" si="216"/>
        <v>0.66075136869926376</v>
      </c>
    </row>
    <row r="1393" spans="2:15" ht="13.5" hidden="1" customHeight="1">
      <c r="B1393" s="33">
        <f t="shared" si="217"/>
        <v>18</v>
      </c>
      <c r="C1393" s="35" t="s">
        <v>263</v>
      </c>
      <c r="D1393" s="35" t="s">
        <v>324</v>
      </c>
      <c r="E1393" s="1" t="s">
        <v>192</v>
      </c>
      <c r="F1393" s="30" t="s">
        <v>42</v>
      </c>
      <c r="G1393" s="36">
        <f t="shared" si="218"/>
        <v>6993</v>
      </c>
      <c r="H1393" s="36">
        <v>1861</v>
      </c>
      <c r="I1393" s="36">
        <v>1240</v>
      </c>
      <c r="J1393" s="36">
        <v>500</v>
      </c>
      <c r="K1393" s="36">
        <f t="shared" si="214"/>
        <v>10594</v>
      </c>
      <c r="L1393" s="36">
        <v>7000</v>
      </c>
      <c r="M1393" s="9">
        <f t="shared" si="215"/>
        <v>0.66075136869926376</v>
      </c>
      <c r="N1393" s="5">
        <v>1</v>
      </c>
      <c r="O1393" s="10">
        <f t="shared" si="216"/>
        <v>0.66075136869926376</v>
      </c>
    </row>
    <row r="1394" spans="2:15" ht="13.5" hidden="1" customHeight="1">
      <c r="B1394" s="33">
        <f t="shared" si="217"/>
        <v>19</v>
      </c>
      <c r="C1394" s="35" t="s">
        <v>221</v>
      </c>
      <c r="D1394" s="35" t="s">
        <v>274</v>
      </c>
      <c r="E1394" s="1" t="s">
        <v>128</v>
      </c>
      <c r="F1394" s="30" t="s">
        <v>25</v>
      </c>
      <c r="G1394" s="36">
        <f>300*6</f>
        <v>1800</v>
      </c>
      <c r="H1394" s="36">
        <v>1861</v>
      </c>
      <c r="I1394" s="36">
        <v>1240</v>
      </c>
      <c r="J1394" s="36">
        <v>500</v>
      </c>
      <c r="K1394" s="36">
        <f t="shared" si="214"/>
        <v>5401</v>
      </c>
      <c r="L1394" s="36">
        <v>7000</v>
      </c>
      <c r="M1394" s="9">
        <f t="shared" si="215"/>
        <v>1.2960562858729865</v>
      </c>
      <c r="N1394" s="5">
        <v>1</v>
      </c>
      <c r="O1394" s="10">
        <f t="shared" si="216"/>
        <v>1.2960562858729865</v>
      </c>
    </row>
    <row r="1395" spans="2:15" ht="13.5" hidden="1" customHeight="1">
      <c r="B1395" s="33">
        <f t="shared" si="217"/>
        <v>20</v>
      </c>
      <c r="C1395" s="25" t="s">
        <v>229</v>
      </c>
      <c r="D1395" s="25" t="s">
        <v>284</v>
      </c>
      <c r="E1395" s="1" t="s">
        <v>126</v>
      </c>
      <c r="F1395" s="30" t="s">
        <v>25</v>
      </c>
      <c r="G1395" s="36">
        <f>300*6</f>
        <v>1800</v>
      </c>
      <c r="H1395" s="36">
        <v>1861</v>
      </c>
      <c r="I1395" s="36">
        <v>1240</v>
      </c>
      <c r="J1395" s="36">
        <v>500</v>
      </c>
      <c r="K1395" s="36">
        <f t="shared" si="214"/>
        <v>5401</v>
      </c>
      <c r="L1395" s="36">
        <v>7000</v>
      </c>
      <c r="M1395" s="9">
        <f t="shared" si="215"/>
        <v>1.2960562858729865</v>
      </c>
      <c r="N1395" s="5">
        <v>1</v>
      </c>
      <c r="O1395" s="10">
        <f t="shared" si="216"/>
        <v>1.2960562858729865</v>
      </c>
    </row>
    <row r="1396" spans="2:15" ht="13.5" hidden="1" customHeight="1">
      <c r="B1396" s="33">
        <f t="shared" si="217"/>
        <v>21</v>
      </c>
      <c r="C1396" s="35" t="s">
        <v>240</v>
      </c>
      <c r="D1396" s="35" t="s">
        <v>297</v>
      </c>
      <c r="E1396" s="1" t="s">
        <v>189</v>
      </c>
      <c r="F1396" s="30" t="s">
        <v>25</v>
      </c>
      <c r="G1396" s="36">
        <f>300*6</f>
        <v>1800</v>
      </c>
      <c r="H1396" s="36">
        <v>1861</v>
      </c>
      <c r="I1396" s="36">
        <v>1240</v>
      </c>
      <c r="J1396" s="36">
        <v>500</v>
      </c>
      <c r="K1396" s="36">
        <f t="shared" si="214"/>
        <v>5401</v>
      </c>
      <c r="L1396" s="36">
        <v>7000</v>
      </c>
      <c r="M1396" s="9">
        <f t="shared" si="215"/>
        <v>1.2960562858729865</v>
      </c>
      <c r="N1396" s="5">
        <v>1</v>
      </c>
      <c r="O1396" s="10">
        <f t="shared" si="216"/>
        <v>1.2960562858729865</v>
      </c>
    </row>
    <row r="1397" spans="2:15" ht="13.5" hidden="1" customHeight="1">
      <c r="B1397" s="33">
        <f t="shared" si="217"/>
        <v>22</v>
      </c>
      <c r="C1397" s="35" t="s">
        <v>249</v>
      </c>
      <c r="D1397" s="35" t="s">
        <v>310</v>
      </c>
      <c r="E1397" s="1" t="s">
        <v>123</v>
      </c>
      <c r="F1397" s="30" t="s">
        <v>159</v>
      </c>
      <c r="G1397" s="36">
        <f>333*22</f>
        <v>7326</v>
      </c>
      <c r="H1397" s="36">
        <v>1861</v>
      </c>
      <c r="I1397" s="36">
        <v>1240</v>
      </c>
      <c r="J1397" s="36">
        <v>900</v>
      </c>
      <c r="K1397" s="36">
        <f t="shared" si="214"/>
        <v>11327</v>
      </c>
      <c r="L1397" s="36">
        <v>7000</v>
      </c>
      <c r="M1397" s="9">
        <f t="shared" si="215"/>
        <v>0.61799240752185047</v>
      </c>
      <c r="N1397" s="5">
        <v>1</v>
      </c>
      <c r="O1397" s="10">
        <f t="shared" si="216"/>
        <v>0.61799240752185047</v>
      </c>
    </row>
    <row r="1398" spans="2:15" ht="13.5" hidden="1" customHeight="1">
      <c r="B1398" s="33">
        <f t="shared" si="217"/>
        <v>23</v>
      </c>
      <c r="C1398" s="35" t="s">
        <v>234</v>
      </c>
      <c r="D1398" s="35" t="s">
        <v>291</v>
      </c>
      <c r="E1398" s="1" t="s">
        <v>122</v>
      </c>
      <c r="F1398" s="30" t="s">
        <v>36</v>
      </c>
      <c r="G1398" s="36">
        <f>333*21</f>
        <v>6993</v>
      </c>
      <c r="H1398" s="36">
        <v>1861</v>
      </c>
      <c r="I1398" s="36">
        <v>1240</v>
      </c>
      <c r="J1398" s="36"/>
      <c r="K1398" s="36">
        <f t="shared" si="214"/>
        <v>10094</v>
      </c>
      <c r="L1398" s="36">
        <v>7000</v>
      </c>
      <c r="M1398" s="9">
        <f t="shared" si="215"/>
        <v>0.69348127600554788</v>
      </c>
      <c r="N1398" s="5">
        <v>1</v>
      </c>
      <c r="O1398" s="10">
        <f t="shared" si="216"/>
        <v>0.69348127600554788</v>
      </c>
    </row>
    <row r="1399" spans="2:15" ht="13.5" hidden="1" customHeight="1">
      <c r="B1399" s="33">
        <f t="shared" si="217"/>
        <v>24</v>
      </c>
      <c r="C1399" s="35" t="s">
        <v>253</v>
      </c>
      <c r="D1399" s="35" t="s">
        <v>314</v>
      </c>
      <c r="E1399" s="1" t="s">
        <v>122</v>
      </c>
      <c r="F1399" s="30" t="s">
        <v>216</v>
      </c>
      <c r="G1399" s="36">
        <f>300*9</f>
        <v>2700</v>
      </c>
      <c r="H1399" s="36">
        <v>1861</v>
      </c>
      <c r="I1399" s="36">
        <v>1240</v>
      </c>
      <c r="J1399" s="36"/>
      <c r="K1399" s="36">
        <f t="shared" si="214"/>
        <v>5801</v>
      </c>
      <c r="L1399" s="36">
        <v>7000</v>
      </c>
      <c r="M1399" s="9">
        <f t="shared" si="215"/>
        <v>1.2066885019824167</v>
      </c>
      <c r="N1399" s="5">
        <v>1</v>
      </c>
      <c r="O1399" s="10">
        <f t="shared" si="216"/>
        <v>1.2066885019824167</v>
      </c>
    </row>
    <row r="1400" spans="2:15" ht="13.5" hidden="1" customHeight="1">
      <c r="B1400" s="33">
        <f t="shared" si="217"/>
        <v>25</v>
      </c>
      <c r="C1400" s="35" t="s">
        <v>224</v>
      </c>
      <c r="D1400" s="35" t="s">
        <v>278</v>
      </c>
      <c r="E1400" s="1" t="s">
        <v>187</v>
      </c>
      <c r="F1400" s="30" t="s">
        <v>214</v>
      </c>
      <c r="G1400" s="36">
        <f t="shared" ref="G1400:G1405" si="219">333*20</f>
        <v>6660</v>
      </c>
      <c r="H1400" s="36">
        <v>1861</v>
      </c>
      <c r="I1400" s="36">
        <v>1240</v>
      </c>
      <c r="J1400" s="36">
        <v>750</v>
      </c>
      <c r="K1400" s="36">
        <f t="shared" si="214"/>
        <v>10511</v>
      </c>
      <c r="L1400" s="36">
        <v>7000</v>
      </c>
      <c r="M1400" s="9">
        <f t="shared" si="215"/>
        <v>0.66596898487299017</v>
      </c>
      <c r="N1400" s="5">
        <v>1</v>
      </c>
      <c r="O1400" s="10">
        <f t="shared" si="216"/>
        <v>0.66596898487299017</v>
      </c>
    </row>
    <row r="1401" spans="2:15" ht="13.5" hidden="1" customHeight="1">
      <c r="B1401" s="33">
        <f t="shared" si="217"/>
        <v>26</v>
      </c>
      <c r="C1401" s="25" t="s">
        <v>51</v>
      </c>
      <c r="D1401" s="25" t="s">
        <v>285</v>
      </c>
      <c r="E1401" s="1" t="s">
        <v>192</v>
      </c>
      <c r="F1401" s="30" t="s">
        <v>214</v>
      </c>
      <c r="G1401" s="36">
        <f t="shared" si="219"/>
        <v>6660</v>
      </c>
      <c r="H1401" s="36">
        <v>1861</v>
      </c>
      <c r="I1401" s="36">
        <v>1240</v>
      </c>
      <c r="J1401" s="36">
        <v>750</v>
      </c>
      <c r="K1401" s="36">
        <f t="shared" si="214"/>
        <v>10511</v>
      </c>
      <c r="L1401" s="36">
        <v>7000</v>
      </c>
      <c r="M1401" s="9">
        <f t="shared" si="215"/>
        <v>0.66596898487299017</v>
      </c>
      <c r="N1401" s="5">
        <v>1</v>
      </c>
      <c r="O1401" s="10">
        <f t="shared" si="216"/>
        <v>0.66596898487299017</v>
      </c>
    </row>
    <row r="1402" spans="2:15" ht="13.5" hidden="1" customHeight="1">
      <c r="B1402" s="33">
        <f t="shared" si="217"/>
        <v>27</v>
      </c>
      <c r="C1402" s="25" t="s">
        <v>53</v>
      </c>
      <c r="D1402" s="25" t="s">
        <v>286</v>
      </c>
      <c r="E1402" s="1" t="s">
        <v>123</v>
      </c>
      <c r="F1402" s="30" t="s">
        <v>329</v>
      </c>
      <c r="G1402" s="36">
        <f t="shared" si="219"/>
        <v>6660</v>
      </c>
      <c r="H1402" s="36">
        <v>1861</v>
      </c>
      <c r="I1402" s="36">
        <v>1240</v>
      </c>
      <c r="J1402" s="36">
        <v>750</v>
      </c>
      <c r="K1402" s="36">
        <f t="shared" si="214"/>
        <v>10511</v>
      </c>
      <c r="L1402" s="36">
        <v>7000</v>
      </c>
      <c r="M1402" s="9">
        <f t="shared" si="215"/>
        <v>0.66596898487299017</v>
      </c>
      <c r="N1402" s="5">
        <v>1</v>
      </c>
      <c r="O1402" s="10">
        <f t="shared" si="216"/>
        <v>0.66596898487299017</v>
      </c>
    </row>
    <row r="1403" spans="2:15" ht="13.5" hidden="1" customHeight="1">
      <c r="B1403" s="33">
        <f t="shared" si="217"/>
        <v>28</v>
      </c>
      <c r="C1403" s="35" t="s">
        <v>258</v>
      </c>
      <c r="D1403" s="35" t="s">
        <v>402</v>
      </c>
      <c r="E1403" s="1" t="s">
        <v>126</v>
      </c>
      <c r="F1403" s="30" t="s">
        <v>214</v>
      </c>
      <c r="G1403" s="36">
        <f t="shared" si="219"/>
        <v>6660</v>
      </c>
      <c r="H1403" s="36">
        <v>1861</v>
      </c>
      <c r="I1403" s="36">
        <v>1240</v>
      </c>
      <c r="J1403" s="36">
        <v>750</v>
      </c>
      <c r="K1403" s="36">
        <f t="shared" si="214"/>
        <v>10511</v>
      </c>
      <c r="L1403" s="36">
        <v>7000</v>
      </c>
      <c r="M1403" s="9">
        <f t="shared" si="215"/>
        <v>0.66596898487299017</v>
      </c>
      <c r="N1403" s="5">
        <v>1</v>
      </c>
      <c r="O1403" s="10">
        <f t="shared" si="216"/>
        <v>0.66596898487299017</v>
      </c>
    </row>
    <row r="1404" spans="2:15" ht="13.5" hidden="1" customHeight="1">
      <c r="B1404" s="33">
        <f t="shared" si="217"/>
        <v>29</v>
      </c>
      <c r="C1404" s="35" t="s">
        <v>259</v>
      </c>
      <c r="D1404" s="35" t="s">
        <v>320</v>
      </c>
      <c r="E1404" s="1" t="s">
        <v>124</v>
      </c>
      <c r="F1404" s="30" t="s">
        <v>214</v>
      </c>
      <c r="G1404" s="36">
        <f t="shared" si="219"/>
        <v>6660</v>
      </c>
      <c r="H1404" s="36">
        <v>1861</v>
      </c>
      <c r="I1404" s="36">
        <v>1240</v>
      </c>
      <c r="J1404" s="36">
        <v>750</v>
      </c>
      <c r="K1404" s="36">
        <f t="shared" si="214"/>
        <v>10511</v>
      </c>
      <c r="L1404" s="36">
        <v>7000</v>
      </c>
      <c r="M1404" s="9">
        <f t="shared" si="215"/>
        <v>0.66596898487299017</v>
      </c>
      <c r="N1404" s="5">
        <v>1</v>
      </c>
      <c r="O1404" s="10">
        <f t="shared" si="216"/>
        <v>0.66596898487299017</v>
      </c>
    </row>
    <row r="1405" spans="2:15" ht="13.5" hidden="1" customHeight="1">
      <c r="B1405" s="33">
        <f t="shared" si="217"/>
        <v>30</v>
      </c>
      <c r="C1405" s="35" t="s">
        <v>260</v>
      </c>
      <c r="D1405" s="35" t="s">
        <v>321</v>
      </c>
      <c r="E1405" s="1" t="s">
        <v>124</v>
      </c>
      <c r="F1405" s="30" t="s">
        <v>214</v>
      </c>
      <c r="G1405" s="36">
        <f t="shared" si="219"/>
        <v>6660</v>
      </c>
      <c r="H1405" s="36">
        <v>1861</v>
      </c>
      <c r="I1405" s="36">
        <v>1240</v>
      </c>
      <c r="J1405" s="36">
        <v>750</v>
      </c>
      <c r="K1405" s="36">
        <f t="shared" si="214"/>
        <v>10511</v>
      </c>
      <c r="L1405" s="36">
        <v>7000</v>
      </c>
      <c r="M1405" s="9">
        <f t="shared" si="215"/>
        <v>0.66596898487299017</v>
      </c>
      <c r="N1405" s="5">
        <v>1</v>
      </c>
      <c r="O1405" s="10">
        <f t="shared" si="216"/>
        <v>0.66596898487299017</v>
      </c>
    </row>
    <row r="1406" spans="2:15" ht="13.5" hidden="1" customHeight="1">
      <c r="B1406" s="33">
        <f t="shared" si="217"/>
        <v>31</v>
      </c>
      <c r="C1406" s="35" t="s">
        <v>227</v>
      </c>
      <c r="D1406" s="35" t="s">
        <v>281</v>
      </c>
      <c r="E1406" s="1" t="s">
        <v>122</v>
      </c>
      <c r="F1406" s="30" t="s">
        <v>327</v>
      </c>
      <c r="G1406" s="36">
        <f>333*5</f>
        <v>1665</v>
      </c>
      <c r="H1406" s="36">
        <v>1861</v>
      </c>
      <c r="I1406" s="36">
        <v>1240</v>
      </c>
      <c r="J1406" s="36">
        <v>750</v>
      </c>
      <c r="K1406" s="36">
        <f t="shared" si="214"/>
        <v>5516</v>
      </c>
      <c r="L1406" s="36">
        <v>7000</v>
      </c>
      <c r="M1406" s="9">
        <f t="shared" si="215"/>
        <v>1.2690355329949239</v>
      </c>
      <c r="N1406" s="5">
        <v>1</v>
      </c>
      <c r="O1406" s="10">
        <f t="shared" si="216"/>
        <v>1.2690355329949239</v>
      </c>
    </row>
    <row r="1407" spans="2:15" ht="13.5" hidden="1" customHeight="1">
      <c r="B1407" s="33">
        <f t="shared" si="217"/>
        <v>32</v>
      </c>
      <c r="C1407" s="35" t="s">
        <v>232</v>
      </c>
      <c r="D1407" s="35" t="s">
        <v>289</v>
      </c>
      <c r="E1407" s="1" t="s">
        <v>122</v>
      </c>
      <c r="F1407" s="30" t="s">
        <v>327</v>
      </c>
      <c r="G1407" s="36">
        <f>333*5</f>
        <v>1665</v>
      </c>
      <c r="H1407" s="36">
        <v>1861</v>
      </c>
      <c r="I1407" s="36">
        <v>1240</v>
      </c>
      <c r="J1407" s="36">
        <v>750</v>
      </c>
      <c r="K1407" s="36">
        <f t="shared" si="214"/>
        <v>5516</v>
      </c>
      <c r="L1407" s="36">
        <v>7000</v>
      </c>
      <c r="M1407" s="9">
        <f t="shared" si="215"/>
        <v>1.2690355329949239</v>
      </c>
      <c r="N1407" s="5">
        <v>1</v>
      </c>
      <c r="O1407" s="10">
        <f t="shared" si="216"/>
        <v>1.2690355329949239</v>
      </c>
    </row>
    <row r="1408" spans="2:15" ht="13.5" hidden="1" customHeight="1">
      <c r="B1408" s="33">
        <f t="shared" si="217"/>
        <v>33</v>
      </c>
      <c r="C1408" s="35" t="s">
        <v>219</v>
      </c>
      <c r="D1408" s="35" t="s">
        <v>272</v>
      </c>
      <c r="E1408" s="1" t="s">
        <v>192</v>
      </c>
      <c r="F1408" s="30" t="s">
        <v>31</v>
      </c>
      <c r="G1408" s="36">
        <f>333*22</f>
        <v>7326</v>
      </c>
      <c r="H1408" s="36">
        <v>1861</v>
      </c>
      <c r="I1408" s="36">
        <v>1240</v>
      </c>
      <c r="J1408" s="36">
        <v>900</v>
      </c>
      <c r="K1408" s="36">
        <f t="shared" ref="K1408:K1433" si="220">SUM(G1408:J1408)</f>
        <v>11327</v>
      </c>
      <c r="L1408" s="36">
        <v>7000</v>
      </c>
      <c r="M1408" s="9">
        <f t="shared" ref="M1408:M1433" si="221">L1408/K1408</f>
        <v>0.61799240752185047</v>
      </c>
      <c r="N1408" s="5">
        <v>1</v>
      </c>
      <c r="O1408" s="10">
        <f t="shared" ref="O1408:O1433" si="222">N1408*M1408</f>
        <v>0.61799240752185047</v>
      </c>
    </row>
    <row r="1409" spans="2:15" ht="13.5" hidden="1" customHeight="1">
      <c r="B1409" s="33">
        <f t="shared" si="217"/>
        <v>34</v>
      </c>
      <c r="C1409" s="35" t="s">
        <v>223</v>
      </c>
      <c r="D1409" s="35" t="s">
        <v>276</v>
      </c>
      <c r="E1409" s="1" t="s">
        <v>126</v>
      </c>
      <c r="F1409" s="30" t="s">
        <v>31</v>
      </c>
      <c r="G1409" s="36">
        <f t="shared" ref="G1409:G1417" si="223">333*22</f>
        <v>7326</v>
      </c>
      <c r="H1409" s="36">
        <v>1861</v>
      </c>
      <c r="I1409" s="36">
        <v>1240</v>
      </c>
      <c r="J1409" s="36">
        <v>900</v>
      </c>
      <c r="K1409" s="36">
        <f t="shared" si="220"/>
        <v>11327</v>
      </c>
      <c r="L1409" s="36">
        <v>7000</v>
      </c>
      <c r="M1409" s="9">
        <f t="shared" si="221"/>
        <v>0.61799240752185047</v>
      </c>
      <c r="N1409" s="5">
        <v>1</v>
      </c>
      <c r="O1409" s="10">
        <f t="shared" si="222"/>
        <v>0.61799240752185047</v>
      </c>
    </row>
    <row r="1410" spans="2:15" ht="13.5" hidden="1" customHeight="1">
      <c r="B1410" s="33">
        <f t="shared" si="217"/>
        <v>35</v>
      </c>
      <c r="C1410" s="35" t="s">
        <v>238</v>
      </c>
      <c r="D1410" s="35" t="s">
        <v>295</v>
      </c>
      <c r="E1410" s="1" t="s">
        <v>189</v>
      </c>
      <c r="F1410" s="30" t="s">
        <v>31</v>
      </c>
      <c r="G1410" s="36">
        <f t="shared" si="223"/>
        <v>7326</v>
      </c>
      <c r="H1410" s="36">
        <v>1861</v>
      </c>
      <c r="I1410" s="36">
        <v>1240</v>
      </c>
      <c r="J1410" s="36">
        <v>900</v>
      </c>
      <c r="K1410" s="36">
        <f t="shared" si="220"/>
        <v>11327</v>
      </c>
      <c r="L1410" s="36">
        <v>7000</v>
      </c>
      <c r="M1410" s="9">
        <f t="shared" si="221"/>
        <v>0.61799240752185047</v>
      </c>
      <c r="N1410" s="5">
        <v>1</v>
      </c>
      <c r="O1410" s="10">
        <f t="shared" si="222"/>
        <v>0.61799240752185047</v>
      </c>
    </row>
    <row r="1411" spans="2:15" ht="13.5" hidden="1" customHeight="1">
      <c r="B1411" s="33">
        <f t="shared" si="217"/>
        <v>36</v>
      </c>
      <c r="C1411" s="35" t="s">
        <v>84</v>
      </c>
      <c r="D1411" s="35" t="s">
        <v>301</v>
      </c>
      <c r="E1411" s="1" t="s">
        <v>124</v>
      </c>
      <c r="F1411" s="30" t="s">
        <v>31</v>
      </c>
      <c r="G1411" s="36">
        <f t="shared" si="223"/>
        <v>7326</v>
      </c>
      <c r="H1411" s="36">
        <v>1861</v>
      </c>
      <c r="I1411" s="36">
        <v>1240</v>
      </c>
      <c r="J1411" s="36">
        <v>900</v>
      </c>
      <c r="K1411" s="36">
        <f t="shared" si="220"/>
        <v>11327</v>
      </c>
      <c r="L1411" s="36">
        <v>7000</v>
      </c>
      <c r="M1411" s="9">
        <f t="shared" si="221"/>
        <v>0.61799240752185047</v>
      </c>
      <c r="N1411" s="5">
        <v>1</v>
      </c>
      <c r="O1411" s="10">
        <f t="shared" si="222"/>
        <v>0.61799240752185047</v>
      </c>
    </row>
    <row r="1412" spans="2:15" ht="13.5" hidden="1" customHeight="1">
      <c r="B1412" s="33">
        <f t="shared" si="217"/>
        <v>37</v>
      </c>
      <c r="C1412" s="35" t="s">
        <v>68</v>
      </c>
      <c r="D1412" s="35" t="s">
        <v>309</v>
      </c>
      <c r="E1412" s="1" t="s">
        <v>128</v>
      </c>
      <c r="F1412" s="30" t="s">
        <v>31</v>
      </c>
      <c r="G1412" s="36">
        <f t="shared" si="223"/>
        <v>7326</v>
      </c>
      <c r="H1412" s="36">
        <v>1861</v>
      </c>
      <c r="I1412" s="36">
        <v>1240</v>
      </c>
      <c r="J1412" s="36">
        <v>900</v>
      </c>
      <c r="K1412" s="36">
        <f t="shared" si="220"/>
        <v>11327</v>
      </c>
      <c r="L1412" s="36">
        <v>7000</v>
      </c>
      <c r="M1412" s="9">
        <f t="shared" si="221"/>
        <v>0.61799240752185047</v>
      </c>
      <c r="N1412" s="5">
        <v>1</v>
      </c>
      <c r="O1412" s="10">
        <f t="shared" si="222"/>
        <v>0.61799240752185047</v>
      </c>
    </row>
    <row r="1413" spans="2:15" ht="13.5" hidden="1" customHeight="1">
      <c r="B1413" s="33">
        <f t="shared" si="217"/>
        <v>38</v>
      </c>
      <c r="C1413" s="35" t="s">
        <v>252</v>
      </c>
      <c r="D1413" s="35" t="s">
        <v>313</v>
      </c>
      <c r="E1413" s="1" t="s">
        <v>189</v>
      </c>
      <c r="F1413" s="30" t="s">
        <v>31</v>
      </c>
      <c r="G1413" s="36">
        <f t="shared" si="223"/>
        <v>7326</v>
      </c>
      <c r="H1413" s="36">
        <v>1861</v>
      </c>
      <c r="I1413" s="36">
        <v>1240</v>
      </c>
      <c r="J1413" s="36">
        <v>900</v>
      </c>
      <c r="K1413" s="36">
        <f t="shared" si="220"/>
        <v>11327</v>
      </c>
      <c r="L1413" s="36">
        <v>7000</v>
      </c>
      <c r="M1413" s="9">
        <f t="shared" si="221"/>
        <v>0.61799240752185047</v>
      </c>
      <c r="N1413" s="5">
        <v>1</v>
      </c>
      <c r="O1413" s="10">
        <f t="shared" si="222"/>
        <v>0.61799240752185047</v>
      </c>
    </row>
    <row r="1414" spans="2:15" ht="13.5" hidden="1" customHeight="1">
      <c r="B1414" s="33">
        <f t="shared" si="217"/>
        <v>39</v>
      </c>
      <c r="C1414" s="35" t="s">
        <v>49</v>
      </c>
      <c r="D1414" s="35" t="s">
        <v>277</v>
      </c>
      <c r="E1414" s="1" t="s">
        <v>268</v>
      </c>
      <c r="F1414" s="30" t="s">
        <v>26</v>
      </c>
      <c r="G1414" s="36">
        <f t="shared" si="223"/>
        <v>7326</v>
      </c>
      <c r="H1414" s="36">
        <v>1861</v>
      </c>
      <c r="I1414" s="36">
        <v>1240</v>
      </c>
      <c r="J1414" s="36">
        <v>1800</v>
      </c>
      <c r="K1414" s="36">
        <f t="shared" si="220"/>
        <v>12227</v>
      </c>
      <c r="L1414" s="36">
        <v>7000</v>
      </c>
      <c r="M1414" s="9">
        <f t="shared" si="221"/>
        <v>0.57250347591396089</v>
      </c>
      <c r="N1414" s="5">
        <v>1</v>
      </c>
      <c r="O1414" s="10">
        <f t="shared" si="222"/>
        <v>0.57250347591396089</v>
      </c>
    </row>
    <row r="1415" spans="2:15" ht="13.5" hidden="1" customHeight="1">
      <c r="B1415" s="33">
        <f t="shared" si="217"/>
        <v>40</v>
      </c>
      <c r="C1415" s="35" t="s">
        <v>230</v>
      </c>
      <c r="D1415" s="35" t="s">
        <v>287</v>
      </c>
      <c r="E1415" s="1" t="s">
        <v>124</v>
      </c>
      <c r="F1415" s="30" t="s">
        <v>26</v>
      </c>
      <c r="G1415" s="36">
        <f t="shared" si="223"/>
        <v>7326</v>
      </c>
      <c r="H1415" s="36">
        <v>1861</v>
      </c>
      <c r="I1415" s="36">
        <v>1240</v>
      </c>
      <c r="J1415" s="36">
        <v>1800</v>
      </c>
      <c r="K1415" s="36">
        <f t="shared" si="220"/>
        <v>12227</v>
      </c>
      <c r="L1415" s="36">
        <v>7000</v>
      </c>
      <c r="M1415" s="9">
        <f t="shared" si="221"/>
        <v>0.57250347591396089</v>
      </c>
      <c r="N1415" s="5">
        <v>1</v>
      </c>
      <c r="O1415" s="10">
        <f t="shared" si="222"/>
        <v>0.57250347591396089</v>
      </c>
    </row>
    <row r="1416" spans="2:15" ht="13.5" hidden="1" customHeight="1">
      <c r="B1416" s="33">
        <f t="shared" si="217"/>
        <v>41</v>
      </c>
      <c r="C1416" s="35" t="s">
        <v>231</v>
      </c>
      <c r="D1416" s="35" t="s">
        <v>288</v>
      </c>
      <c r="E1416" s="1" t="s">
        <v>191</v>
      </c>
      <c r="F1416" s="30" t="s">
        <v>26</v>
      </c>
      <c r="G1416" s="36">
        <f t="shared" si="223"/>
        <v>7326</v>
      </c>
      <c r="H1416" s="36">
        <v>1861</v>
      </c>
      <c r="I1416" s="36">
        <v>1240</v>
      </c>
      <c r="J1416" s="36">
        <v>1800</v>
      </c>
      <c r="K1416" s="36">
        <f t="shared" si="220"/>
        <v>12227</v>
      </c>
      <c r="L1416" s="36">
        <v>7000</v>
      </c>
      <c r="M1416" s="9">
        <f t="shared" si="221"/>
        <v>0.57250347591396089</v>
      </c>
      <c r="N1416" s="5">
        <v>1</v>
      </c>
      <c r="O1416" s="10">
        <f t="shared" si="222"/>
        <v>0.57250347591396089</v>
      </c>
    </row>
    <row r="1417" spans="2:15" ht="13.5" hidden="1" customHeight="1">
      <c r="B1417" s="33">
        <f t="shared" si="217"/>
        <v>42</v>
      </c>
      <c r="C1417" s="35" t="s">
        <v>242</v>
      </c>
      <c r="D1417" s="35" t="s">
        <v>300</v>
      </c>
      <c r="E1417" s="1" t="s">
        <v>269</v>
      </c>
      <c r="F1417" s="30" t="s">
        <v>26</v>
      </c>
      <c r="G1417" s="36">
        <f t="shared" si="223"/>
        <v>7326</v>
      </c>
      <c r="H1417" s="36">
        <v>1861</v>
      </c>
      <c r="I1417" s="36">
        <v>1240</v>
      </c>
      <c r="J1417" s="36">
        <v>1800</v>
      </c>
      <c r="K1417" s="36">
        <f t="shared" si="220"/>
        <v>12227</v>
      </c>
      <c r="L1417" s="36">
        <v>7000</v>
      </c>
      <c r="M1417" s="9">
        <f t="shared" si="221"/>
        <v>0.57250347591396089</v>
      </c>
      <c r="N1417" s="5">
        <v>1</v>
      </c>
      <c r="O1417" s="10">
        <f t="shared" si="222"/>
        <v>0.57250347591396089</v>
      </c>
    </row>
    <row r="1418" spans="2:15" ht="13.5" hidden="1" customHeight="1">
      <c r="B1418" s="33">
        <f t="shared" si="217"/>
        <v>43</v>
      </c>
      <c r="C1418" s="25" t="s">
        <v>226</v>
      </c>
      <c r="D1418" s="25" t="s">
        <v>280</v>
      </c>
      <c r="E1418" s="1" t="s">
        <v>121</v>
      </c>
      <c r="F1418" s="30" t="s">
        <v>32</v>
      </c>
      <c r="G1418" s="36">
        <f>300*14</f>
        <v>4200</v>
      </c>
      <c r="H1418" s="36">
        <v>1861</v>
      </c>
      <c r="I1418" s="36">
        <v>1240</v>
      </c>
      <c r="J1418" s="36">
        <v>900</v>
      </c>
      <c r="K1418" s="36">
        <f t="shared" si="220"/>
        <v>8201</v>
      </c>
      <c r="L1418" s="36">
        <v>7000</v>
      </c>
      <c r="M1418" s="9">
        <f t="shared" si="221"/>
        <v>0.85355444457992924</v>
      </c>
      <c r="N1418" s="5">
        <v>1</v>
      </c>
      <c r="O1418" s="10">
        <f t="shared" si="222"/>
        <v>0.85355444457992924</v>
      </c>
    </row>
    <row r="1419" spans="2:15" ht="13.5" hidden="1" customHeight="1">
      <c r="B1419" s="33">
        <f t="shared" si="217"/>
        <v>44</v>
      </c>
      <c r="C1419" s="25" t="s">
        <v>133</v>
      </c>
      <c r="D1419" s="25" t="s">
        <v>283</v>
      </c>
      <c r="E1419" s="1" t="s">
        <v>268</v>
      </c>
      <c r="F1419" s="30" t="s">
        <v>32</v>
      </c>
      <c r="G1419" s="36">
        <f t="shared" ref="G1419:G1420" si="224">300*14</f>
        <v>4200</v>
      </c>
      <c r="H1419" s="36">
        <v>1861</v>
      </c>
      <c r="I1419" s="36">
        <v>1240</v>
      </c>
      <c r="J1419" s="36">
        <v>900</v>
      </c>
      <c r="K1419" s="36">
        <f t="shared" si="220"/>
        <v>8201</v>
      </c>
      <c r="L1419" s="36">
        <v>7000</v>
      </c>
      <c r="M1419" s="9">
        <f t="shared" si="221"/>
        <v>0.85355444457992924</v>
      </c>
      <c r="N1419" s="5">
        <v>1</v>
      </c>
      <c r="O1419" s="10">
        <f t="shared" si="222"/>
        <v>0.85355444457992924</v>
      </c>
    </row>
    <row r="1420" spans="2:15" ht="13.5" hidden="1" customHeight="1">
      <c r="B1420" s="33">
        <f t="shared" si="217"/>
        <v>45</v>
      </c>
      <c r="C1420" s="35" t="s">
        <v>83</v>
      </c>
      <c r="D1420" s="35" t="s">
        <v>298</v>
      </c>
      <c r="E1420" s="1" t="s">
        <v>122</v>
      </c>
      <c r="F1420" s="30" t="s">
        <v>32</v>
      </c>
      <c r="G1420" s="36">
        <f t="shared" si="224"/>
        <v>4200</v>
      </c>
      <c r="H1420" s="36">
        <v>1861</v>
      </c>
      <c r="I1420" s="36">
        <v>1240</v>
      </c>
      <c r="J1420" s="36">
        <v>900</v>
      </c>
      <c r="K1420" s="36">
        <f t="shared" si="220"/>
        <v>8201</v>
      </c>
      <c r="L1420" s="36">
        <v>7000</v>
      </c>
      <c r="M1420" s="9">
        <f t="shared" si="221"/>
        <v>0.85355444457992924</v>
      </c>
      <c r="N1420" s="5">
        <v>1</v>
      </c>
      <c r="O1420" s="10">
        <f t="shared" si="222"/>
        <v>0.85355444457992924</v>
      </c>
    </row>
    <row r="1421" spans="2:15" ht="13.5" hidden="1" customHeight="1">
      <c r="B1421" s="33">
        <f t="shared" si="217"/>
        <v>46</v>
      </c>
      <c r="C1421" s="35" t="s">
        <v>247</v>
      </c>
      <c r="D1421" s="35" t="s">
        <v>307</v>
      </c>
      <c r="E1421" s="1" t="s">
        <v>47</v>
      </c>
      <c r="F1421" s="30" t="s">
        <v>43</v>
      </c>
      <c r="G1421" s="36">
        <f>333*20</f>
        <v>6660</v>
      </c>
      <c r="H1421" s="36">
        <v>1861</v>
      </c>
      <c r="I1421" s="36">
        <v>1240</v>
      </c>
      <c r="J1421" s="36">
        <v>500</v>
      </c>
      <c r="K1421" s="36">
        <f t="shared" si="220"/>
        <v>10261</v>
      </c>
      <c r="L1421" s="36">
        <v>7000</v>
      </c>
      <c r="M1421" s="9">
        <f t="shared" si="221"/>
        <v>0.68219471786375596</v>
      </c>
      <c r="N1421" s="5">
        <v>1</v>
      </c>
      <c r="O1421" s="10">
        <f t="shared" si="222"/>
        <v>0.68219471786375596</v>
      </c>
    </row>
    <row r="1422" spans="2:15" ht="13.5" hidden="1" customHeight="1">
      <c r="B1422" s="33">
        <f t="shared" si="217"/>
        <v>47</v>
      </c>
      <c r="C1422" s="35" t="s">
        <v>261</v>
      </c>
      <c r="D1422" s="35" t="s">
        <v>322</v>
      </c>
      <c r="E1422" s="1" t="s">
        <v>186</v>
      </c>
      <c r="F1422" s="30" t="s">
        <v>43</v>
      </c>
      <c r="G1422" s="36">
        <f>333*20</f>
        <v>6660</v>
      </c>
      <c r="H1422" s="36">
        <v>1861</v>
      </c>
      <c r="I1422" s="36">
        <v>1240</v>
      </c>
      <c r="J1422" s="36">
        <v>500</v>
      </c>
      <c r="K1422" s="36">
        <f t="shared" si="220"/>
        <v>10261</v>
      </c>
      <c r="L1422" s="36">
        <v>7000</v>
      </c>
      <c r="M1422" s="9">
        <f t="shared" si="221"/>
        <v>0.68219471786375596</v>
      </c>
      <c r="N1422" s="5">
        <v>1</v>
      </c>
      <c r="O1422" s="10">
        <f t="shared" si="222"/>
        <v>0.68219471786375596</v>
      </c>
    </row>
    <row r="1423" spans="2:15" ht="13.5" hidden="1" customHeight="1">
      <c r="B1423" s="33">
        <f t="shared" si="217"/>
        <v>48</v>
      </c>
      <c r="C1423" s="35" t="s">
        <v>245</v>
      </c>
      <c r="D1423" s="35" t="s">
        <v>304</v>
      </c>
      <c r="E1423" s="1" t="s">
        <v>191</v>
      </c>
      <c r="F1423" s="30" t="s">
        <v>27</v>
      </c>
      <c r="G1423" s="36">
        <f>333*5</f>
        <v>1665</v>
      </c>
      <c r="H1423" s="36">
        <v>1861</v>
      </c>
      <c r="I1423" s="36">
        <v>1240</v>
      </c>
      <c r="J1423" s="36">
        <v>500</v>
      </c>
      <c r="K1423" s="36">
        <f t="shared" si="220"/>
        <v>5266</v>
      </c>
      <c r="L1423" s="36">
        <v>7000</v>
      </c>
      <c r="M1423" s="9">
        <f t="shared" si="221"/>
        <v>1.329282187618686</v>
      </c>
      <c r="N1423" s="5">
        <v>1</v>
      </c>
      <c r="O1423" s="10">
        <f t="shared" si="222"/>
        <v>1.329282187618686</v>
      </c>
    </row>
    <row r="1424" spans="2:15" ht="13.5" hidden="1" customHeight="1">
      <c r="B1424" s="33">
        <f t="shared" si="217"/>
        <v>49</v>
      </c>
      <c r="C1424" s="35" t="s">
        <v>246</v>
      </c>
      <c r="D1424" s="35" t="s">
        <v>305</v>
      </c>
      <c r="E1424" s="1" t="s">
        <v>189</v>
      </c>
      <c r="F1424" s="30" t="s">
        <v>27</v>
      </c>
      <c r="G1424" s="36">
        <f>333*5</f>
        <v>1665</v>
      </c>
      <c r="H1424" s="36">
        <v>1861</v>
      </c>
      <c r="I1424" s="36">
        <v>1240</v>
      </c>
      <c r="J1424" s="36">
        <v>500</v>
      </c>
      <c r="K1424" s="36">
        <f t="shared" si="220"/>
        <v>5266</v>
      </c>
      <c r="L1424" s="36">
        <v>7000</v>
      </c>
      <c r="M1424" s="9">
        <f t="shared" si="221"/>
        <v>1.329282187618686</v>
      </c>
      <c r="N1424" s="5">
        <v>1</v>
      </c>
      <c r="O1424" s="10">
        <f t="shared" si="222"/>
        <v>1.329282187618686</v>
      </c>
    </row>
    <row r="1425" spans="1:15" ht="13.5" hidden="1" customHeight="1">
      <c r="B1425" s="33">
        <f t="shared" si="217"/>
        <v>50</v>
      </c>
      <c r="C1425" s="35" t="s">
        <v>254</v>
      </c>
      <c r="D1425" s="35" t="s">
        <v>315</v>
      </c>
      <c r="E1425" s="1" t="s">
        <v>191</v>
      </c>
      <c r="F1425" s="30" t="s">
        <v>27</v>
      </c>
      <c r="G1425" s="36">
        <f t="shared" ref="G1425:G1426" si="225">333*5</f>
        <v>1665</v>
      </c>
      <c r="H1425" s="36">
        <v>1861</v>
      </c>
      <c r="I1425" s="36">
        <v>1240</v>
      </c>
      <c r="J1425" s="36">
        <v>500</v>
      </c>
      <c r="K1425" s="36">
        <f t="shared" si="220"/>
        <v>5266</v>
      </c>
      <c r="L1425" s="36">
        <v>7000</v>
      </c>
      <c r="M1425" s="9">
        <f t="shared" si="221"/>
        <v>1.329282187618686</v>
      </c>
      <c r="N1425" s="5">
        <v>1</v>
      </c>
      <c r="O1425" s="10">
        <f t="shared" si="222"/>
        <v>1.329282187618686</v>
      </c>
    </row>
    <row r="1426" spans="1:15" ht="13.5" hidden="1" customHeight="1">
      <c r="B1426" s="33">
        <f t="shared" si="217"/>
        <v>51</v>
      </c>
      <c r="C1426" s="35" t="s">
        <v>255</v>
      </c>
      <c r="D1426" s="35" t="s">
        <v>316</v>
      </c>
      <c r="E1426" s="1" t="s">
        <v>127</v>
      </c>
      <c r="F1426" s="30" t="s">
        <v>27</v>
      </c>
      <c r="G1426" s="36">
        <f t="shared" si="225"/>
        <v>1665</v>
      </c>
      <c r="H1426" s="36">
        <v>1861</v>
      </c>
      <c r="I1426" s="36">
        <v>1240</v>
      </c>
      <c r="J1426" s="36">
        <v>500</v>
      </c>
      <c r="K1426" s="36">
        <f t="shared" si="220"/>
        <v>5266</v>
      </c>
      <c r="L1426" s="36">
        <v>7000</v>
      </c>
      <c r="M1426" s="9">
        <f t="shared" si="221"/>
        <v>1.329282187618686</v>
      </c>
      <c r="N1426" s="5">
        <v>1</v>
      </c>
      <c r="O1426" s="10">
        <f t="shared" si="222"/>
        <v>1.329282187618686</v>
      </c>
    </row>
    <row r="1427" spans="1:15" ht="13.5" hidden="1" customHeight="1">
      <c r="B1427" s="33">
        <f t="shared" si="217"/>
        <v>52</v>
      </c>
      <c r="C1427" s="35" t="s">
        <v>220</v>
      </c>
      <c r="D1427" s="35" t="s">
        <v>273</v>
      </c>
      <c r="E1427" s="1" t="s">
        <v>127</v>
      </c>
      <c r="F1427" s="30" t="s">
        <v>30</v>
      </c>
      <c r="G1427" s="36">
        <f>300*19</f>
        <v>5700</v>
      </c>
      <c r="H1427" s="36">
        <v>1861</v>
      </c>
      <c r="I1427" s="36">
        <v>1240</v>
      </c>
      <c r="J1427" s="36">
        <v>500</v>
      </c>
      <c r="K1427" s="36">
        <f t="shared" si="220"/>
        <v>9301</v>
      </c>
      <c r="L1427" s="36">
        <v>7000</v>
      </c>
      <c r="M1427" s="9">
        <f t="shared" si="221"/>
        <v>0.75260724653263089</v>
      </c>
      <c r="N1427" s="5">
        <v>1</v>
      </c>
      <c r="O1427" s="10">
        <f t="shared" si="222"/>
        <v>0.75260724653263089</v>
      </c>
    </row>
    <row r="1428" spans="1:15" ht="13.5" hidden="1" customHeight="1">
      <c r="B1428" s="33">
        <f t="shared" si="217"/>
        <v>53</v>
      </c>
      <c r="C1428" s="25" t="s">
        <v>228</v>
      </c>
      <c r="D1428" s="25" t="s">
        <v>282</v>
      </c>
      <c r="E1428" s="1" t="s">
        <v>186</v>
      </c>
      <c r="F1428" s="30" t="s">
        <v>30</v>
      </c>
      <c r="G1428" s="36">
        <f t="shared" ref="G1428:G1431" si="226">300*19</f>
        <v>5700</v>
      </c>
      <c r="H1428" s="36">
        <v>1861</v>
      </c>
      <c r="I1428" s="36">
        <v>1240</v>
      </c>
      <c r="J1428" s="36">
        <v>500</v>
      </c>
      <c r="K1428" s="36">
        <f t="shared" si="220"/>
        <v>9301</v>
      </c>
      <c r="L1428" s="36">
        <v>7000</v>
      </c>
      <c r="M1428" s="9">
        <f t="shared" si="221"/>
        <v>0.75260724653263089</v>
      </c>
      <c r="N1428" s="5">
        <v>1</v>
      </c>
      <c r="O1428" s="10">
        <f t="shared" si="222"/>
        <v>0.75260724653263089</v>
      </c>
    </row>
    <row r="1429" spans="1:15" ht="13.5" hidden="1" customHeight="1">
      <c r="B1429" s="33">
        <f t="shared" si="217"/>
        <v>54</v>
      </c>
      <c r="C1429" s="35" t="s">
        <v>244</v>
      </c>
      <c r="D1429" s="35" t="s">
        <v>303</v>
      </c>
      <c r="E1429" s="1" t="s">
        <v>128</v>
      </c>
      <c r="F1429" s="30" t="s">
        <v>30</v>
      </c>
      <c r="G1429" s="36">
        <f t="shared" si="226"/>
        <v>5700</v>
      </c>
      <c r="H1429" s="36">
        <v>1861</v>
      </c>
      <c r="I1429" s="36">
        <v>1240</v>
      </c>
      <c r="J1429" s="36">
        <v>500</v>
      </c>
      <c r="K1429" s="36">
        <f t="shared" si="220"/>
        <v>9301</v>
      </c>
      <c r="L1429" s="36">
        <v>7000</v>
      </c>
      <c r="M1429" s="9">
        <f t="shared" si="221"/>
        <v>0.75260724653263089</v>
      </c>
      <c r="N1429" s="5">
        <v>1</v>
      </c>
      <c r="O1429" s="10">
        <f t="shared" si="222"/>
        <v>0.75260724653263089</v>
      </c>
    </row>
    <row r="1430" spans="1:15" ht="13.5" hidden="1" customHeight="1">
      <c r="B1430" s="33">
        <f t="shared" si="217"/>
        <v>55</v>
      </c>
      <c r="C1430" s="35" t="s">
        <v>250</v>
      </c>
      <c r="D1430" s="35" t="s">
        <v>311</v>
      </c>
      <c r="E1430" s="1" t="s">
        <v>122</v>
      </c>
      <c r="F1430" s="30" t="s">
        <v>30</v>
      </c>
      <c r="G1430" s="36">
        <f t="shared" si="226"/>
        <v>5700</v>
      </c>
      <c r="H1430" s="36">
        <v>1861</v>
      </c>
      <c r="I1430" s="36">
        <v>1240</v>
      </c>
      <c r="J1430" s="36">
        <v>500</v>
      </c>
      <c r="K1430" s="36">
        <f t="shared" si="220"/>
        <v>9301</v>
      </c>
      <c r="L1430" s="36">
        <v>7000</v>
      </c>
      <c r="M1430" s="9">
        <f t="shared" si="221"/>
        <v>0.75260724653263089</v>
      </c>
      <c r="N1430" s="5">
        <v>1</v>
      </c>
      <c r="O1430" s="10">
        <f t="shared" si="222"/>
        <v>0.75260724653263089</v>
      </c>
    </row>
    <row r="1431" spans="1:15" ht="13.5" hidden="1" customHeight="1">
      <c r="B1431" s="33">
        <f t="shared" si="217"/>
        <v>56</v>
      </c>
      <c r="C1431" s="35" t="s">
        <v>75</v>
      </c>
      <c r="D1431" s="35" t="s">
        <v>270</v>
      </c>
      <c r="E1431" s="1" t="s">
        <v>126</v>
      </c>
      <c r="F1431" s="30" t="s">
        <v>212</v>
      </c>
      <c r="G1431" s="36">
        <f t="shared" si="226"/>
        <v>5700</v>
      </c>
      <c r="H1431" s="36">
        <v>1861</v>
      </c>
      <c r="I1431" s="36">
        <v>1240</v>
      </c>
      <c r="J1431" s="36">
        <v>500</v>
      </c>
      <c r="K1431" s="36">
        <f t="shared" si="220"/>
        <v>9301</v>
      </c>
      <c r="L1431" s="36">
        <v>7000</v>
      </c>
      <c r="M1431" s="9">
        <f t="shared" si="221"/>
        <v>0.75260724653263089</v>
      </c>
      <c r="N1431" s="5">
        <v>1</v>
      </c>
      <c r="O1431" s="10">
        <f t="shared" si="222"/>
        <v>0.75260724653263089</v>
      </c>
    </row>
    <row r="1432" spans="1:15" ht="13.5" hidden="1" customHeight="1">
      <c r="B1432" s="33">
        <f t="shared" si="217"/>
        <v>57</v>
      </c>
      <c r="C1432" s="35" t="s">
        <v>233</v>
      </c>
      <c r="D1432" s="35" t="s">
        <v>290</v>
      </c>
      <c r="E1432" s="1" t="s">
        <v>124</v>
      </c>
      <c r="F1432" s="30" t="s">
        <v>215</v>
      </c>
      <c r="G1432" s="36">
        <f>258*6</f>
        <v>1548</v>
      </c>
      <c r="H1432" s="36">
        <v>1884.4</v>
      </c>
      <c r="I1432" s="36">
        <v>3480</v>
      </c>
      <c r="J1432" s="36"/>
      <c r="K1432" s="36">
        <f t="shared" si="220"/>
        <v>6912.4</v>
      </c>
      <c r="L1432" s="36">
        <v>7000</v>
      </c>
      <c r="M1432" s="9">
        <f t="shared" si="221"/>
        <v>1.0126728777269836</v>
      </c>
      <c r="N1432" s="5">
        <v>1</v>
      </c>
      <c r="O1432" s="10">
        <f t="shared" si="222"/>
        <v>1.0126728777269836</v>
      </c>
    </row>
    <row r="1433" spans="1:15" ht="13.5" hidden="1" customHeight="1">
      <c r="B1433" s="33">
        <f t="shared" si="217"/>
        <v>58</v>
      </c>
      <c r="C1433" s="35" t="s">
        <v>117</v>
      </c>
      <c r="D1433" s="35" t="s">
        <v>318</v>
      </c>
      <c r="E1433" s="1" t="s">
        <v>47</v>
      </c>
      <c r="F1433" s="30" t="s">
        <v>35</v>
      </c>
      <c r="G1433" s="36">
        <f>258*21</f>
        <v>5418</v>
      </c>
      <c r="H1433" s="36">
        <v>1884.4</v>
      </c>
      <c r="I1433" s="36">
        <v>3480</v>
      </c>
      <c r="J1433" s="36"/>
      <c r="K1433" s="36">
        <f t="shared" si="220"/>
        <v>10782.4</v>
      </c>
      <c r="L1433" s="36">
        <v>7000</v>
      </c>
      <c r="M1433" s="9">
        <f t="shared" si="221"/>
        <v>0.6492061136667161</v>
      </c>
      <c r="N1433" s="5">
        <v>1</v>
      </c>
      <c r="O1433" s="10">
        <f t="shared" si="222"/>
        <v>0.6492061136667161</v>
      </c>
    </row>
    <row r="1434" spans="1:15" ht="16.5" hidden="1" customHeight="1">
      <c r="A1434" s="66" t="s">
        <v>45</v>
      </c>
      <c r="B1434" s="66"/>
      <c r="C1434" s="66"/>
      <c r="D1434" s="66"/>
      <c r="E1434" s="66"/>
      <c r="F1434" s="66"/>
      <c r="G1434" s="66"/>
      <c r="H1434" s="66"/>
      <c r="I1434" s="66"/>
      <c r="J1434" s="66"/>
      <c r="K1434" s="66"/>
      <c r="L1434" s="66"/>
      <c r="M1434" s="66"/>
      <c r="N1434" s="22">
        <f>SUM(N1376:N1433)</f>
        <v>58</v>
      </c>
      <c r="O1434" s="23">
        <f>SUM(O1376:O1433)</f>
        <v>47.455204407276803</v>
      </c>
    </row>
    <row r="1435" spans="1:15" ht="13.5" customHeight="1">
      <c r="A1435" s="44" t="s">
        <v>503</v>
      </c>
      <c r="B1435" s="44"/>
      <c r="C1435" s="44"/>
      <c r="D1435" s="44"/>
      <c r="E1435" s="44"/>
      <c r="F1435" s="44"/>
      <c r="G1435" s="44"/>
      <c r="H1435" s="44"/>
      <c r="I1435" s="44"/>
      <c r="J1435" s="44"/>
      <c r="K1435" s="44"/>
      <c r="L1435" s="44"/>
      <c r="M1435" s="44"/>
      <c r="N1435" s="44"/>
      <c r="O1435" s="44"/>
    </row>
    <row r="1436" spans="1:15" ht="13.5" customHeight="1">
      <c r="B1436" s="33">
        <v>1</v>
      </c>
      <c r="C1436" s="35"/>
      <c r="D1436" s="35"/>
      <c r="F1436" s="30" t="s">
        <v>213</v>
      </c>
      <c r="G1436" s="36">
        <f>+G1230+G1316+G1376</f>
        <v>18978</v>
      </c>
      <c r="H1436" s="36">
        <f t="shared" ref="H1436:K1436" si="227">+H1230+H1316+H1376</f>
        <v>5583</v>
      </c>
      <c r="I1436" s="36">
        <f t="shared" si="227"/>
        <v>3720</v>
      </c>
      <c r="J1436" s="36">
        <f t="shared" si="227"/>
        <v>500</v>
      </c>
      <c r="K1436" s="36">
        <f t="shared" si="227"/>
        <v>28781</v>
      </c>
      <c r="L1436" s="36">
        <v>21000</v>
      </c>
      <c r="M1436" s="9">
        <f t="shared" ref="M1436:M1490" si="228">L1436/K1436</f>
        <v>0.72964803168757164</v>
      </c>
      <c r="N1436" s="5">
        <v>1</v>
      </c>
      <c r="O1436" s="10">
        <f>IF(M1436&gt;1,1,M1436)</f>
        <v>0.72964803168757164</v>
      </c>
    </row>
    <row r="1437" spans="1:15" ht="13.5" customHeight="1">
      <c r="B1437" s="33">
        <f>B1436+1</f>
        <v>2</v>
      </c>
      <c r="C1437" s="35"/>
      <c r="D1437" s="35"/>
      <c r="F1437" s="30" t="s">
        <v>213</v>
      </c>
      <c r="G1437" s="36">
        <f t="shared" ref="G1437:K1437" si="229">+G1231+G1317+G1377</f>
        <v>18978</v>
      </c>
      <c r="H1437" s="36">
        <f t="shared" si="229"/>
        <v>5583</v>
      </c>
      <c r="I1437" s="36">
        <f t="shared" si="229"/>
        <v>3720</v>
      </c>
      <c r="J1437" s="36">
        <f t="shared" si="229"/>
        <v>500</v>
      </c>
      <c r="K1437" s="36">
        <f t="shared" si="229"/>
        <v>28781</v>
      </c>
      <c r="L1437" s="36">
        <v>21000</v>
      </c>
      <c r="M1437" s="9">
        <f t="shared" si="228"/>
        <v>0.72964803168757164</v>
      </c>
      <c r="N1437" s="5">
        <v>1</v>
      </c>
      <c r="O1437" s="10">
        <f t="shared" ref="O1437:O1490" si="230">IF(M1437&gt;1,1,M1437)</f>
        <v>0.72964803168757164</v>
      </c>
    </row>
    <row r="1438" spans="1:15" ht="13.5" customHeight="1">
      <c r="B1438" s="33">
        <f t="shared" ref="B1438:B1490" si="231">B1437+1</f>
        <v>3</v>
      </c>
      <c r="C1438" s="35"/>
      <c r="D1438" s="35"/>
      <c r="F1438" s="30" t="s">
        <v>140</v>
      </c>
      <c r="G1438" s="36">
        <f t="shared" ref="G1438:J1438" si="232">+G1232+G1318+G1378</f>
        <v>10194</v>
      </c>
      <c r="H1438" s="36">
        <f t="shared" si="232"/>
        <v>5583</v>
      </c>
      <c r="I1438" s="36">
        <f t="shared" si="232"/>
        <v>3720</v>
      </c>
      <c r="J1438" s="36">
        <f t="shared" si="232"/>
        <v>500</v>
      </c>
      <c r="K1438" s="36">
        <f>SUM(G1438:J1438)</f>
        <v>19997</v>
      </c>
      <c r="L1438" s="36">
        <v>21000</v>
      </c>
      <c r="M1438" s="9">
        <f t="shared" si="228"/>
        <v>1.0501575236285443</v>
      </c>
      <c r="N1438" s="5">
        <v>1</v>
      </c>
      <c r="O1438" s="10">
        <f t="shared" si="230"/>
        <v>1</v>
      </c>
    </row>
    <row r="1439" spans="1:15" ht="13.5" customHeight="1">
      <c r="B1439" s="33">
        <f t="shared" si="231"/>
        <v>4</v>
      </c>
      <c r="C1439" s="35"/>
      <c r="D1439" s="35"/>
      <c r="F1439" s="30" t="s">
        <v>330</v>
      </c>
      <c r="G1439" s="36">
        <f t="shared" ref="G1439:K1439" si="233">+G1233+G1319+G1379</f>
        <v>21000</v>
      </c>
      <c r="H1439" s="36">
        <f t="shared" si="233"/>
        <v>5583</v>
      </c>
      <c r="I1439" s="36">
        <f t="shared" si="233"/>
        <v>3720</v>
      </c>
      <c r="J1439" s="36">
        <f t="shared" si="233"/>
        <v>1500</v>
      </c>
      <c r="K1439" s="36">
        <f t="shared" si="233"/>
        <v>31803</v>
      </c>
      <c r="L1439" s="36">
        <v>21000</v>
      </c>
      <c r="M1439" s="9">
        <f t="shared" si="228"/>
        <v>0.66031506461654565</v>
      </c>
      <c r="N1439" s="5">
        <v>1</v>
      </c>
      <c r="O1439" s="10">
        <f t="shared" si="230"/>
        <v>0.66031506461654565</v>
      </c>
    </row>
    <row r="1440" spans="1:15" ht="13.5" customHeight="1">
      <c r="B1440" s="33">
        <f t="shared" si="231"/>
        <v>5</v>
      </c>
      <c r="C1440" s="35"/>
      <c r="D1440" s="35"/>
      <c r="F1440" s="30" t="s">
        <v>330</v>
      </c>
      <c r="G1440" s="36">
        <f t="shared" ref="G1440:K1440" si="234">+G1234+G1320+G1380</f>
        <v>18000</v>
      </c>
      <c r="H1440" s="36">
        <f t="shared" si="234"/>
        <v>5583</v>
      </c>
      <c r="I1440" s="36">
        <f t="shared" si="234"/>
        <v>3720</v>
      </c>
      <c r="J1440" s="36">
        <f t="shared" si="234"/>
        <v>1500</v>
      </c>
      <c r="K1440" s="36">
        <f t="shared" si="234"/>
        <v>28803</v>
      </c>
      <c r="L1440" s="36">
        <v>21000</v>
      </c>
      <c r="M1440" s="9">
        <f t="shared" si="228"/>
        <v>0.72909071971669615</v>
      </c>
      <c r="N1440" s="5">
        <v>1</v>
      </c>
      <c r="O1440" s="10">
        <f t="shared" si="230"/>
        <v>0.72909071971669615</v>
      </c>
    </row>
    <row r="1441" spans="2:15" ht="13.5" customHeight="1">
      <c r="B1441" s="33">
        <f t="shared" si="231"/>
        <v>6</v>
      </c>
      <c r="C1441" s="35"/>
      <c r="D1441" s="35"/>
      <c r="F1441" s="30" t="s">
        <v>34</v>
      </c>
      <c r="G1441" s="36">
        <f t="shared" ref="G1441:K1441" si="235">+G1235+G1321+G1381</f>
        <v>14875</v>
      </c>
      <c r="H1441" s="36">
        <f t="shared" si="235"/>
        <v>5583</v>
      </c>
      <c r="I1441" s="36">
        <f t="shared" si="235"/>
        <v>3720</v>
      </c>
      <c r="J1441" s="36">
        <f t="shared" si="235"/>
        <v>1500</v>
      </c>
      <c r="K1441" s="36">
        <f t="shared" si="235"/>
        <v>25678</v>
      </c>
      <c r="L1441" s="36">
        <v>21000</v>
      </c>
      <c r="M1441" s="9">
        <f t="shared" si="228"/>
        <v>0.81782070254692729</v>
      </c>
      <c r="N1441" s="5">
        <v>1</v>
      </c>
      <c r="O1441" s="10">
        <f t="shared" si="230"/>
        <v>0.81782070254692729</v>
      </c>
    </row>
    <row r="1442" spans="2:15" ht="13.5" customHeight="1">
      <c r="B1442" s="33">
        <f t="shared" si="231"/>
        <v>7</v>
      </c>
      <c r="C1442" s="35"/>
      <c r="D1442" s="35"/>
      <c r="F1442" s="30" t="s">
        <v>34</v>
      </c>
      <c r="G1442" s="36">
        <f t="shared" ref="G1442:K1442" si="236">+G1236+G1322+G1382</f>
        <v>12600</v>
      </c>
      <c r="H1442" s="36">
        <f t="shared" si="236"/>
        <v>5583</v>
      </c>
      <c r="I1442" s="36">
        <f t="shared" si="236"/>
        <v>3720</v>
      </c>
      <c r="J1442" s="36">
        <f t="shared" si="236"/>
        <v>1500</v>
      </c>
      <c r="K1442" s="36">
        <f t="shared" si="236"/>
        <v>23403</v>
      </c>
      <c r="L1442" s="36">
        <v>21000</v>
      </c>
      <c r="M1442" s="9">
        <f t="shared" si="228"/>
        <v>0.89732085630047431</v>
      </c>
      <c r="N1442" s="5">
        <v>1</v>
      </c>
      <c r="O1442" s="10">
        <f t="shared" si="230"/>
        <v>0.89732085630047431</v>
      </c>
    </row>
    <row r="1443" spans="2:15" ht="13.5" customHeight="1">
      <c r="B1443" s="33">
        <f t="shared" si="231"/>
        <v>8</v>
      </c>
      <c r="C1443" s="35"/>
      <c r="D1443" s="35"/>
      <c r="F1443" s="30" t="s">
        <v>29</v>
      </c>
      <c r="G1443" s="36">
        <f t="shared" ref="G1443:K1443" si="237">+G1237+G1323+G1383</f>
        <v>16800</v>
      </c>
      <c r="H1443" s="36">
        <f t="shared" si="237"/>
        <v>5583</v>
      </c>
      <c r="I1443" s="36">
        <f t="shared" si="237"/>
        <v>3720</v>
      </c>
      <c r="J1443" s="36">
        <f t="shared" si="237"/>
        <v>1500</v>
      </c>
      <c r="K1443" s="36">
        <f t="shared" si="237"/>
        <v>27603</v>
      </c>
      <c r="L1443" s="36">
        <v>21000</v>
      </c>
      <c r="M1443" s="9">
        <f t="shared" si="228"/>
        <v>0.76078687099228348</v>
      </c>
      <c r="N1443" s="5">
        <v>1</v>
      </c>
      <c r="O1443" s="10">
        <f t="shared" si="230"/>
        <v>0.76078687099228348</v>
      </c>
    </row>
    <row r="1444" spans="2:15" ht="13.5" customHeight="1">
      <c r="B1444" s="33">
        <f t="shared" si="231"/>
        <v>9</v>
      </c>
      <c r="C1444" s="35"/>
      <c r="D1444" s="35"/>
      <c r="F1444" s="30" t="s">
        <v>23</v>
      </c>
      <c r="G1444" s="36">
        <f t="shared" ref="G1444:K1444" si="238">+G1238+G1324+G1384</f>
        <v>6800</v>
      </c>
      <c r="H1444" s="36">
        <f t="shared" si="238"/>
        <v>5583</v>
      </c>
      <c r="I1444" s="36">
        <f t="shared" si="238"/>
        <v>3720</v>
      </c>
      <c r="J1444" s="36">
        <f t="shared" si="238"/>
        <v>1500</v>
      </c>
      <c r="K1444" s="36">
        <f t="shared" si="238"/>
        <v>17603</v>
      </c>
      <c r="L1444" s="36">
        <v>21000</v>
      </c>
      <c r="M1444" s="9">
        <f t="shared" si="228"/>
        <v>1.1929784695790491</v>
      </c>
      <c r="N1444" s="5">
        <v>1</v>
      </c>
      <c r="O1444" s="10">
        <f t="shared" si="230"/>
        <v>1</v>
      </c>
    </row>
    <row r="1445" spans="2:15" ht="13.5" customHeight="1">
      <c r="B1445" s="33">
        <f t="shared" si="231"/>
        <v>10</v>
      </c>
      <c r="C1445" s="35"/>
      <c r="D1445" s="35"/>
      <c r="F1445" s="30" t="s">
        <v>23</v>
      </c>
      <c r="G1445" s="36">
        <f t="shared" ref="G1445:K1445" si="239">+G1239+G1325+G1385</f>
        <v>9800</v>
      </c>
      <c r="H1445" s="36">
        <f t="shared" si="239"/>
        <v>5583</v>
      </c>
      <c r="I1445" s="36">
        <f t="shared" si="239"/>
        <v>3720</v>
      </c>
      <c r="J1445" s="36">
        <f t="shared" si="239"/>
        <v>1500</v>
      </c>
      <c r="K1445" s="36">
        <f t="shared" si="239"/>
        <v>20603</v>
      </c>
      <c r="L1445" s="36">
        <v>21000</v>
      </c>
      <c r="M1445" s="9">
        <f t="shared" si="228"/>
        <v>1.0192690384895404</v>
      </c>
      <c r="N1445" s="5">
        <v>1</v>
      </c>
      <c r="O1445" s="10">
        <f t="shared" si="230"/>
        <v>1</v>
      </c>
    </row>
    <row r="1446" spans="2:15" ht="13.5" customHeight="1">
      <c r="B1446" s="33">
        <f t="shared" si="231"/>
        <v>11</v>
      </c>
      <c r="C1446" s="35"/>
      <c r="D1446" s="35"/>
      <c r="F1446" s="30" t="s">
        <v>41</v>
      </c>
      <c r="G1446" s="36">
        <f t="shared" ref="G1446:K1446" si="240">+G1240+G1326+G1386</f>
        <v>15984</v>
      </c>
      <c r="H1446" s="36">
        <f t="shared" si="240"/>
        <v>5583</v>
      </c>
      <c r="I1446" s="36">
        <f t="shared" si="240"/>
        <v>3720</v>
      </c>
      <c r="J1446" s="36">
        <f t="shared" si="240"/>
        <v>1500</v>
      </c>
      <c r="K1446" s="36">
        <f t="shared" si="240"/>
        <v>26787</v>
      </c>
      <c r="L1446" s="36">
        <v>21000</v>
      </c>
      <c r="M1446" s="9">
        <f t="shared" si="228"/>
        <v>0.78396236980624934</v>
      </c>
      <c r="N1446" s="5">
        <v>1</v>
      </c>
      <c r="O1446" s="10">
        <f t="shared" si="230"/>
        <v>0.78396236980624934</v>
      </c>
    </row>
    <row r="1447" spans="2:15" ht="13.5" customHeight="1">
      <c r="B1447" s="33">
        <f t="shared" si="231"/>
        <v>12</v>
      </c>
      <c r="C1447" s="35"/>
      <c r="D1447" s="35"/>
      <c r="F1447" s="30" t="s">
        <v>41</v>
      </c>
      <c r="G1447" s="36">
        <f t="shared" ref="G1447:J1447" si="241">+G1241+G1327+G1387</f>
        <v>15981</v>
      </c>
      <c r="H1447" s="36">
        <f t="shared" si="241"/>
        <v>5583</v>
      </c>
      <c r="I1447" s="36">
        <f t="shared" si="241"/>
        <v>3720</v>
      </c>
      <c r="J1447" s="36">
        <f t="shared" si="241"/>
        <v>1500</v>
      </c>
      <c r="K1447" s="36">
        <v>38438</v>
      </c>
      <c r="L1447" s="36">
        <v>21000</v>
      </c>
      <c r="M1447" s="9">
        <f t="shared" si="228"/>
        <v>0.54633435662625529</v>
      </c>
      <c r="N1447" s="5">
        <v>1</v>
      </c>
      <c r="O1447" s="10">
        <f t="shared" si="230"/>
        <v>0.54633435662625529</v>
      </c>
    </row>
    <row r="1448" spans="2:15" ht="13.5" customHeight="1">
      <c r="B1448" s="33">
        <f t="shared" si="231"/>
        <v>13</v>
      </c>
      <c r="C1448" s="35"/>
      <c r="D1448" s="35"/>
      <c r="F1448" s="30" t="s">
        <v>41</v>
      </c>
      <c r="G1448" s="36">
        <f t="shared" ref="G1448:J1448" si="242">+G1242+G1328+G1388</f>
        <v>17979</v>
      </c>
      <c r="H1448" s="36">
        <f t="shared" si="242"/>
        <v>5583</v>
      </c>
      <c r="I1448" s="36">
        <f t="shared" si="242"/>
        <v>3720</v>
      </c>
      <c r="J1448" s="36">
        <f t="shared" si="242"/>
        <v>1500</v>
      </c>
      <c r="K1448" s="36">
        <v>39432</v>
      </c>
      <c r="L1448" s="36">
        <v>21000</v>
      </c>
      <c r="M1448" s="9">
        <f t="shared" si="228"/>
        <v>0.53256238587948879</v>
      </c>
      <c r="N1448" s="5">
        <v>1</v>
      </c>
      <c r="O1448" s="10">
        <f t="shared" si="230"/>
        <v>0.53256238587948879</v>
      </c>
    </row>
    <row r="1449" spans="2:15" ht="13.5" customHeight="1">
      <c r="B1449" s="33">
        <f t="shared" si="231"/>
        <v>14</v>
      </c>
      <c r="C1449" s="35"/>
      <c r="D1449" s="35"/>
      <c r="F1449" s="30" t="s">
        <v>42</v>
      </c>
      <c r="G1449" s="36">
        <f t="shared" ref="G1449:K1449" si="243">+G1243+G1329+G1389</f>
        <v>20646</v>
      </c>
      <c r="H1449" s="36">
        <f t="shared" si="243"/>
        <v>5583</v>
      </c>
      <c r="I1449" s="36">
        <f t="shared" si="243"/>
        <v>3720</v>
      </c>
      <c r="J1449" s="36">
        <f t="shared" si="243"/>
        <v>1500</v>
      </c>
      <c r="K1449" s="36">
        <f t="shared" si="243"/>
        <v>31449</v>
      </c>
      <c r="L1449" s="36">
        <v>21000</v>
      </c>
      <c r="M1449" s="9">
        <f t="shared" si="228"/>
        <v>0.66774778212343799</v>
      </c>
      <c r="N1449" s="5">
        <v>1</v>
      </c>
      <c r="O1449" s="10">
        <f t="shared" si="230"/>
        <v>0.66774778212343799</v>
      </c>
    </row>
    <row r="1450" spans="2:15" ht="13.5" customHeight="1">
      <c r="B1450" s="33">
        <f t="shared" si="231"/>
        <v>15</v>
      </c>
      <c r="C1450" s="35"/>
      <c r="D1450" s="35"/>
      <c r="F1450" s="30" t="s">
        <v>42</v>
      </c>
      <c r="G1450" s="36">
        <f t="shared" ref="G1450:K1450" si="244">+G1244+G1330+G1390</f>
        <v>20646</v>
      </c>
      <c r="H1450" s="36">
        <f t="shared" si="244"/>
        <v>5583</v>
      </c>
      <c r="I1450" s="36">
        <f t="shared" si="244"/>
        <v>3720</v>
      </c>
      <c r="J1450" s="36">
        <f t="shared" si="244"/>
        <v>1500</v>
      </c>
      <c r="K1450" s="36">
        <f t="shared" si="244"/>
        <v>31449</v>
      </c>
      <c r="L1450" s="36">
        <v>21000</v>
      </c>
      <c r="M1450" s="9">
        <f t="shared" si="228"/>
        <v>0.66774778212343799</v>
      </c>
      <c r="N1450" s="5">
        <v>1</v>
      </c>
      <c r="O1450" s="10">
        <f t="shared" si="230"/>
        <v>0.66774778212343799</v>
      </c>
    </row>
    <row r="1451" spans="2:15" ht="13.5" customHeight="1">
      <c r="B1451" s="33">
        <f t="shared" si="231"/>
        <v>16</v>
      </c>
      <c r="C1451" s="35"/>
      <c r="D1451" s="35"/>
      <c r="F1451" s="30" t="s">
        <v>42</v>
      </c>
      <c r="G1451" s="36">
        <f t="shared" ref="G1451:K1451" si="245">+G1245+G1331+G1391</f>
        <v>20646</v>
      </c>
      <c r="H1451" s="36">
        <f t="shared" si="245"/>
        <v>5583</v>
      </c>
      <c r="I1451" s="36">
        <f t="shared" si="245"/>
        <v>3720</v>
      </c>
      <c r="J1451" s="36">
        <f t="shared" si="245"/>
        <v>1500</v>
      </c>
      <c r="K1451" s="36">
        <f t="shared" si="245"/>
        <v>31449</v>
      </c>
      <c r="L1451" s="36">
        <v>21000</v>
      </c>
      <c r="M1451" s="9">
        <f t="shared" si="228"/>
        <v>0.66774778212343799</v>
      </c>
      <c r="N1451" s="5">
        <v>1</v>
      </c>
      <c r="O1451" s="10">
        <f t="shared" si="230"/>
        <v>0.66774778212343799</v>
      </c>
    </row>
    <row r="1452" spans="2:15" ht="13.5" customHeight="1">
      <c r="B1452" s="33">
        <f t="shared" si="231"/>
        <v>17</v>
      </c>
      <c r="C1452" s="35"/>
      <c r="D1452" s="35"/>
      <c r="F1452" s="30" t="s">
        <v>42</v>
      </c>
      <c r="G1452" s="36">
        <f t="shared" ref="G1452:K1452" si="246">+G1246+G1332+G1392</f>
        <v>20646</v>
      </c>
      <c r="H1452" s="36">
        <f t="shared" si="246"/>
        <v>5583</v>
      </c>
      <c r="I1452" s="36">
        <f t="shared" si="246"/>
        <v>3720</v>
      </c>
      <c r="J1452" s="36">
        <f t="shared" si="246"/>
        <v>1500</v>
      </c>
      <c r="K1452" s="36">
        <f t="shared" si="246"/>
        <v>31449</v>
      </c>
      <c r="L1452" s="36">
        <v>21000</v>
      </c>
      <c r="M1452" s="9">
        <f t="shared" si="228"/>
        <v>0.66774778212343799</v>
      </c>
      <c r="N1452" s="5">
        <v>1</v>
      </c>
      <c r="O1452" s="10">
        <f t="shared" si="230"/>
        <v>0.66774778212343799</v>
      </c>
    </row>
    <row r="1453" spans="2:15" ht="13.5" customHeight="1">
      <c r="B1453" s="33">
        <f t="shared" si="231"/>
        <v>18</v>
      </c>
      <c r="C1453" s="35"/>
      <c r="D1453" s="35"/>
      <c r="F1453" s="30" t="s">
        <v>42</v>
      </c>
      <c r="G1453" s="36">
        <f t="shared" ref="G1453:J1453" si="247">+G1247+G1333+G1393</f>
        <v>17646</v>
      </c>
      <c r="H1453" s="36">
        <f t="shared" si="247"/>
        <v>5583</v>
      </c>
      <c r="I1453" s="36">
        <f t="shared" si="247"/>
        <v>3720</v>
      </c>
      <c r="J1453" s="36">
        <f t="shared" si="247"/>
        <v>1500</v>
      </c>
      <c r="K1453" s="36">
        <v>37449</v>
      </c>
      <c r="L1453" s="36">
        <v>21000</v>
      </c>
      <c r="M1453" s="9">
        <f t="shared" si="228"/>
        <v>0.56076263718657371</v>
      </c>
      <c r="N1453" s="5">
        <v>1</v>
      </c>
      <c r="O1453" s="10">
        <f t="shared" si="230"/>
        <v>0.56076263718657371</v>
      </c>
    </row>
    <row r="1454" spans="2:15" ht="13.5" customHeight="1">
      <c r="B1454" s="33">
        <f t="shared" si="231"/>
        <v>19</v>
      </c>
      <c r="C1454" s="35"/>
      <c r="D1454" s="35"/>
      <c r="F1454" s="30" t="s">
        <v>25</v>
      </c>
      <c r="G1454" s="36">
        <f t="shared" ref="G1454:K1454" si="248">+G1248+G1334+G1394</f>
        <v>13293</v>
      </c>
      <c r="H1454" s="36">
        <f t="shared" si="248"/>
        <v>5583</v>
      </c>
      <c r="I1454" s="36">
        <f t="shared" si="248"/>
        <v>3720</v>
      </c>
      <c r="J1454" s="36">
        <f t="shared" si="248"/>
        <v>1500</v>
      </c>
      <c r="K1454" s="36">
        <f t="shared" si="248"/>
        <v>24096</v>
      </c>
      <c r="L1454" s="36">
        <v>21000</v>
      </c>
      <c r="M1454" s="9">
        <f t="shared" si="228"/>
        <v>0.87151394422310757</v>
      </c>
      <c r="N1454" s="5">
        <v>1</v>
      </c>
      <c r="O1454" s="10">
        <f t="shared" si="230"/>
        <v>0.87151394422310757</v>
      </c>
    </row>
    <row r="1455" spans="2:15" ht="13.5" customHeight="1">
      <c r="B1455" s="33">
        <f t="shared" si="231"/>
        <v>20</v>
      </c>
      <c r="C1455" s="25"/>
      <c r="D1455" s="25"/>
      <c r="F1455" s="30" t="s">
        <v>25</v>
      </c>
      <c r="G1455" s="36">
        <f t="shared" ref="G1455:K1455" si="249">+G1249+G1335+G1395</f>
        <v>13293</v>
      </c>
      <c r="H1455" s="36">
        <f t="shared" si="249"/>
        <v>5583</v>
      </c>
      <c r="I1455" s="36">
        <f t="shared" si="249"/>
        <v>3720</v>
      </c>
      <c r="J1455" s="36">
        <f t="shared" si="249"/>
        <v>1500</v>
      </c>
      <c r="K1455" s="36">
        <f t="shared" si="249"/>
        <v>24096</v>
      </c>
      <c r="L1455" s="36">
        <v>21000</v>
      </c>
      <c r="M1455" s="9">
        <f t="shared" si="228"/>
        <v>0.87151394422310757</v>
      </c>
      <c r="N1455" s="5">
        <v>1</v>
      </c>
      <c r="O1455" s="10">
        <f t="shared" si="230"/>
        <v>0.87151394422310757</v>
      </c>
    </row>
    <row r="1456" spans="2:15" ht="13.5" customHeight="1">
      <c r="B1456" s="33">
        <f t="shared" si="231"/>
        <v>21</v>
      </c>
      <c r="C1456" s="35"/>
      <c r="D1456" s="35"/>
      <c r="F1456" s="30" t="s">
        <v>25</v>
      </c>
      <c r="G1456" s="36">
        <f t="shared" ref="G1456:K1456" si="250">+G1250+G1336+G1396</f>
        <v>12294</v>
      </c>
      <c r="H1456" s="36">
        <f t="shared" si="250"/>
        <v>5583</v>
      </c>
      <c r="I1456" s="36">
        <f t="shared" si="250"/>
        <v>3720</v>
      </c>
      <c r="J1456" s="36">
        <f t="shared" si="250"/>
        <v>1500</v>
      </c>
      <c r="K1456" s="36">
        <f t="shared" si="250"/>
        <v>23097</v>
      </c>
      <c r="L1456" s="36">
        <v>21000</v>
      </c>
      <c r="M1456" s="9">
        <f t="shared" si="228"/>
        <v>0.90920898818028317</v>
      </c>
      <c r="N1456" s="5">
        <v>1</v>
      </c>
      <c r="O1456" s="10">
        <f t="shared" si="230"/>
        <v>0.90920898818028317</v>
      </c>
    </row>
    <row r="1457" spans="1:15" ht="13.5" customHeight="1">
      <c r="B1457" s="33">
        <f t="shared" si="231"/>
        <v>22</v>
      </c>
      <c r="C1457" s="35"/>
      <c r="D1457" s="35"/>
      <c r="F1457" s="30" t="s">
        <v>159</v>
      </c>
      <c r="G1457" s="36">
        <f t="shared" ref="G1457:J1457" si="251">+G1251+G1337+G1397</f>
        <v>15648</v>
      </c>
      <c r="H1457" s="36">
        <f t="shared" si="251"/>
        <v>5583</v>
      </c>
      <c r="I1457" s="36">
        <f t="shared" si="251"/>
        <v>3720</v>
      </c>
      <c r="J1457" s="36">
        <f t="shared" si="251"/>
        <v>2700</v>
      </c>
      <c r="K1457" s="36">
        <v>36651</v>
      </c>
      <c r="L1457" s="36">
        <v>21000</v>
      </c>
      <c r="M1457" s="9">
        <f t="shared" si="228"/>
        <v>0.57297208807399524</v>
      </c>
      <c r="N1457" s="5">
        <v>1</v>
      </c>
      <c r="O1457" s="10">
        <f t="shared" si="230"/>
        <v>0.57297208807399524</v>
      </c>
    </row>
    <row r="1458" spans="1:15" ht="13.5" customHeight="1">
      <c r="B1458" s="33">
        <f t="shared" si="231"/>
        <v>23</v>
      </c>
      <c r="C1458" s="35"/>
      <c r="D1458" s="35"/>
      <c r="F1458" s="30" t="s">
        <v>36</v>
      </c>
      <c r="G1458" s="36">
        <f t="shared" ref="G1458:K1458" si="252">+G1252+G1338+G1398</f>
        <v>21312</v>
      </c>
      <c r="H1458" s="36">
        <f t="shared" si="252"/>
        <v>5583</v>
      </c>
      <c r="I1458" s="36">
        <f t="shared" si="252"/>
        <v>3720</v>
      </c>
      <c r="J1458" s="36">
        <f t="shared" si="252"/>
        <v>500</v>
      </c>
      <c r="K1458" s="36">
        <f t="shared" si="252"/>
        <v>31115</v>
      </c>
      <c r="L1458" s="36">
        <v>21000</v>
      </c>
      <c r="M1458" s="9">
        <f t="shared" si="228"/>
        <v>0.67491563554555678</v>
      </c>
      <c r="N1458" s="5">
        <v>1</v>
      </c>
      <c r="O1458" s="10">
        <f t="shared" si="230"/>
        <v>0.67491563554555678</v>
      </c>
    </row>
    <row r="1459" spans="1:15" ht="13.5" customHeight="1">
      <c r="B1459" s="33">
        <f t="shared" si="231"/>
        <v>24</v>
      </c>
      <c r="C1459" s="35"/>
      <c r="D1459" s="35"/>
      <c r="F1459" s="30" t="s">
        <v>216</v>
      </c>
      <c r="G1459" s="36">
        <f t="shared" ref="G1459:J1459" si="253">+G1253+G1339+G1399</f>
        <v>10194</v>
      </c>
      <c r="H1459" s="36">
        <f t="shared" si="253"/>
        <v>5583</v>
      </c>
      <c r="I1459" s="36">
        <f t="shared" si="253"/>
        <v>3720</v>
      </c>
      <c r="J1459" s="36">
        <f t="shared" si="253"/>
        <v>500</v>
      </c>
      <c r="K1459" s="36">
        <v>28403</v>
      </c>
      <c r="L1459" s="36">
        <v>21000</v>
      </c>
      <c r="M1459" s="9">
        <f t="shared" si="228"/>
        <v>0.73935851846635914</v>
      </c>
      <c r="N1459" s="5">
        <v>1</v>
      </c>
      <c r="O1459" s="10">
        <f t="shared" si="230"/>
        <v>0.73935851846635914</v>
      </c>
    </row>
    <row r="1460" spans="1:15" ht="13.5" customHeight="1">
      <c r="B1460" s="33">
        <f t="shared" si="231"/>
        <v>25</v>
      </c>
      <c r="C1460" s="35"/>
      <c r="D1460" s="35"/>
      <c r="F1460" s="30" t="s">
        <v>214</v>
      </c>
      <c r="G1460" s="36">
        <f t="shared" ref="G1460:K1460" si="254">+G1254+G1340+G1400</f>
        <v>18981</v>
      </c>
      <c r="H1460" s="36">
        <f t="shared" si="254"/>
        <v>5583</v>
      </c>
      <c r="I1460" s="36">
        <f t="shared" si="254"/>
        <v>3720</v>
      </c>
      <c r="J1460" s="36">
        <f t="shared" si="254"/>
        <v>2250</v>
      </c>
      <c r="K1460" s="36">
        <f t="shared" si="254"/>
        <v>30534</v>
      </c>
      <c r="L1460" s="36">
        <v>21000</v>
      </c>
      <c r="M1460" s="9">
        <f t="shared" si="228"/>
        <v>0.68775790921595603</v>
      </c>
      <c r="N1460" s="5">
        <v>1</v>
      </c>
      <c r="O1460" s="10">
        <f t="shared" si="230"/>
        <v>0.68775790921595603</v>
      </c>
    </row>
    <row r="1461" spans="1:15" ht="13.5" customHeight="1">
      <c r="A1461" s="1" t="s">
        <v>1016</v>
      </c>
      <c r="B1461" s="33">
        <f t="shared" si="231"/>
        <v>26</v>
      </c>
      <c r="C1461" s="25"/>
      <c r="D1461" s="25"/>
      <c r="F1461" s="30" t="s">
        <v>214</v>
      </c>
      <c r="G1461" s="36">
        <f t="shared" ref="G1461:J1461" si="255">+G1255+G1341+G1401</f>
        <v>18981</v>
      </c>
      <c r="H1461" s="36">
        <f t="shared" si="255"/>
        <v>5583</v>
      </c>
      <c r="I1461" s="36">
        <f t="shared" si="255"/>
        <v>3720</v>
      </c>
      <c r="J1461" s="36">
        <f t="shared" si="255"/>
        <v>2250</v>
      </c>
      <c r="K1461" s="36">
        <v>11184</v>
      </c>
      <c r="L1461" s="36">
        <v>21000</v>
      </c>
      <c r="M1461" s="9">
        <f t="shared" si="228"/>
        <v>1.8776824034334765</v>
      </c>
      <c r="N1461" s="5">
        <v>1</v>
      </c>
      <c r="O1461" s="10">
        <f t="shared" si="230"/>
        <v>1</v>
      </c>
    </row>
    <row r="1462" spans="1:15" ht="13.5" customHeight="1">
      <c r="A1462" s="1" t="s">
        <v>1018</v>
      </c>
      <c r="B1462" s="33">
        <f t="shared" si="231"/>
        <v>27</v>
      </c>
      <c r="C1462" s="25"/>
      <c r="D1462" s="25"/>
      <c r="F1462" s="30" t="s">
        <v>329</v>
      </c>
      <c r="G1462" s="36">
        <f t="shared" ref="G1462:J1462" si="256">+G1256+G1342+G1402</f>
        <v>18981</v>
      </c>
      <c r="H1462" s="36">
        <f t="shared" si="256"/>
        <v>5583</v>
      </c>
      <c r="I1462" s="36">
        <f t="shared" si="256"/>
        <v>3720</v>
      </c>
      <c r="J1462" s="36">
        <f t="shared" si="256"/>
        <v>2250</v>
      </c>
      <c r="K1462" s="36">
        <v>11184</v>
      </c>
      <c r="L1462" s="36">
        <v>21000</v>
      </c>
      <c r="M1462" s="9">
        <f t="shared" si="228"/>
        <v>1.8776824034334765</v>
      </c>
      <c r="N1462" s="5">
        <v>1</v>
      </c>
      <c r="O1462" s="10">
        <f t="shared" si="230"/>
        <v>1</v>
      </c>
    </row>
    <row r="1463" spans="1:15" ht="13.5" customHeight="1">
      <c r="A1463" s="1" t="s">
        <v>1018</v>
      </c>
      <c r="B1463" s="33">
        <f t="shared" si="231"/>
        <v>28</v>
      </c>
      <c r="C1463" s="35"/>
      <c r="D1463" s="35"/>
      <c r="F1463" s="30" t="s">
        <v>214</v>
      </c>
      <c r="G1463" s="36">
        <f t="shared" ref="G1463:J1463" si="257">+G1257+G1343+G1403</f>
        <v>15981</v>
      </c>
      <c r="H1463" s="36">
        <f t="shared" si="257"/>
        <v>5583</v>
      </c>
      <c r="I1463" s="36">
        <f t="shared" si="257"/>
        <v>3720</v>
      </c>
      <c r="J1463" s="36">
        <f t="shared" si="257"/>
        <v>2250</v>
      </c>
      <c r="K1463" s="36">
        <v>11184</v>
      </c>
      <c r="L1463" s="36">
        <v>21000</v>
      </c>
      <c r="M1463" s="9">
        <f t="shared" si="228"/>
        <v>1.8776824034334765</v>
      </c>
      <c r="N1463" s="5">
        <v>1</v>
      </c>
      <c r="O1463" s="10">
        <f t="shared" si="230"/>
        <v>1</v>
      </c>
    </row>
    <row r="1464" spans="1:15" ht="13.5" customHeight="1">
      <c r="A1464" s="1" t="s">
        <v>1018</v>
      </c>
      <c r="B1464" s="33">
        <f t="shared" si="231"/>
        <v>29</v>
      </c>
      <c r="C1464" s="35"/>
      <c r="D1464" s="35"/>
      <c r="F1464" s="30" t="s">
        <v>214</v>
      </c>
      <c r="G1464" s="36">
        <f t="shared" ref="G1464:J1464" si="258">+G1258+G1344+G1404</f>
        <v>18981</v>
      </c>
      <c r="H1464" s="36">
        <f t="shared" si="258"/>
        <v>5583</v>
      </c>
      <c r="I1464" s="36">
        <f t="shared" si="258"/>
        <v>3720</v>
      </c>
      <c r="J1464" s="36">
        <f t="shared" si="258"/>
        <v>2250</v>
      </c>
      <c r="K1464" s="36">
        <v>11184</v>
      </c>
      <c r="L1464" s="36">
        <v>21000</v>
      </c>
      <c r="M1464" s="9">
        <f t="shared" si="228"/>
        <v>1.8776824034334765</v>
      </c>
      <c r="N1464" s="5">
        <v>1</v>
      </c>
      <c r="O1464" s="10">
        <f t="shared" si="230"/>
        <v>1</v>
      </c>
    </row>
    <row r="1465" spans="1:15" ht="13.5" customHeight="1">
      <c r="B1465" s="33">
        <f t="shared" si="231"/>
        <v>30</v>
      </c>
      <c r="C1465" s="35"/>
      <c r="D1465" s="35"/>
      <c r="F1465" s="30" t="s">
        <v>214</v>
      </c>
      <c r="G1465" s="36">
        <f t="shared" ref="G1465:K1465" si="259">+G1259+G1345+G1405</f>
        <v>18981</v>
      </c>
      <c r="H1465" s="36">
        <f t="shared" si="259"/>
        <v>5583</v>
      </c>
      <c r="I1465" s="36">
        <f t="shared" si="259"/>
        <v>3720</v>
      </c>
      <c r="J1465" s="36">
        <f t="shared" si="259"/>
        <v>2250</v>
      </c>
      <c r="K1465" s="36">
        <f t="shared" si="259"/>
        <v>30534</v>
      </c>
      <c r="L1465" s="36">
        <v>21000</v>
      </c>
      <c r="M1465" s="9">
        <f t="shared" si="228"/>
        <v>0.68775790921595603</v>
      </c>
      <c r="N1465" s="5">
        <v>1</v>
      </c>
      <c r="O1465" s="10">
        <f t="shared" si="230"/>
        <v>0.68775790921595603</v>
      </c>
    </row>
    <row r="1466" spans="1:15" ht="13.5" customHeight="1">
      <c r="B1466" s="33">
        <f t="shared" si="231"/>
        <v>31</v>
      </c>
      <c r="C1466" s="35"/>
      <c r="D1466" s="35"/>
      <c r="F1466" s="30" t="s">
        <v>327</v>
      </c>
      <c r="G1466" s="36">
        <f t="shared" ref="G1466:J1466" si="260">+G1260+G1346+G1406</f>
        <v>13653</v>
      </c>
      <c r="H1466" s="36">
        <f t="shared" si="260"/>
        <v>5583</v>
      </c>
      <c r="I1466" s="36">
        <f t="shared" si="260"/>
        <v>3720</v>
      </c>
      <c r="J1466" s="36">
        <f t="shared" si="260"/>
        <v>2250</v>
      </c>
      <c r="K1466" s="36">
        <v>35412</v>
      </c>
      <c r="L1466" s="36">
        <v>21000</v>
      </c>
      <c r="M1466" s="9">
        <f t="shared" si="228"/>
        <v>0.59301931548627584</v>
      </c>
      <c r="N1466" s="5">
        <v>1</v>
      </c>
      <c r="O1466" s="10">
        <f t="shared" si="230"/>
        <v>0.59301931548627584</v>
      </c>
    </row>
    <row r="1467" spans="1:15" ht="13.5" customHeight="1">
      <c r="B1467" s="33">
        <f t="shared" si="231"/>
        <v>32</v>
      </c>
      <c r="C1467" s="35"/>
      <c r="D1467" s="35"/>
      <c r="F1467" s="30" t="s">
        <v>327</v>
      </c>
      <c r="G1467" s="36">
        <f t="shared" ref="G1467:J1467" si="261">+G1261+G1347+G1407</f>
        <v>13653</v>
      </c>
      <c r="H1467" s="36">
        <f t="shared" si="261"/>
        <v>5583</v>
      </c>
      <c r="I1467" s="36">
        <f t="shared" si="261"/>
        <v>3720</v>
      </c>
      <c r="J1467" s="36">
        <f t="shared" si="261"/>
        <v>2250</v>
      </c>
      <c r="K1467" s="36">
        <v>31206</v>
      </c>
      <c r="L1467" s="36">
        <v>21000</v>
      </c>
      <c r="M1467" s="9">
        <f t="shared" si="228"/>
        <v>0.67294751009421261</v>
      </c>
      <c r="N1467" s="5">
        <v>1</v>
      </c>
      <c r="O1467" s="10">
        <f t="shared" si="230"/>
        <v>0.67294751009421261</v>
      </c>
    </row>
    <row r="1468" spans="1:15" ht="13.5" customHeight="1">
      <c r="B1468" s="33">
        <f t="shared" si="231"/>
        <v>33</v>
      </c>
      <c r="C1468" s="35"/>
      <c r="D1468" s="35"/>
      <c r="F1468" s="30" t="s">
        <v>31</v>
      </c>
      <c r="G1468" s="36">
        <f t="shared" ref="G1468:J1468" si="262">+G1262+G1348+G1408</f>
        <v>20979</v>
      </c>
      <c r="H1468" s="36">
        <f t="shared" si="262"/>
        <v>5583</v>
      </c>
      <c r="I1468" s="36">
        <f t="shared" si="262"/>
        <v>3720</v>
      </c>
      <c r="J1468" s="36">
        <f t="shared" si="262"/>
        <v>2700</v>
      </c>
      <c r="K1468" s="36">
        <v>40632</v>
      </c>
      <c r="L1468" s="36">
        <v>21000</v>
      </c>
      <c r="M1468" s="9">
        <f t="shared" si="228"/>
        <v>0.51683402244536325</v>
      </c>
      <c r="N1468" s="5">
        <v>1</v>
      </c>
      <c r="O1468" s="10">
        <f t="shared" si="230"/>
        <v>0.51683402244536325</v>
      </c>
    </row>
    <row r="1469" spans="1:15" ht="13.5" customHeight="1">
      <c r="B1469" s="33">
        <f t="shared" si="231"/>
        <v>34</v>
      </c>
      <c r="C1469" s="35"/>
      <c r="D1469" s="35"/>
      <c r="F1469" s="30" t="s">
        <v>31</v>
      </c>
      <c r="G1469" s="36">
        <f t="shared" ref="G1469:J1469" si="263">+G1263+G1349+G1409</f>
        <v>20979</v>
      </c>
      <c r="H1469" s="36">
        <f t="shared" si="263"/>
        <v>5583</v>
      </c>
      <c r="I1469" s="36">
        <f t="shared" si="263"/>
        <v>3720</v>
      </c>
      <c r="J1469" s="36">
        <f t="shared" si="263"/>
        <v>2700</v>
      </c>
      <c r="K1469" s="36">
        <f>+K1263+K1349+K1409</f>
        <v>32982</v>
      </c>
      <c r="L1469" s="36">
        <v>21000</v>
      </c>
      <c r="M1469" s="9">
        <f t="shared" si="228"/>
        <v>0.63671093323631067</v>
      </c>
      <c r="N1469" s="5">
        <v>1</v>
      </c>
      <c r="O1469" s="10">
        <f t="shared" si="230"/>
        <v>0.63671093323631067</v>
      </c>
    </row>
    <row r="1470" spans="1:15" ht="13.5" customHeight="1">
      <c r="B1470" s="33">
        <f t="shared" si="231"/>
        <v>35</v>
      </c>
      <c r="C1470" s="35"/>
      <c r="D1470" s="35"/>
      <c r="F1470" s="30" t="s">
        <v>31</v>
      </c>
      <c r="G1470" s="36">
        <f t="shared" ref="G1470:K1470" si="264">+G1264+G1350+G1410</f>
        <v>20979</v>
      </c>
      <c r="H1470" s="36">
        <f t="shared" si="264"/>
        <v>5583</v>
      </c>
      <c r="I1470" s="36">
        <f t="shared" si="264"/>
        <v>3720</v>
      </c>
      <c r="J1470" s="36">
        <f t="shared" si="264"/>
        <v>2700</v>
      </c>
      <c r="K1470" s="36">
        <f t="shared" si="264"/>
        <v>32982</v>
      </c>
      <c r="L1470" s="36">
        <v>21000</v>
      </c>
      <c r="M1470" s="9">
        <f t="shared" si="228"/>
        <v>0.63671093323631067</v>
      </c>
      <c r="N1470" s="5">
        <v>1</v>
      </c>
      <c r="O1470" s="10">
        <f t="shared" si="230"/>
        <v>0.63671093323631067</v>
      </c>
    </row>
    <row r="1471" spans="1:15" ht="13.5" customHeight="1">
      <c r="B1471" s="33">
        <f t="shared" si="231"/>
        <v>36</v>
      </c>
      <c r="C1471" s="35"/>
      <c r="D1471" s="35"/>
      <c r="F1471" s="30" t="s">
        <v>31</v>
      </c>
      <c r="G1471" s="36">
        <f t="shared" ref="G1471:K1471" si="265">+G1265+G1351+G1411</f>
        <v>20979</v>
      </c>
      <c r="H1471" s="36">
        <f t="shared" si="265"/>
        <v>5583</v>
      </c>
      <c r="I1471" s="36">
        <f t="shared" si="265"/>
        <v>3720</v>
      </c>
      <c r="J1471" s="36">
        <f t="shared" si="265"/>
        <v>2700</v>
      </c>
      <c r="K1471" s="36">
        <f t="shared" si="265"/>
        <v>32982</v>
      </c>
      <c r="L1471" s="36">
        <v>21000</v>
      </c>
      <c r="M1471" s="9">
        <f t="shared" si="228"/>
        <v>0.63671093323631067</v>
      </c>
      <c r="N1471" s="5">
        <v>1</v>
      </c>
      <c r="O1471" s="10">
        <f t="shared" si="230"/>
        <v>0.63671093323631067</v>
      </c>
    </row>
    <row r="1472" spans="1:15" ht="13.5" customHeight="1">
      <c r="B1472" s="33">
        <f t="shared" si="231"/>
        <v>37</v>
      </c>
      <c r="C1472" s="35"/>
      <c r="D1472" s="35"/>
      <c r="F1472" s="30" t="s">
        <v>31</v>
      </c>
      <c r="G1472" s="36">
        <f t="shared" ref="G1472:K1472" si="266">+G1266+G1352+G1412</f>
        <v>16980</v>
      </c>
      <c r="H1472" s="36">
        <f t="shared" si="266"/>
        <v>5583</v>
      </c>
      <c r="I1472" s="36">
        <f t="shared" si="266"/>
        <v>3720</v>
      </c>
      <c r="J1472" s="36">
        <f t="shared" si="266"/>
        <v>2700</v>
      </c>
      <c r="K1472" s="36">
        <f t="shared" si="266"/>
        <v>28983</v>
      </c>
      <c r="L1472" s="36">
        <v>21000</v>
      </c>
      <c r="M1472" s="9">
        <f t="shared" si="228"/>
        <v>0.72456267467135904</v>
      </c>
      <c r="N1472" s="5">
        <v>1</v>
      </c>
      <c r="O1472" s="10">
        <f t="shared" si="230"/>
        <v>0.72456267467135904</v>
      </c>
    </row>
    <row r="1473" spans="1:15" ht="13.5" customHeight="1">
      <c r="B1473" s="33">
        <f t="shared" si="231"/>
        <v>38</v>
      </c>
      <c r="C1473" s="35"/>
      <c r="D1473" s="35"/>
      <c r="F1473" s="30" t="s">
        <v>31</v>
      </c>
      <c r="G1473" s="36">
        <f t="shared" ref="G1473:J1473" si="267">+G1267+G1353+G1413</f>
        <v>17979</v>
      </c>
      <c r="H1473" s="36">
        <f t="shared" si="267"/>
        <v>5583</v>
      </c>
      <c r="I1473" s="36">
        <f t="shared" si="267"/>
        <v>3720</v>
      </c>
      <c r="J1473" s="36">
        <f t="shared" si="267"/>
        <v>2700</v>
      </c>
      <c r="K1473" s="36">
        <v>40632</v>
      </c>
      <c r="L1473" s="36">
        <v>21000</v>
      </c>
      <c r="M1473" s="9">
        <f t="shared" si="228"/>
        <v>0.51683402244536325</v>
      </c>
      <c r="N1473" s="5">
        <v>1</v>
      </c>
      <c r="O1473" s="10">
        <f t="shared" si="230"/>
        <v>0.51683402244536325</v>
      </c>
    </row>
    <row r="1474" spans="1:15" ht="13.5" customHeight="1">
      <c r="B1474" s="33">
        <f t="shared" si="231"/>
        <v>39</v>
      </c>
      <c r="C1474" s="35"/>
      <c r="D1474" s="35"/>
      <c r="F1474" s="30" t="s">
        <v>26</v>
      </c>
      <c r="G1474" s="36">
        <f>+G1269+G1355+G1415</f>
        <v>19980</v>
      </c>
      <c r="H1474" s="36">
        <f>+H1269+H1355+H1415</f>
        <v>5583</v>
      </c>
      <c r="I1474" s="36">
        <f>+I1269+I1355+I1415</f>
        <v>3720</v>
      </c>
      <c r="J1474" s="36">
        <f>+J1269+J1355+J1415</f>
        <v>5400</v>
      </c>
      <c r="K1474" s="36">
        <f>+K1269+K1355+K1415</f>
        <v>34683</v>
      </c>
      <c r="L1474" s="36">
        <v>21000</v>
      </c>
      <c r="M1474" s="9">
        <f t="shared" si="228"/>
        <v>0.60548395467520111</v>
      </c>
      <c r="N1474" s="5">
        <v>1</v>
      </c>
      <c r="O1474" s="10">
        <f t="shared" si="230"/>
        <v>0.60548395467520111</v>
      </c>
    </row>
    <row r="1475" spans="1:15" ht="13.5" customHeight="1">
      <c r="A1475" s="1" t="s">
        <v>1018</v>
      </c>
      <c r="B1475" s="33">
        <f t="shared" si="231"/>
        <v>40</v>
      </c>
      <c r="C1475" s="35"/>
      <c r="D1475" s="35"/>
      <c r="F1475" s="30" t="s">
        <v>26</v>
      </c>
      <c r="G1475" s="36">
        <f t="shared" ref="G1475:J1477" si="268">+G1270+G1356+G1416</f>
        <v>19980</v>
      </c>
      <c r="H1475" s="36">
        <f t="shared" si="268"/>
        <v>5583</v>
      </c>
      <c r="I1475" s="36">
        <f t="shared" si="268"/>
        <v>3720</v>
      </c>
      <c r="J1475" s="36">
        <f t="shared" si="268"/>
        <v>5400</v>
      </c>
      <c r="K1475" s="36">
        <v>12783</v>
      </c>
      <c r="L1475" s="36">
        <v>21000</v>
      </c>
      <c r="M1475" s="9">
        <f t="shared" si="228"/>
        <v>1.6428068528514432</v>
      </c>
      <c r="N1475" s="5">
        <v>1</v>
      </c>
      <c r="O1475" s="10">
        <f t="shared" si="230"/>
        <v>1</v>
      </c>
    </row>
    <row r="1476" spans="1:15" ht="13.5" customHeight="1">
      <c r="B1476" s="33">
        <f t="shared" si="231"/>
        <v>41</v>
      </c>
      <c r="C1476" s="35"/>
      <c r="D1476" s="35"/>
      <c r="F1476" s="30" t="s">
        <v>26</v>
      </c>
      <c r="G1476" s="36">
        <f t="shared" si="268"/>
        <v>19980</v>
      </c>
      <c r="H1476" s="36">
        <f t="shared" si="268"/>
        <v>5583</v>
      </c>
      <c r="I1476" s="36">
        <f t="shared" si="268"/>
        <v>3720</v>
      </c>
      <c r="J1476" s="36">
        <f t="shared" si="268"/>
        <v>5400</v>
      </c>
      <c r="K1476" s="36">
        <f>+K1271+K1357+K1417</f>
        <v>34683</v>
      </c>
      <c r="L1476" s="36">
        <v>21000</v>
      </c>
      <c r="M1476" s="9">
        <f t="shared" si="228"/>
        <v>0.60548395467520111</v>
      </c>
      <c r="N1476" s="5">
        <v>1</v>
      </c>
      <c r="O1476" s="10">
        <f t="shared" si="230"/>
        <v>0.60548395467520111</v>
      </c>
    </row>
    <row r="1477" spans="1:15" ht="13.5" customHeight="1">
      <c r="B1477" s="33">
        <f t="shared" si="231"/>
        <v>42</v>
      </c>
      <c r="C1477" s="25"/>
      <c r="D1477" s="25"/>
      <c r="F1477" s="30" t="s">
        <v>32</v>
      </c>
      <c r="G1477" s="36">
        <f t="shared" si="268"/>
        <v>14961</v>
      </c>
      <c r="H1477" s="36">
        <f t="shared" si="268"/>
        <v>5583</v>
      </c>
      <c r="I1477" s="36">
        <f t="shared" si="268"/>
        <v>3720</v>
      </c>
      <c r="J1477" s="36">
        <f t="shared" si="268"/>
        <v>2700</v>
      </c>
      <c r="K1477" s="36">
        <f>+K1272+K1358+K1418+5964</f>
        <v>32928</v>
      </c>
      <c r="L1477" s="36">
        <v>21000</v>
      </c>
      <c r="M1477" s="9">
        <f t="shared" si="228"/>
        <v>0.63775510204081631</v>
      </c>
      <c r="N1477" s="5">
        <v>1</v>
      </c>
      <c r="O1477" s="10">
        <f t="shared" si="230"/>
        <v>0.63775510204081631</v>
      </c>
    </row>
    <row r="1478" spans="1:15" ht="13.5" customHeight="1">
      <c r="B1478" s="33">
        <f t="shared" si="231"/>
        <v>43</v>
      </c>
      <c r="C1478" s="35"/>
      <c r="D1478" s="35"/>
      <c r="F1478" s="30" t="s">
        <v>32</v>
      </c>
      <c r="G1478" s="36">
        <f>+G1274+G1360+G1420</f>
        <v>14961</v>
      </c>
      <c r="H1478" s="36">
        <f>+H1274+H1360+H1420</f>
        <v>5583</v>
      </c>
      <c r="I1478" s="36">
        <f>+I1274+I1360+I1420</f>
        <v>3720</v>
      </c>
      <c r="J1478" s="36">
        <f>+J1274+J1360+J1420</f>
        <v>2700</v>
      </c>
      <c r="K1478" s="36">
        <f>+K1274+K1360+K1420</f>
        <v>26964</v>
      </c>
      <c r="L1478" s="36">
        <v>21000</v>
      </c>
      <c r="M1478" s="9">
        <f t="shared" si="228"/>
        <v>0.77881619937694702</v>
      </c>
      <c r="N1478" s="5">
        <v>1</v>
      </c>
      <c r="O1478" s="10">
        <f t="shared" si="230"/>
        <v>0.77881619937694702</v>
      </c>
    </row>
    <row r="1479" spans="1:15" ht="13.5" customHeight="1">
      <c r="B1479" s="33">
        <f t="shared" si="231"/>
        <v>44</v>
      </c>
      <c r="C1479" s="35"/>
      <c r="D1479" s="35"/>
      <c r="F1479" s="30" t="s">
        <v>43</v>
      </c>
      <c r="G1479" s="36">
        <f t="shared" ref="G1479:J1480" si="269">+G1275+G1361+G1421</f>
        <v>15981</v>
      </c>
      <c r="H1479" s="36">
        <f t="shared" si="269"/>
        <v>5583</v>
      </c>
      <c r="I1479" s="36">
        <f t="shared" si="269"/>
        <v>3720</v>
      </c>
      <c r="J1479" s="36">
        <f t="shared" si="269"/>
        <v>1500</v>
      </c>
      <c r="K1479" s="36">
        <v>37434</v>
      </c>
      <c r="L1479" s="36">
        <v>21000</v>
      </c>
      <c r="M1479" s="9">
        <f t="shared" si="228"/>
        <v>0.56098733771437725</v>
      </c>
      <c r="N1479" s="5">
        <v>1</v>
      </c>
      <c r="O1479" s="10">
        <f t="shared" si="230"/>
        <v>0.56098733771437725</v>
      </c>
    </row>
    <row r="1480" spans="1:15" ht="13.5" customHeight="1">
      <c r="B1480" s="33">
        <f t="shared" si="231"/>
        <v>45</v>
      </c>
      <c r="C1480" s="35"/>
      <c r="D1480" s="35"/>
      <c r="F1480" s="30" t="s">
        <v>43</v>
      </c>
      <c r="G1480" s="36">
        <f t="shared" si="269"/>
        <v>18981</v>
      </c>
      <c r="H1480" s="36">
        <f t="shared" si="269"/>
        <v>5583</v>
      </c>
      <c r="I1480" s="36">
        <f t="shared" si="269"/>
        <v>3720</v>
      </c>
      <c r="J1480" s="36">
        <f t="shared" si="269"/>
        <v>1500</v>
      </c>
      <c r="K1480" s="36">
        <v>37434</v>
      </c>
      <c r="L1480" s="36">
        <v>21000</v>
      </c>
      <c r="M1480" s="9">
        <f t="shared" si="228"/>
        <v>0.56098733771437725</v>
      </c>
      <c r="N1480" s="5">
        <v>1</v>
      </c>
      <c r="O1480" s="10">
        <f t="shared" si="230"/>
        <v>0.56098733771437725</v>
      </c>
    </row>
    <row r="1481" spans="1:15" ht="13.5" customHeight="1">
      <c r="B1481" s="33">
        <f t="shared" si="231"/>
        <v>46</v>
      </c>
      <c r="C1481" s="35"/>
      <c r="D1481" s="35"/>
      <c r="F1481" s="30" t="s">
        <v>27</v>
      </c>
      <c r="G1481" s="36">
        <f t="shared" ref="G1481:H1484" si="270">+G1277+G1363+G1423</f>
        <v>15651</v>
      </c>
      <c r="H1481" s="36">
        <f t="shared" si="270"/>
        <v>5583</v>
      </c>
      <c r="I1481" s="36">
        <v>9720</v>
      </c>
      <c r="J1481" s="36">
        <f>+J1277+J1363+J1423</f>
        <v>1500</v>
      </c>
      <c r="K1481" s="36">
        <f>SUM(G1481:J1481)</f>
        <v>32454</v>
      </c>
      <c r="L1481" s="36">
        <v>21000</v>
      </c>
      <c r="M1481" s="9">
        <f t="shared" si="228"/>
        <v>0.64706969865039754</v>
      </c>
      <c r="N1481" s="5">
        <v>1</v>
      </c>
      <c r="O1481" s="10">
        <f t="shared" si="230"/>
        <v>0.64706969865039754</v>
      </c>
    </row>
    <row r="1482" spans="1:15" ht="13.5" customHeight="1">
      <c r="B1482" s="33">
        <f t="shared" si="231"/>
        <v>47</v>
      </c>
      <c r="C1482" s="35"/>
      <c r="D1482" s="35"/>
      <c r="F1482" s="30" t="s">
        <v>27</v>
      </c>
      <c r="G1482" s="36">
        <f t="shared" si="270"/>
        <v>13653</v>
      </c>
      <c r="H1482" s="36">
        <f t="shared" si="270"/>
        <v>5583</v>
      </c>
      <c r="I1482" s="36">
        <f>+I1278+I1364+I1424</f>
        <v>3720</v>
      </c>
      <c r="J1482" s="36">
        <f>+J1278+J1364+J1424</f>
        <v>1500</v>
      </c>
      <c r="K1482" s="36">
        <f>+K1278+K1364+K1424</f>
        <v>24456</v>
      </c>
      <c r="L1482" s="36">
        <v>21000</v>
      </c>
      <c r="M1482" s="9">
        <f t="shared" si="228"/>
        <v>0.85868498527968595</v>
      </c>
      <c r="N1482" s="5">
        <v>1</v>
      </c>
      <c r="O1482" s="10">
        <f t="shared" si="230"/>
        <v>0.85868498527968595</v>
      </c>
    </row>
    <row r="1483" spans="1:15" ht="13.5" customHeight="1">
      <c r="B1483" s="33">
        <f t="shared" si="231"/>
        <v>48</v>
      </c>
      <c r="C1483" s="35"/>
      <c r="D1483" s="35"/>
      <c r="F1483" s="30" t="s">
        <v>27</v>
      </c>
      <c r="G1483" s="36">
        <f t="shared" si="270"/>
        <v>11652</v>
      </c>
      <c r="H1483" s="36">
        <f t="shared" si="270"/>
        <v>5583</v>
      </c>
      <c r="I1483" s="36">
        <f>+I1279+I1365+I1425</f>
        <v>3720</v>
      </c>
      <c r="J1483" s="36">
        <f>+J1279+J1365+J1425</f>
        <v>1500</v>
      </c>
      <c r="K1483" s="36">
        <f>+K1279+K1365+K1425</f>
        <v>22455</v>
      </c>
      <c r="L1483" s="36">
        <v>21000</v>
      </c>
      <c r="M1483" s="9">
        <f t="shared" si="228"/>
        <v>0.93520374081496327</v>
      </c>
      <c r="N1483" s="5">
        <v>1</v>
      </c>
      <c r="O1483" s="10">
        <f t="shared" si="230"/>
        <v>0.93520374081496327</v>
      </c>
    </row>
    <row r="1484" spans="1:15" ht="13.5" customHeight="1">
      <c r="B1484" s="33">
        <f t="shared" si="231"/>
        <v>49</v>
      </c>
      <c r="C1484" s="35"/>
      <c r="D1484" s="35"/>
      <c r="F1484" s="30" t="s">
        <v>27</v>
      </c>
      <c r="G1484" s="36">
        <f t="shared" si="270"/>
        <v>13653</v>
      </c>
      <c r="H1484" s="36">
        <f t="shared" si="270"/>
        <v>5583</v>
      </c>
      <c r="I1484" s="36">
        <f>+I1280+I1366+I1426</f>
        <v>3720</v>
      </c>
      <c r="J1484" s="36">
        <f>+J1280+J1366+J1426</f>
        <v>1500</v>
      </c>
      <c r="K1484" s="36">
        <f>+K1280+K1366+K1426</f>
        <v>24456</v>
      </c>
      <c r="L1484" s="36">
        <v>21000</v>
      </c>
      <c r="M1484" s="9">
        <f t="shared" si="228"/>
        <v>0.85868498527968595</v>
      </c>
      <c r="N1484" s="5">
        <v>1</v>
      </c>
      <c r="O1484" s="10">
        <f t="shared" si="230"/>
        <v>0.85868498527968595</v>
      </c>
    </row>
    <row r="1485" spans="1:15" ht="13.5" customHeight="1">
      <c r="B1485" s="33">
        <f t="shared" si="231"/>
        <v>50</v>
      </c>
      <c r="C1485" s="25"/>
      <c r="D1485" s="25"/>
      <c r="F1485" s="30" t="s">
        <v>30</v>
      </c>
      <c r="G1485" s="36">
        <f>+G1282+G1368+G1428</f>
        <v>18993</v>
      </c>
      <c r="H1485" s="36">
        <f>+H1282+H1368+H1428</f>
        <v>5583</v>
      </c>
      <c r="I1485" s="36">
        <f>+I1282+I1368+I1428</f>
        <v>3720</v>
      </c>
      <c r="J1485" s="36">
        <f>+J1282+J1368+J1428</f>
        <v>1500</v>
      </c>
      <c r="K1485" s="36">
        <f>+K1282+K1368+K1428</f>
        <v>29796</v>
      </c>
      <c r="L1485" s="36">
        <v>21000</v>
      </c>
      <c r="M1485" s="9">
        <f t="shared" si="228"/>
        <v>0.70479258960934354</v>
      </c>
      <c r="N1485" s="5">
        <v>1</v>
      </c>
      <c r="O1485" s="10">
        <f t="shared" si="230"/>
        <v>0.70479258960934354</v>
      </c>
    </row>
    <row r="1486" spans="1:15" ht="13.5" customHeight="1">
      <c r="B1486" s="33">
        <f t="shared" si="231"/>
        <v>51</v>
      </c>
      <c r="C1486" s="35"/>
      <c r="D1486" s="35"/>
      <c r="F1486" s="30" t="s">
        <v>30</v>
      </c>
      <c r="G1486" s="36">
        <f t="shared" ref="G1486:J1490" si="271">+G1283+G1369+G1429</f>
        <v>15195</v>
      </c>
      <c r="H1486" s="36">
        <f t="shared" si="271"/>
        <v>5583</v>
      </c>
      <c r="I1486" s="36">
        <f t="shared" si="271"/>
        <v>3720</v>
      </c>
      <c r="J1486" s="36">
        <f t="shared" si="271"/>
        <v>1500</v>
      </c>
      <c r="K1486" s="36">
        <v>32625</v>
      </c>
      <c r="L1486" s="36">
        <v>21000</v>
      </c>
      <c r="M1486" s="9">
        <f t="shared" si="228"/>
        <v>0.64367816091954022</v>
      </c>
      <c r="N1486" s="5">
        <v>1</v>
      </c>
      <c r="O1486" s="10">
        <f t="shared" si="230"/>
        <v>0.64367816091954022</v>
      </c>
    </row>
    <row r="1487" spans="1:15" ht="13.5" customHeight="1">
      <c r="B1487" s="33">
        <f t="shared" si="231"/>
        <v>52</v>
      </c>
      <c r="C1487" s="35"/>
      <c r="D1487" s="35"/>
      <c r="F1487" s="30" t="s">
        <v>30</v>
      </c>
      <c r="G1487" s="36">
        <f t="shared" si="271"/>
        <v>18993</v>
      </c>
      <c r="H1487" s="36">
        <f t="shared" si="271"/>
        <v>5583</v>
      </c>
      <c r="I1487" s="36">
        <f t="shared" si="271"/>
        <v>3720</v>
      </c>
      <c r="J1487" s="36">
        <f t="shared" si="271"/>
        <v>1500</v>
      </c>
      <c r="K1487" s="36">
        <v>35796</v>
      </c>
      <c r="L1487" s="36">
        <v>21000</v>
      </c>
      <c r="M1487" s="9">
        <f t="shared" si="228"/>
        <v>0.58665772712034869</v>
      </c>
      <c r="N1487" s="5">
        <v>1</v>
      </c>
      <c r="O1487" s="10">
        <f t="shared" si="230"/>
        <v>0.58665772712034869</v>
      </c>
    </row>
    <row r="1488" spans="1:15" ht="13.5" customHeight="1">
      <c r="B1488" s="33">
        <f t="shared" si="231"/>
        <v>53</v>
      </c>
      <c r="C1488" s="35"/>
      <c r="D1488" s="35"/>
      <c r="F1488" s="30" t="s">
        <v>212</v>
      </c>
      <c r="G1488" s="36">
        <f t="shared" si="271"/>
        <v>16095</v>
      </c>
      <c r="H1488" s="36">
        <f t="shared" si="271"/>
        <v>5583</v>
      </c>
      <c r="I1488" s="36">
        <f t="shared" si="271"/>
        <v>3720</v>
      </c>
      <c r="J1488" s="36">
        <f t="shared" si="271"/>
        <v>1500</v>
      </c>
      <c r="K1488" s="36">
        <f>+K1285+K1371+K1431</f>
        <v>26898</v>
      </c>
      <c r="L1488" s="36">
        <v>21000</v>
      </c>
      <c r="M1488" s="9">
        <f t="shared" si="228"/>
        <v>0.78072719161275927</v>
      </c>
      <c r="N1488" s="5">
        <v>1</v>
      </c>
      <c r="O1488" s="10">
        <f t="shared" si="230"/>
        <v>0.78072719161275927</v>
      </c>
    </row>
    <row r="1489" spans="1:15" ht="13.5" customHeight="1">
      <c r="B1489" s="33">
        <f t="shared" si="231"/>
        <v>54</v>
      </c>
      <c r="C1489" s="35"/>
      <c r="D1489" s="35"/>
      <c r="F1489" s="30" t="s">
        <v>215</v>
      </c>
      <c r="G1489" s="36">
        <f t="shared" si="271"/>
        <v>11958</v>
      </c>
      <c r="H1489" s="36">
        <f t="shared" si="271"/>
        <v>5653.2000000000007</v>
      </c>
      <c r="I1489" s="36">
        <f t="shared" si="271"/>
        <v>10440</v>
      </c>
      <c r="J1489" s="36">
        <f t="shared" si="271"/>
        <v>0</v>
      </c>
      <c r="K1489" s="36">
        <f>+K1286+K1372+K1432</f>
        <v>28051.199999999997</v>
      </c>
      <c r="L1489" s="36">
        <v>21000</v>
      </c>
      <c r="M1489" s="9">
        <f t="shared" si="228"/>
        <v>0.74863107460643408</v>
      </c>
      <c r="N1489" s="5">
        <v>1</v>
      </c>
      <c r="O1489" s="10">
        <f t="shared" si="230"/>
        <v>0.74863107460643408</v>
      </c>
    </row>
    <row r="1490" spans="1:15" ht="13.5" customHeight="1">
      <c r="B1490" s="33">
        <f t="shared" si="231"/>
        <v>55</v>
      </c>
      <c r="C1490" s="35"/>
      <c r="D1490" s="35"/>
      <c r="F1490" s="30" t="s">
        <v>35</v>
      </c>
      <c r="G1490" s="36">
        <f t="shared" si="271"/>
        <v>20284.5</v>
      </c>
      <c r="H1490" s="36">
        <f t="shared" si="271"/>
        <v>5653.2000000000007</v>
      </c>
      <c r="I1490" s="36">
        <f t="shared" si="271"/>
        <v>10440</v>
      </c>
      <c r="J1490" s="36">
        <f t="shared" si="271"/>
        <v>0</v>
      </c>
      <c r="K1490" s="36">
        <f>+K1287+K1373+K1433</f>
        <v>36377.699999999997</v>
      </c>
      <c r="L1490" s="36">
        <v>21000</v>
      </c>
      <c r="M1490" s="9">
        <f t="shared" si="228"/>
        <v>0.57727673822149284</v>
      </c>
      <c r="N1490" s="5">
        <v>1</v>
      </c>
      <c r="O1490" s="10">
        <f t="shared" si="230"/>
        <v>0.57727673822149284</v>
      </c>
    </row>
    <row r="1491" spans="1:15" ht="13.5" customHeight="1">
      <c r="C1491" s="35"/>
      <c r="D1491" s="35"/>
      <c r="F1491" s="30"/>
      <c r="G1491" s="36"/>
      <c r="H1491" s="36"/>
      <c r="I1491" s="36"/>
      <c r="J1491" s="36"/>
      <c r="K1491" s="36"/>
      <c r="M1491" s="9"/>
      <c r="N1491" s="5"/>
      <c r="O1491" s="10"/>
    </row>
    <row r="1492" spans="1:15" ht="13.5" customHeight="1">
      <c r="A1492" s="1" t="s">
        <v>424</v>
      </c>
      <c r="B1492" s="33">
        <v>1</v>
      </c>
      <c r="C1492" s="35"/>
      <c r="D1492" s="35"/>
      <c r="F1492" s="30" t="s">
        <v>26</v>
      </c>
      <c r="G1492" s="36">
        <f>+G1268+G1354+G1414</f>
        <v>19980</v>
      </c>
      <c r="H1492" s="36">
        <f>+H1268+H1354+H1414</f>
        <v>5583</v>
      </c>
      <c r="I1492" s="36">
        <f>+I1268+I1354+I1414</f>
        <v>3720</v>
      </c>
      <c r="J1492" s="36">
        <f>+J1268+J1354+J1414</f>
        <v>5400</v>
      </c>
      <c r="K1492" s="36">
        <f>+K1268+K1354+K1414</f>
        <v>34683</v>
      </c>
      <c r="L1492" s="36">
        <v>21000</v>
      </c>
      <c r="M1492" s="9">
        <f>L1492/K1492</f>
        <v>0.60548395467520111</v>
      </c>
      <c r="N1492" s="5">
        <v>1</v>
      </c>
      <c r="O1492" s="10">
        <f>N1492*M1492</f>
        <v>0.60548395467520111</v>
      </c>
    </row>
    <row r="1493" spans="1:15" ht="13.5" customHeight="1">
      <c r="A1493" s="1" t="s">
        <v>423</v>
      </c>
      <c r="B1493" s="33">
        <v>2</v>
      </c>
      <c r="C1493" s="35"/>
      <c r="D1493" s="35"/>
      <c r="F1493" s="30" t="s">
        <v>30</v>
      </c>
      <c r="G1493" s="36">
        <f>+G1281+G1367+G1427</f>
        <v>15993</v>
      </c>
      <c r="H1493" s="36">
        <f>+H1281+H1367+H1427</f>
        <v>5583</v>
      </c>
      <c r="I1493" s="36">
        <f>+I1281+I1367+I1427</f>
        <v>3720</v>
      </c>
      <c r="J1493" s="36">
        <f>+J1281+J1367+J1427</f>
        <v>1500</v>
      </c>
      <c r="K1493" s="36">
        <f>+K1281+K1367+K1427</f>
        <v>26796</v>
      </c>
      <c r="L1493" s="36">
        <v>21000</v>
      </c>
      <c r="M1493" s="9">
        <f>L1493/K1493</f>
        <v>0.78369905956112851</v>
      </c>
      <c r="N1493" s="5">
        <v>1</v>
      </c>
      <c r="O1493" s="10">
        <f>N1493*M1493</f>
        <v>0.78369905956112851</v>
      </c>
    </row>
    <row r="1494" spans="1:15" ht="13.5" customHeight="1">
      <c r="A1494" s="1" t="s">
        <v>1015</v>
      </c>
      <c r="B1494" s="33">
        <v>3</v>
      </c>
      <c r="C1494" s="25"/>
      <c r="D1494" s="25"/>
      <c r="F1494" s="30" t="s">
        <v>32</v>
      </c>
      <c r="G1494" s="36">
        <f>+G1273+G1359+G1419</f>
        <v>14961</v>
      </c>
      <c r="H1494" s="36">
        <f>+H1273+H1359+H1419</f>
        <v>5583</v>
      </c>
      <c r="I1494" s="36">
        <f>+I1273+I1359+I1419</f>
        <v>3720</v>
      </c>
      <c r="J1494" s="36">
        <f>+J1273+J1359+J1419</f>
        <v>2700</v>
      </c>
      <c r="K1494" s="36">
        <f>+K1273+K1359+K1419</f>
        <v>26964</v>
      </c>
      <c r="L1494" s="36">
        <v>21000</v>
      </c>
      <c r="M1494" s="9">
        <f>L1494/K1494</f>
        <v>0.77881619937694702</v>
      </c>
      <c r="N1494" s="5">
        <v>1</v>
      </c>
      <c r="O1494" s="10">
        <f>N1494*M1494</f>
        <v>0.77881619937694702</v>
      </c>
    </row>
    <row r="1495" spans="1:15" ht="16.5" customHeight="1">
      <c r="A1495" s="66" t="s">
        <v>45</v>
      </c>
      <c r="B1495" s="66"/>
      <c r="C1495" s="66"/>
      <c r="D1495" s="66"/>
      <c r="E1495" s="66"/>
      <c r="F1495" s="66"/>
      <c r="G1495" s="66"/>
      <c r="H1495" s="66"/>
      <c r="I1495" s="66"/>
      <c r="J1495" s="66"/>
      <c r="K1495" s="66"/>
      <c r="L1495" s="66"/>
      <c r="M1495" s="66"/>
      <c r="N1495" s="22">
        <f>SUM(N1436:N1490)</f>
        <v>55</v>
      </c>
      <c r="O1495" s="23">
        <f>SUM(O1436:O1490)</f>
        <v>40.4594932158478</v>
      </c>
    </row>
    <row r="1496" spans="1:15" s="46" customFormat="1" ht="25.5" customHeight="1">
      <c r="A1496" s="67" t="s">
        <v>331</v>
      </c>
      <c r="B1496" s="67"/>
      <c r="C1496" s="67"/>
      <c r="D1496" s="67"/>
      <c r="E1496" s="67"/>
      <c r="F1496" s="45"/>
      <c r="G1496" s="45"/>
      <c r="H1496" s="45"/>
      <c r="I1496" s="45"/>
      <c r="J1496" s="45"/>
      <c r="K1496" s="45"/>
      <c r="L1496" s="45"/>
      <c r="M1496" s="45"/>
      <c r="N1496" s="45"/>
      <c r="O1496" s="45"/>
    </row>
    <row r="1497" spans="1:15" ht="13.5" hidden="1" customHeight="1">
      <c r="A1497" s="44" t="s">
        <v>135</v>
      </c>
      <c r="B1497" s="44"/>
      <c r="C1497" s="44"/>
      <c r="D1497" s="44"/>
      <c r="E1497" s="44"/>
      <c r="F1497" s="44"/>
      <c r="G1497" s="44"/>
      <c r="H1497" s="44"/>
      <c r="I1497" s="44"/>
      <c r="J1497" s="44"/>
      <c r="K1497" s="44"/>
      <c r="L1497" s="44"/>
      <c r="M1497" s="44"/>
      <c r="N1497" s="44"/>
      <c r="O1497" s="44"/>
    </row>
    <row r="1498" spans="1:15" ht="13.5" hidden="1" customHeight="1">
      <c r="B1498" s="33">
        <v>1</v>
      </c>
      <c r="C1498" s="35" t="s">
        <v>70</v>
      </c>
      <c r="D1498" s="35" t="s">
        <v>395</v>
      </c>
      <c r="F1498" s="30" t="s">
        <v>140</v>
      </c>
      <c r="G1498" s="36">
        <f>300*9</f>
        <v>2700</v>
      </c>
      <c r="H1498" s="36">
        <v>1861.6</v>
      </c>
      <c r="I1498" s="36">
        <v>1240</v>
      </c>
      <c r="J1498" s="36">
        <v>500</v>
      </c>
      <c r="K1498" s="36">
        <f t="shared" ref="K1498:K1547" si="272">SUM(G1498:J1498)</f>
        <v>6301.6</v>
      </c>
      <c r="L1498" s="36">
        <v>3000</v>
      </c>
      <c r="M1498" s="9">
        <f t="shared" ref="M1498:M1547" si="273">L1498/K1498</f>
        <v>0.47606956963310904</v>
      </c>
      <c r="N1498" s="5">
        <v>1</v>
      </c>
      <c r="O1498" s="10">
        <f t="shared" ref="O1498:O1547" si="274">N1498*M1498</f>
        <v>0.47606956963310904</v>
      </c>
    </row>
    <row r="1499" spans="1:15" ht="13.5" hidden="1" customHeight="1">
      <c r="B1499" s="33">
        <f>B1498+1</f>
        <v>2</v>
      </c>
      <c r="C1499" s="35" t="s">
        <v>341</v>
      </c>
      <c r="D1499" s="35" t="s">
        <v>371</v>
      </c>
      <c r="F1499" s="30" t="s">
        <v>332</v>
      </c>
      <c r="G1499" s="36">
        <f>450*18</f>
        <v>8100</v>
      </c>
      <c r="H1499" s="36">
        <v>1861.6</v>
      </c>
      <c r="I1499" s="36">
        <v>1240</v>
      </c>
      <c r="J1499" s="36">
        <v>500</v>
      </c>
      <c r="K1499" s="36">
        <f t="shared" si="272"/>
        <v>11701.6</v>
      </c>
      <c r="L1499" s="36">
        <v>3000</v>
      </c>
      <c r="M1499" s="9">
        <f t="shared" si="273"/>
        <v>0.25637519655431734</v>
      </c>
      <c r="N1499" s="5">
        <v>1</v>
      </c>
      <c r="O1499" s="10">
        <f t="shared" si="274"/>
        <v>0.25637519655431734</v>
      </c>
    </row>
    <row r="1500" spans="1:15" ht="13.5" hidden="1" customHeight="1">
      <c r="B1500" s="33">
        <f t="shared" ref="B1500:B1547" si="275">B1499+1</f>
        <v>3</v>
      </c>
      <c r="C1500" s="35" t="s">
        <v>348</v>
      </c>
      <c r="D1500" s="35" t="s">
        <v>382</v>
      </c>
      <c r="F1500" s="30" t="s">
        <v>332</v>
      </c>
      <c r="G1500" s="36">
        <f>450*18</f>
        <v>8100</v>
      </c>
      <c r="H1500" s="36">
        <v>1861.6</v>
      </c>
      <c r="I1500" s="36">
        <v>1240</v>
      </c>
      <c r="J1500" s="36">
        <v>500</v>
      </c>
      <c r="K1500" s="36">
        <f t="shared" si="272"/>
        <v>11701.6</v>
      </c>
      <c r="L1500" s="36">
        <v>3000</v>
      </c>
      <c r="M1500" s="9">
        <f t="shared" si="273"/>
        <v>0.25637519655431734</v>
      </c>
      <c r="N1500" s="5">
        <v>1</v>
      </c>
      <c r="O1500" s="10">
        <f t="shared" si="274"/>
        <v>0.25637519655431734</v>
      </c>
    </row>
    <row r="1501" spans="1:15" ht="13.5" hidden="1" customHeight="1">
      <c r="B1501" s="33">
        <f t="shared" si="275"/>
        <v>4</v>
      </c>
      <c r="C1501" s="35" t="s">
        <v>107</v>
      </c>
      <c r="D1501" s="35" t="s">
        <v>377</v>
      </c>
      <c r="F1501" s="30" t="s">
        <v>217</v>
      </c>
      <c r="G1501" s="36">
        <f>400*12</f>
        <v>4800</v>
      </c>
      <c r="H1501" s="36">
        <v>1861.6</v>
      </c>
      <c r="I1501" s="36">
        <v>1240</v>
      </c>
      <c r="J1501" s="36">
        <v>500</v>
      </c>
      <c r="K1501" s="36">
        <f t="shared" si="272"/>
        <v>8401.6</v>
      </c>
      <c r="L1501" s="36">
        <v>3000</v>
      </c>
      <c r="M1501" s="9">
        <f t="shared" si="273"/>
        <v>0.35707484288706909</v>
      </c>
      <c r="N1501" s="5">
        <v>1</v>
      </c>
      <c r="O1501" s="10">
        <f t="shared" si="274"/>
        <v>0.35707484288706909</v>
      </c>
    </row>
    <row r="1502" spans="1:15" ht="13.5" hidden="1" customHeight="1">
      <c r="B1502" s="33">
        <f t="shared" si="275"/>
        <v>5</v>
      </c>
      <c r="C1502" s="35" t="s">
        <v>358</v>
      </c>
      <c r="D1502" s="35" t="s">
        <v>399</v>
      </c>
      <c r="F1502" s="30" t="s">
        <v>217</v>
      </c>
      <c r="G1502" s="36">
        <f>400*12</f>
        <v>4800</v>
      </c>
      <c r="H1502" s="36">
        <v>1861.6</v>
      </c>
      <c r="I1502" s="36">
        <v>1240</v>
      </c>
      <c r="J1502" s="36">
        <v>500</v>
      </c>
      <c r="K1502" s="36">
        <f t="shared" si="272"/>
        <v>8401.6</v>
      </c>
      <c r="L1502" s="36">
        <v>3000</v>
      </c>
      <c r="M1502" s="9">
        <f t="shared" si="273"/>
        <v>0.35707484288706909</v>
      </c>
      <c r="N1502" s="5">
        <v>1</v>
      </c>
      <c r="O1502" s="10">
        <f t="shared" si="274"/>
        <v>0.35707484288706909</v>
      </c>
    </row>
    <row r="1503" spans="1:15" ht="13.5" hidden="1" customHeight="1">
      <c r="B1503" s="33">
        <f t="shared" si="275"/>
        <v>6</v>
      </c>
      <c r="C1503" s="35" t="s">
        <v>342</v>
      </c>
      <c r="D1503" s="35" t="s">
        <v>372</v>
      </c>
      <c r="F1503" s="30" t="s">
        <v>41</v>
      </c>
      <c r="G1503" s="36">
        <f>333*18.5</f>
        <v>6160.5</v>
      </c>
      <c r="H1503" s="36">
        <v>1861.6</v>
      </c>
      <c r="I1503" s="36">
        <v>1240</v>
      </c>
      <c r="J1503" s="36">
        <v>500</v>
      </c>
      <c r="K1503" s="36">
        <f t="shared" si="272"/>
        <v>9762.1</v>
      </c>
      <c r="L1503" s="36">
        <v>3000</v>
      </c>
      <c r="M1503" s="9">
        <f t="shared" si="273"/>
        <v>0.30731092695219264</v>
      </c>
      <c r="N1503" s="5">
        <v>1</v>
      </c>
      <c r="O1503" s="10">
        <f t="shared" si="274"/>
        <v>0.30731092695219264</v>
      </c>
    </row>
    <row r="1504" spans="1:15" ht="13.5" hidden="1" customHeight="1">
      <c r="B1504" s="33">
        <f t="shared" si="275"/>
        <v>7</v>
      </c>
      <c r="C1504" s="35" t="s">
        <v>363</v>
      </c>
      <c r="D1504" s="35" t="s">
        <v>406</v>
      </c>
      <c r="F1504" s="30" t="s">
        <v>41</v>
      </c>
      <c r="G1504" s="36">
        <f>333*15.5</f>
        <v>5161.5</v>
      </c>
      <c r="H1504" s="36">
        <v>1861.6</v>
      </c>
      <c r="I1504" s="36">
        <v>1240</v>
      </c>
      <c r="J1504" s="36">
        <v>500</v>
      </c>
      <c r="K1504" s="36">
        <f t="shared" si="272"/>
        <v>8763.1</v>
      </c>
      <c r="L1504" s="36">
        <v>3000</v>
      </c>
      <c r="M1504" s="9">
        <f t="shared" si="273"/>
        <v>0.34234460407846534</v>
      </c>
      <c r="N1504" s="5">
        <v>1</v>
      </c>
      <c r="O1504" s="10">
        <f t="shared" si="274"/>
        <v>0.34234460407846534</v>
      </c>
    </row>
    <row r="1505" spans="2:15" ht="13.5" hidden="1" customHeight="1">
      <c r="B1505" s="33">
        <f t="shared" si="275"/>
        <v>8</v>
      </c>
      <c r="C1505" s="35" t="s">
        <v>162</v>
      </c>
      <c r="D1505" s="35" t="s">
        <v>180</v>
      </c>
      <c r="F1505" s="30" t="s">
        <v>42</v>
      </c>
      <c r="G1505" s="36">
        <f>333*20</f>
        <v>6660</v>
      </c>
      <c r="H1505" s="36">
        <v>1861.6</v>
      </c>
      <c r="I1505" s="36">
        <v>1240</v>
      </c>
      <c r="J1505" s="36">
        <v>500</v>
      </c>
      <c r="K1505" s="36">
        <f t="shared" si="272"/>
        <v>10261.6</v>
      </c>
      <c r="L1505" s="36">
        <v>3000</v>
      </c>
      <c r="M1505" s="9">
        <f t="shared" si="273"/>
        <v>0.29235206985265455</v>
      </c>
      <c r="N1505" s="5">
        <v>1</v>
      </c>
      <c r="O1505" s="10">
        <f t="shared" si="274"/>
        <v>0.29235206985265455</v>
      </c>
    </row>
    <row r="1506" spans="2:15" ht="13.5" hidden="1" customHeight="1">
      <c r="B1506" s="33">
        <f t="shared" si="275"/>
        <v>9</v>
      </c>
      <c r="C1506" s="35" t="s">
        <v>349</v>
      </c>
      <c r="D1506" s="35" t="s">
        <v>383</v>
      </c>
      <c r="F1506" s="30" t="s">
        <v>42</v>
      </c>
      <c r="G1506" s="36">
        <f>333*20</f>
        <v>6660</v>
      </c>
      <c r="H1506" s="36">
        <v>1861.6</v>
      </c>
      <c r="I1506" s="36">
        <v>1240</v>
      </c>
      <c r="J1506" s="36">
        <v>500</v>
      </c>
      <c r="K1506" s="36">
        <f t="shared" si="272"/>
        <v>10261.6</v>
      </c>
      <c r="L1506" s="36">
        <v>3000</v>
      </c>
      <c r="M1506" s="9">
        <f t="shared" si="273"/>
        <v>0.29235206985265455</v>
      </c>
      <c r="N1506" s="5">
        <v>1</v>
      </c>
      <c r="O1506" s="10">
        <f t="shared" si="274"/>
        <v>0.29235206985265455</v>
      </c>
    </row>
    <row r="1507" spans="2:15" ht="13.5" hidden="1" customHeight="1">
      <c r="B1507" s="33">
        <f t="shared" si="275"/>
        <v>10</v>
      </c>
      <c r="C1507" s="35" t="s">
        <v>353</v>
      </c>
      <c r="D1507" s="35" t="s">
        <v>390</v>
      </c>
      <c r="F1507" s="30" t="s">
        <v>42</v>
      </c>
      <c r="G1507" s="36">
        <f>333*17</f>
        <v>5661</v>
      </c>
      <c r="H1507" s="36">
        <v>1861.6</v>
      </c>
      <c r="I1507" s="36">
        <v>1240</v>
      </c>
      <c r="J1507" s="36">
        <v>500</v>
      </c>
      <c r="K1507" s="36">
        <f t="shared" si="272"/>
        <v>9262.6</v>
      </c>
      <c r="L1507" s="36">
        <v>3000</v>
      </c>
      <c r="M1507" s="9">
        <f t="shared" si="273"/>
        <v>0.32388314296201931</v>
      </c>
      <c r="N1507" s="5">
        <v>1</v>
      </c>
      <c r="O1507" s="10">
        <f t="shared" si="274"/>
        <v>0.32388314296201931</v>
      </c>
    </row>
    <row r="1508" spans="2:15" ht="13.5" hidden="1" customHeight="1">
      <c r="B1508" s="33">
        <f t="shared" si="275"/>
        <v>11</v>
      </c>
      <c r="C1508" s="35" t="s">
        <v>355</v>
      </c>
      <c r="D1508" s="35" t="s">
        <v>393</v>
      </c>
      <c r="F1508" s="30" t="s">
        <v>42</v>
      </c>
      <c r="G1508" s="36">
        <f>333*20</f>
        <v>6660</v>
      </c>
      <c r="H1508" s="36">
        <v>1861.6</v>
      </c>
      <c r="I1508" s="36">
        <v>1240</v>
      </c>
      <c r="J1508" s="36">
        <v>500</v>
      </c>
      <c r="K1508" s="36">
        <f t="shared" si="272"/>
        <v>10261.6</v>
      </c>
      <c r="L1508" s="36">
        <v>3000</v>
      </c>
      <c r="M1508" s="9">
        <f t="shared" si="273"/>
        <v>0.29235206985265455</v>
      </c>
      <c r="N1508" s="5">
        <v>1</v>
      </c>
      <c r="O1508" s="10">
        <f t="shared" si="274"/>
        <v>0.29235206985265455</v>
      </c>
    </row>
    <row r="1509" spans="2:15" ht="13.5" hidden="1" customHeight="1">
      <c r="B1509" s="33">
        <f t="shared" si="275"/>
        <v>12</v>
      </c>
      <c r="C1509" s="35" t="s">
        <v>356</v>
      </c>
      <c r="D1509" s="35" t="s">
        <v>394</v>
      </c>
      <c r="F1509" s="30" t="s">
        <v>42</v>
      </c>
      <c r="G1509" s="36">
        <f>333*20</f>
        <v>6660</v>
      </c>
      <c r="H1509" s="36">
        <v>1861.6</v>
      </c>
      <c r="I1509" s="36">
        <v>1240</v>
      </c>
      <c r="J1509" s="36">
        <v>500</v>
      </c>
      <c r="K1509" s="36">
        <f t="shared" si="272"/>
        <v>10261.6</v>
      </c>
      <c r="L1509" s="36">
        <v>3000</v>
      </c>
      <c r="M1509" s="9">
        <f t="shared" si="273"/>
        <v>0.29235206985265455</v>
      </c>
      <c r="N1509" s="5">
        <v>1</v>
      </c>
      <c r="O1509" s="10">
        <f t="shared" si="274"/>
        <v>0.29235206985265455</v>
      </c>
    </row>
    <row r="1510" spans="2:15" ht="13.5" hidden="1" customHeight="1">
      <c r="B1510" s="33">
        <f t="shared" si="275"/>
        <v>13</v>
      </c>
      <c r="C1510" s="35" t="s">
        <v>71</v>
      </c>
      <c r="D1510" s="35" t="s">
        <v>398</v>
      </c>
      <c r="F1510" s="30" t="s">
        <v>25</v>
      </c>
      <c r="G1510" s="36">
        <f>300*21</f>
        <v>6300</v>
      </c>
      <c r="H1510" s="36">
        <v>1861.6</v>
      </c>
      <c r="I1510" s="36">
        <v>1240</v>
      </c>
      <c r="J1510" s="36">
        <v>500</v>
      </c>
      <c r="K1510" s="36">
        <f t="shared" si="272"/>
        <v>9901.6</v>
      </c>
      <c r="L1510" s="36">
        <v>3000</v>
      </c>
      <c r="M1510" s="9">
        <f t="shared" si="273"/>
        <v>0.30298133634968083</v>
      </c>
      <c r="N1510" s="5">
        <v>1</v>
      </c>
      <c r="O1510" s="10">
        <f t="shared" si="274"/>
        <v>0.30298133634968083</v>
      </c>
    </row>
    <row r="1511" spans="2:15" ht="13.5" hidden="1" customHeight="1">
      <c r="B1511" s="33">
        <f t="shared" si="275"/>
        <v>14</v>
      </c>
      <c r="C1511" s="35" t="s">
        <v>364</v>
      </c>
      <c r="D1511" s="35" t="s">
        <v>407</v>
      </c>
      <c r="F1511" s="30" t="s">
        <v>25</v>
      </c>
      <c r="G1511" s="36">
        <f>300*21</f>
        <v>6300</v>
      </c>
      <c r="H1511" s="36">
        <v>1861.6</v>
      </c>
      <c r="I1511" s="36">
        <v>1240</v>
      </c>
      <c r="J1511" s="36">
        <v>500</v>
      </c>
      <c r="K1511" s="36">
        <f t="shared" si="272"/>
        <v>9901.6</v>
      </c>
      <c r="L1511" s="36">
        <v>3000</v>
      </c>
      <c r="M1511" s="9">
        <f t="shared" si="273"/>
        <v>0.30298133634968083</v>
      </c>
      <c r="N1511" s="5">
        <v>1</v>
      </c>
      <c r="O1511" s="10">
        <f t="shared" si="274"/>
        <v>0.30298133634968083</v>
      </c>
    </row>
    <row r="1512" spans="2:15" ht="13.5" hidden="1" customHeight="1">
      <c r="B1512" s="33">
        <f t="shared" si="275"/>
        <v>15</v>
      </c>
      <c r="C1512" s="35" t="s">
        <v>160</v>
      </c>
      <c r="D1512" s="35" t="s">
        <v>193</v>
      </c>
      <c r="F1512" s="30" t="s">
        <v>159</v>
      </c>
      <c r="G1512" s="36">
        <f>333*19</f>
        <v>6327</v>
      </c>
      <c r="H1512" s="36">
        <v>1861.6</v>
      </c>
      <c r="I1512" s="36">
        <v>1240</v>
      </c>
      <c r="J1512" s="36">
        <v>900</v>
      </c>
      <c r="K1512" s="36">
        <f t="shared" si="272"/>
        <v>10328.6</v>
      </c>
      <c r="L1512" s="36">
        <v>3000</v>
      </c>
      <c r="M1512" s="9">
        <f t="shared" si="273"/>
        <v>0.29045562806188641</v>
      </c>
      <c r="N1512" s="5">
        <v>1</v>
      </c>
      <c r="O1512" s="10">
        <f t="shared" si="274"/>
        <v>0.29045562806188641</v>
      </c>
    </row>
    <row r="1513" spans="2:15" ht="13.5" hidden="1" customHeight="1">
      <c r="B1513" s="33">
        <f t="shared" si="275"/>
        <v>16</v>
      </c>
      <c r="C1513" s="35" t="s">
        <v>335</v>
      </c>
      <c r="D1513" s="35" t="s">
        <v>366</v>
      </c>
      <c r="F1513" s="30" t="s">
        <v>159</v>
      </c>
      <c r="G1513" s="36">
        <f>333*19</f>
        <v>6327</v>
      </c>
      <c r="H1513" s="36">
        <v>1861.6</v>
      </c>
      <c r="I1513" s="36">
        <v>1240</v>
      </c>
      <c r="J1513" s="36">
        <v>900</v>
      </c>
      <c r="K1513" s="36">
        <f t="shared" si="272"/>
        <v>10328.6</v>
      </c>
      <c r="L1513" s="36">
        <v>3000</v>
      </c>
      <c r="M1513" s="9">
        <f t="shared" si="273"/>
        <v>0.29045562806188641</v>
      </c>
      <c r="N1513" s="5">
        <v>1</v>
      </c>
      <c r="O1513" s="10">
        <f t="shared" si="274"/>
        <v>0.29045562806188641</v>
      </c>
    </row>
    <row r="1514" spans="2:15" ht="13.5" hidden="1" customHeight="1">
      <c r="B1514" s="33">
        <f t="shared" si="275"/>
        <v>17</v>
      </c>
      <c r="C1514" s="35" t="s">
        <v>164</v>
      </c>
      <c r="D1514" s="35" t="s">
        <v>198</v>
      </c>
      <c r="F1514" s="30" t="s">
        <v>159</v>
      </c>
      <c r="G1514" s="36">
        <f>333*19</f>
        <v>6327</v>
      </c>
      <c r="H1514" s="36">
        <v>1861.6</v>
      </c>
      <c r="I1514" s="36">
        <v>1240</v>
      </c>
      <c r="J1514" s="36">
        <v>900</v>
      </c>
      <c r="K1514" s="36">
        <f t="shared" si="272"/>
        <v>10328.6</v>
      </c>
      <c r="L1514" s="36">
        <v>3000</v>
      </c>
      <c r="M1514" s="9">
        <f t="shared" si="273"/>
        <v>0.29045562806188641</v>
      </c>
      <c r="N1514" s="5">
        <v>1</v>
      </c>
      <c r="O1514" s="10">
        <f t="shared" si="274"/>
        <v>0.29045562806188641</v>
      </c>
    </row>
    <row r="1515" spans="2:15" ht="13.5" hidden="1" customHeight="1">
      <c r="B1515" s="33">
        <f t="shared" si="275"/>
        <v>18</v>
      </c>
      <c r="C1515" s="35" t="s">
        <v>357</v>
      </c>
      <c r="D1515" s="35" t="s">
        <v>397</v>
      </c>
      <c r="F1515" s="30" t="s">
        <v>159</v>
      </c>
      <c r="G1515" s="36">
        <f>333*19</f>
        <v>6327</v>
      </c>
      <c r="H1515" s="36">
        <v>1861.6</v>
      </c>
      <c r="I1515" s="36">
        <v>1240</v>
      </c>
      <c r="J1515" s="36">
        <v>900</v>
      </c>
      <c r="K1515" s="36">
        <f t="shared" si="272"/>
        <v>10328.6</v>
      </c>
      <c r="L1515" s="36">
        <v>3000</v>
      </c>
      <c r="M1515" s="9">
        <f t="shared" si="273"/>
        <v>0.29045562806188641</v>
      </c>
      <c r="N1515" s="5">
        <v>1</v>
      </c>
      <c r="O1515" s="10">
        <f t="shared" si="274"/>
        <v>0.29045562806188641</v>
      </c>
    </row>
    <row r="1516" spans="2:15" ht="13.5" hidden="1" customHeight="1">
      <c r="B1516" s="33">
        <f t="shared" si="275"/>
        <v>19</v>
      </c>
      <c r="C1516" s="35" t="s">
        <v>74</v>
      </c>
      <c r="D1516" s="35" t="s">
        <v>409</v>
      </c>
      <c r="F1516" s="30" t="s">
        <v>159</v>
      </c>
      <c r="G1516" s="36">
        <f>333*19</f>
        <v>6327</v>
      </c>
      <c r="H1516" s="36">
        <v>1861.6</v>
      </c>
      <c r="I1516" s="36">
        <v>1240</v>
      </c>
      <c r="J1516" s="36">
        <v>900</v>
      </c>
      <c r="K1516" s="36">
        <f t="shared" si="272"/>
        <v>10328.6</v>
      </c>
      <c r="L1516" s="36">
        <v>3000</v>
      </c>
      <c r="M1516" s="9">
        <f t="shared" si="273"/>
        <v>0.29045562806188641</v>
      </c>
      <c r="N1516" s="5">
        <v>1</v>
      </c>
      <c r="O1516" s="10">
        <f t="shared" si="274"/>
        <v>0.29045562806188641</v>
      </c>
    </row>
    <row r="1517" spans="2:15" ht="13.5" hidden="1" customHeight="1">
      <c r="B1517" s="33">
        <f t="shared" si="275"/>
        <v>20</v>
      </c>
      <c r="C1517" s="35" t="s">
        <v>99</v>
      </c>
      <c r="D1517" s="35" t="s">
        <v>396</v>
      </c>
      <c r="F1517" s="30" t="s">
        <v>216</v>
      </c>
      <c r="G1517" s="36">
        <f>300*18</f>
        <v>5400</v>
      </c>
      <c r="H1517" s="36">
        <v>1861.6</v>
      </c>
      <c r="I1517" s="36">
        <v>1240</v>
      </c>
      <c r="J1517" s="36">
        <v>500</v>
      </c>
      <c r="K1517" s="36">
        <f t="shared" si="272"/>
        <v>9001.6</v>
      </c>
      <c r="L1517" s="36">
        <v>3000</v>
      </c>
      <c r="M1517" s="9">
        <f t="shared" si="273"/>
        <v>0.33327408460718094</v>
      </c>
      <c r="N1517" s="5">
        <v>1</v>
      </c>
      <c r="O1517" s="10">
        <f t="shared" si="274"/>
        <v>0.33327408460718094</v>
      </c>
    </row>
    <row r="1518" spans="2:15" ht="13.5" hidden="1" customHeight="1">
      <c r="B1518" s="33">
        <f t="shared" si="275"/>
        <v>21</v>
      </c>
      <c r="C1518" s="35" t="s">
        <v>343</v>
      </c>
      <c r="D1518" s="35" t="s">
        <v>373</v>
      </c>
      <c r="F1518" s="30" t="s">
        <v>33</v>
      </c>
      <c r="G1518" s="36">
        <f>333*18.5</f>
        <v>6160.5</v>
      </c>
      <c r="H1518" s="36">
        <v>1861.6</v>
      </c>
      <c r="I1518" s="36">
        <v>1240</v>
      </c>
      <c r="J1518" s="36">
        <v>750</v>
      </c>
      <c r="K1518" s="36">
        <f t="shared" si="272"/>
        <v>10012.1</v>
      </c>
      <c r="L1518" s="36">
        <v>3000</v>
      </c>
      <c r="M1518" s="9">
        <f t="shared" si="273"/>
        <v>0.29963743869917397</v>
      </c>
      <c r="N1518" s="5">
        <v>1</v>
      </c>
      <c r="O1518" s="10">
        <f t="shared" si="274"/>
        <v>0.29963743869917397</v>
      </c>
    </row>
    <row r="1519" spans="2:15" ht="13.5" hidden="1" customHeight="1">
      <c r="B1519" s="33">
        <f t="shared" si="275"/>
        <v>22</v>
      </c>
      <c r="C1519" s="35" t="s">
        <v>77</v>
      </c>
      <c r="D1519" s="35" t="s">
        <v>374</v>
      </c>
      <c r="F1519" s="30" t="s">
        <v>33</v>
      </c>
      <c r="G1519" s="36">
        <f>333*18.5</f>
        <v>6160.5</v>
      </c>
      <c r="H1519" s="36">
        <v>1861.6</v>
      </c>
      <c r="I1519" s="36">
        <v>1240</v>
      </c>
      <c r="J1519" s="36">
        <v>750</v>
      </c>
      <c r="K1519" s="36">
        <f t="shared" si="272"/>
        <v>10012.1</v>
      </c>
      <c r="L1519" s="36">
        <v>3000</v>
      </c>
      <c r="M1519" s="9">
        <f t="shared" si="273"/>
        <v>0.29963743869917397</v>
      </c>
      <c r="N1519" s="5">
        <v>1</v>
      </c>
      <c r="O1519" s="10">
        <f t="shared" si="274"/>
        <v>0.29963743869917397</v>
      </c>
    </row>
    <row r="1520" spans="2:15" ht="13.5" hidden="1" customHeight="1">
      <c r="B1520" s="33">
        <f t="shared" si="275"/>
        <v>23</v>
      </c>
      <c r="C1520" s="35" t="s">
        <v>347</v>
      </c>
      <c r="D1520" s="35" t="s">
        <v>381</v>
      </c>
      <c r="F1520" s="30" t="s">
        <v>33</v>
      </c>
      <c r="G1520" s="36">
        <f>333*18.5</f>
        <v>6160.5</v>
      </c>
      <c r="H1520" s="36">
        <v>1861.6</v>
      </c>
      <c r="I1520" s="36">
        <v>1240</v>
      </c>
      <c r="J1520" s="36">
        <v>750</v>
      </c>
      <c r="K1520" s="36">
        <f t="shared" si="272"/>
        <v>10012.1</v>
      </c>
      <c r="L1520" s="36">
        <v>3000</v>
      </c>
      <c r="M1520" s="9">
        <f t="shared" si="273"/>
        <v>0.29963743869917397</v>
      </c>
      <c r="N1520" s="5">
        <v>1</v>
      </c>
      <c r="O1520" s="10">
        <f t="shared" si="274"/>
        <v>0.29963743869917397</v>
      </c>
    </row>
    <row r="1521" spans="2:15" ht="13.5" hidden="1" customHeight="1">
      <c r="B1521" s="33">
        <f t="shared" si="275"/>
        <v>24</v>
      </c>
      <c r="C1521" s="35" t="s">
        <v>354</v>
      </c>
      <c r="D1521" s="35" t="s">
        <v>391</v>
      </c>
      <c r="F1521" s="30" t="s">
        <v>33</v>
      </c>
      <c r="G1521" s="36">
        <f>333*18.5</f>
        <v>6160.5</v>
      </c>
      <c r="H1521" s="36">
        <v>1861.6</v>
      </c>
      <c r="I1521" s="36">
        <v>1240</v>
      </c>
      <c r="J1521" s="36">
        <v>750</v>
      </c>
      <c r="K1521" s="36">
        <f t="shared" si="272"/>
        <v>10012.1</v>
      </c>
      <c r="L1521" s="36">
        <v>3000</v>
      </c>
      <c r="M1521" s="9">
        <f t="shared" si="273"/>
        <v>0.29963743869917397</v>
      </c>
      <c r="N1521" s="5">
        <v>1</v>
      </c>
      <c r="O1521" s="10">
        <f t="shared" si="274"/>
        <v>0.29963743869917397</v>
      </c>
    </row>
    <row r="1522" spans="2:15" ht="13.5" hidden="1" customHeight="1">
      <c r="B1522" s="33">
        <f t="shared" si="275"/>
        <v>25</v>
      </c>
      <c r="C1522" s="35" t="s">
        <v>259</v>
      </c>
      <c r="D1522" s="35" t="s">
        <v>320</v>
      </c>
      <c r="F1522" s="30" t="s">
        <v>33</v>
      </c>
      <c r="G1522" s="36">
        <f>333*18</f>
        <v>5994</v>
      </c>
      <c r="H1522" s="36">
        <v>1861.6</v>
      </c>
      <c r="I1522" s="36">
        <v>1240</v>
      </c>
      <c r="J1522" s="36">
        <v>750</v>
      </c>
      <c r="K1522" s="36">
        <f t="shared" si="272"/>
        <v>9845.6</v>
      </c>
      <c r="L1522" s="36">
        <v>3000</v>
      </c>
      <c r="M1522" s="9">
        <f t="shared" si="273"/>
        <v>0.30470463963597949</v>
      </c>
      <c r="N1522" s="5">
        <v>1</v>
      </c>
      <c r="O1522" s="10">
        <f t="shared" si="274"/>
        <v>0.30470463963597949</v>
      </c>
    </row>
    <row r="1523" spans="2:15" ht="13.5" hidden="1" customHeight="1">
      <c r="B1523" s="33">
        <f t="shared" si="275"/>
        <v>26</v>
      </c>
      <c r="C1523" s="35" t="s">
        <v>360</v>
      </c>
      <c r="D1523" s="35" t="s">
        <v>403</v>
      </c>
      <c r="F1523" s="30" t="s">
        <v>33</v>
      </c>
      <c r="G1523" s="36">
        <f>333*18.5</f>
        <v>6160.5</v>
      </c>
      <c r="H1523" s="36">
        <v>1861.6</v>
      </c>
      <c r="I1523" s="36">
        <v>1240</v>
      </c>
      <c r="J1523" s="36">
        <v>750</v>
      </c>
      <c r="K1523" s="36">
        <f t="shared" si="272"/>
        <v>10012.1</v>
      </c>
      <c r="L1523" s="36">
        <v>3000</v>
      </c>
      <c r="M1523" s="9">
        <f t="shared" si="273"/>
        <v>0.29963743869917397</v>
      </c>
      <c r="N1523" s="5">
        <v>1</v>
      </c>
      <c r="O1523" s="10">
        <f t="shared" si="274"/>
        <v>0.29963743869917397</v>
      </c>
    </row>
    <row r="1524" spans="2:15" ht="13.5" hidden="1" customHeight="1">
      <c r="B1524" s="33">
        <f t="shared" si="275"/>
        <v>27</v>
      </c>
      <c r="C1524" s="35" t="s">
        <v>340</v>
      </c>
      <c r="D1524" s="35" t="s">
        <v>369</v>
      </c>
      <c r="F1524" s="30" t="s">
        <v>44</v>
      </c>
      <c r="G1524" s="36">
        <f>333*24</f>
        <v>7992</v>
      </c>
      <c r="H1524" s="36">
        <v>1861.6</v>
      </c>
      <c r="I1524" s="36">
        <v>1240</v>
      </c>
      <c r="J1524" s="36">
        <v>750</v>
      </c>
      <c r="K1524" s="36">
        <f t="shared" si="272"/>
        <v>11843.6</v>
      </c>
      <c r="L1524" s="36">
        <v>3000</v>
      </c>
      <c r="M1524" s="9">
        <f t="shared" si="273"/>
        <v>0.25330136107264684</v>
      </c>
      <c r="N1524" s="5">
        <v>1</v>
      </c>
      <c r="O1524" s="10">
        <f t="shared" si="274"/>
        <v>0.25330136107264684</v>
      </c>
    </row>
    <row r="1525" spans="2:15" ht="13.5" hidden="1" customHeight="1">
      <c r="B1525" s="33">
        <f t="shared" si="275"/>
        <v>28</v>
      </c>
      <c r="C1525" s="35" t="s">
        <v>167</v>
      </c>
      <c r="D1525" s="35" t="s">
        <v>201</v>
      </c>
      <c r="F1525" s="30" t="s">
        <v>44</v>
      </c>
      <c r="G1525" s="36">
        <f>333*24</f>
        <v>7992</v>
      </c>
      <c r="H1525" s="36">
        <v>1861.6</v>
      </c>
      <c r="I1525" s="36">
        <v>1240</v>
      </c>
      <c r="J1525" s="36">
        <v>750</v>
      </c>
      <c r="K1525" s="36">
        <f t="shared" si="272"/>
        <v>11843.6</v>
      </c>
      <c r="L1525" s="36">
        <v>3000</v>
      </c>
      <c r="M1525" s="9">
        <f t="shared" si="273"/>
        <v>0.25330136107264684</v>
      </c>
      <c r="N1525" s="5">
        <v>1</v>
      </c>
      <c r="O1525" s="10">
        <f t="shared" si="274"/>
        <v>0.25330136107264684</v>
      </c>
    </row>
    <row r="1526" spans="2:15" ht="13.5" hidden="1" customHeight="1">
      <c r="B1526" s="33">
        <f t="shared" si="275"/>
        <v>29</v>
      </c>
      <c r="C1526" s="35" t="s">
        <v>79</v>
      </c>
      <c r="D1526" s="35" t="s">
        <v>379</v>
      </c>
      <c r="F1526" s="30" t="s">
        <v>28</v>
      </c>
      <c r="G1526" s="36">
        <f>300*12</f>
        <v>3600</v>
      </c>
      <c r="H1526" s="36">
        <v>1861.6</v>
      </c>
      <c r="I1526" s="36">
        <v>1240</v>
      </c>
      <c r="J1526" s="36">
        <v>750</v>
      </c>
      <c r="K1526" s="36">
        <f t="shared" si="272"/>
        <v>7451.6</v>
      </c>
      <c r="L1526" s="36">
        <v>3000</v>
      </c>
      <c r="M1526" s="9">
        <f t="shared" si="273"/>
        <v>0.40259809973696919</v>
      </c>
      <c r="N1526" s="5">
        <v>1</v>
      </c>
      <c r="O1526" s="10">
        <f t="shared" si="274"/>
        <v>0.40259809973696919</v>
      </c>
    </row>
    <row r="1527" spans="2:15" ht="13.5" hidden="1" customHeight="1">
      <c r="B1527" s="33">
        <f t="shared" si="275"/>
        <v>30</v>
      </c>
      <c r="C1527" s="35" t="s">
        <v>336</v>
      </c>
      <c r="D1527" s="35" t="s">
        <v>367</v>
      </c>
      <c r="F1527" s="30" t="s">
        <v>31</v>
      </c>
      <c r="G1527" s="36">
        <f>333*20.5</f>
        <v>6826.5</v>
      </c>
      <c r="H1527" s="36">
        <v>1861.6</v>
      </c>
      <c r="I1527" s="36">
        <v>1240</v>
      </c>
      <c r="J1527" s="36">
        <v>900</v>
      </c>
      <c r="K1527" s="36">
        <f t="shared" si="272"/>
        <v>10828.1</v>
      </c>
      <c r="L1527" s="36">
        <v>3000</v>
      </c>
      <c r="M1527" s="9">
        <f t="shared" si="273"/>
        <v>0.27705691672592603</v>
      </c>
      <c r="N1527" s="5">
        <v>1</v>
      </c>
      <c r="O1527" s="10">
        <f t="shared" si="274"/>
        <v>0.27705691672592603</v>
      </c>
    </row>
    <row r="1528" spans="2:15" ht="13.5" hidden="1" customHeight="1">
      <c r="B1528" s="33">
        <f t="shared" si="275"/>
        <v>31</v>
      </c>
      <c r="C1528" s="35" t="s">
        <v>238</v>
      </c>
      <c r="D1528" s="35" t="s">
        <v>386</v>
      </c>
      <c r="F1528" s="30" t="s">
        <v>31</v>
      </c>
      <c r="G1528" s="36">
        <f>333*20.5</f>
        <v>6826.5</v>
      </c>
      <c r="H1528" s="36">
        <v>1861.6</v>
      </c>
      <c r="I1528" s="36">
        <v>1240</v>
      </c>
      <c r="J1528" s="36">
        <v>900</v>
      </c>
      <c r="K1528" s="36">
        <f t="shared" si="272"/>
        <v>10828.1</v>
      </c>
      <c r="L1528" s="36">
        <v>3000</v>
      </c>
      <c r="M1528" s="9">
        <f t="shared" si="273"/>
        <v>0.27705691672592603</v>
      </c>
      <c r="N1528" s="5">
        <v>1</v>
      </c>
      <c r="O1528" s="10">
        <f t="shared" si="274"/>
        <v>0.27705691672592603</v>
      </c>
    </row>
    <row r="1529" spans="2:15" ht="13.5" hidden="1" customHeight="1">
      <c r="B1529" s="33">
        <f t="shared" si="275"/>
        <v>32</v>
      </c>
      <c r="C1529" s="35" t="s">
        <v>361</v>
      </c>
      <c r="D1529" s="35" t="s">
        <v>404</v>
      </c>
      <c r="F1529" s="30" t="s">
        <v>31</v>
      </c>
      <c r="G1529" s="36">
        <f>333*20.5</f>
        <v>6826.5</v>
      </c>
      <c r="H1529" s="36">
        <v>1861.6</v>
      </c>
      <c r="I1529" s="36">
        <v>1240</v>
      </c>
      <c r="J1529" s="36">
        <v>900</v>
      </c>
      <c r="K1529" s="36">
        <f t="shared" si="272"/>
        <v>10828.1</v>
      </c>
      <c r="L1529" s="36">
        <v>3000</v>
      </c>
      <c r="M1529" s="9">
        <f t="shared" si="273"/>
        <v>0.27705691672592603</v>
      </c>
      <c r="N1529" s="5">
        <v>1</v>
      </c>
      <c r="O1529" s="10">
        <f t="shared" si="274"/>
        <v>0.27705691672592603</v>
      </c>
    </row>
    <row r="1530" spans="2:15" ht="13.5" hidden="1" customHeight="1">
      <c r="B1530" s="33">
        <f t="shared" si="275"/>
        <v>33</v>
      </c>
      <c r="C1530" s="35" t="s">
        <v>337</v>
      </c>
      <c r="D1530" s="35" t="s">
        <v>410</v>
      </c>
      <c r="F1530" s="30" t="s">
        <v>26</v>
      </c>
      <c r="G1530" s="36">
        <f>333*19</f>
        <v>6327</v>
      </c>
      <c r="H1530" s="36">
        <v>1861.6</v>
      </c>
      <c r="I1530" s="36">
        <v>1240</v>
      </c>
      <c r="J1530" s="36">
        <v>1800</v>
      </c>
      <c r="K1530" s="36">
        <f t="shared" si="272"/>
        <v>11228.6</v>
      </c>
      <c r="L1530" s="36">
        <v>3000</v>
      </c>
      <c r="M1530" s="9">
        <f t="shared" si="273"/>
        <v>0.26717489268475142</v>
      </c>
      <c r="N1530" s="5">
        <v>1</v>
      </c>
      <c r="O1530" s="10">
        <f t="shared" si="274"/>
        <v>0.26717489268475142</v>
      </c>
    </row>
    <row r="1531" spans="2:15" ht="13.5" hidden="1" customHeight="1">
      <c r="B1531" s="33">
        <f t="shared" si="275"/>
        <v>34</v>
      </c>
      <c r="C1531" s="35" t="s">
        <v>346</v>
      </c>
      <c r="D1531" s="35" t="s">
        <v>380</v>
      </c>
      <c r="F1531" s="30" t="s">
        <v>26</v>
      </c>
      <c r="G1531" s="36">
        <f>333*19</f>
        <v>6327</v>
      </c>
      <c r="H1531" s="36">
        <v>1861.6</v>
      </c>
      <c r="I1531" s="36">
        <v>1240</v>
      </c>
      <c r="J1531" s="36">
        <v>1800</v>
      </c>
      <c r="K1531" s="36">
        <f t="shared" si="272"/>
        <v>11228.6</v>
      </c>
      <c r="L1531" s="36">
        <v>3000</v>
      </c>
      <c r="M1531" s="9">
        <f t="shared" si="273"/>
        <v>0.26717489268475142</v>
      </c>
      <c r="N1531" s="5">
        <v>1</v>
      </c>
      <c r="O1531" s="10">
        <f t="shared" si="274"/>
        <v>0.26717489268475142</v>
      </c>
    </row>
    <row r="1532" spans="2:15" ht="13.5" hidden="1" customHeight="1">
      <c r="B1532" s="33">
        <f t="shared" si="275"/>
        <v>35</v>
      </c>
      <c r="C1532" s="35" t="s">
        <v>170</v>
      </c>
      <c r="D1532" s="35" t="s">
        <v>389</v>
      </c>
      <c r="F1532" s="30" t="s">
        <v>26</v>
      </c>
      <c r="G1532" s="36">
        <f>333*19</f>
        <v>6327</v>
      </c>
      <c r="H1532" s="36">
        <v>1861.6</v>
      </c>
      <c r="I1532" s="36">
        <v>1240</v>
      </c>
      <c r="J1532" s="36">
        <v>1800</v>
      </c>
      <c r="K1532" s="36">
        <f t="shared" si="272"/>
        <v>11228.6</v>
      </c>
      <c r="L1532" s="36">
        <v>3000</v>
      </c>
      <c r="M1532" s="9">
        <f t="shared" si="273"/>
        <v>0.26717489268475142</v>
      </c>
      <c r="N1532" s="5">
        <v>1</v>
      </c>
      <c r="O1532" s="10">
        <f t="shared" si="274"/>
        <v>0.26717489268475142</v>
      </c>
    </row>
    <row r="1533" spans="2:15" ht="13.5" hidden="1" customHeight="1">
      <c r="B1533" s="33">
        <f t="shared" si="275"/>
        <v>36</v>
      </c>
      <c r="C1533" s="35" t="s">
        <v>258</v>
      </c>
      <c r="D1533" s="35" t="s">
        <v>401</v>
      </c>
      <c r="F1533" s="30" t="s">
        <v>26</v>
      </c>
      <c r="G1533" s="36">
        <f>333*19</f>
        <v>6327</v>
      </c>
      <c r="H1533" s="36">
        <v>1861.6</v>
      </c>
      <c r="I1533" s="36">
        <v>1240</v>
      </c>
      <c r="J1533" s="36">
        <v>1800</v>
      </c>
      <c r="K1533" s="36">
        <f t="shared" si="272"/>
        <v>11228.6</v>
      </c>
      <c r="L1533" s="36">
        <v>3000</v>
      </c>
      <c r="M1533" s="9">
        <f t="shared" si="273"/>
        <v>0.26717489268475142</v>
      </c>
      <c r="N1533" s="5">
        <v>1</v>
      </c>
      <c r="O1533" s="10">
        <f t="shared" si="274"/>
        <v>0.26717489268475142</v>
      </c>
    </row>
    <row r="1534" spans="2:15" ht="13.5" hidden="1" customHeight="1">
      <c r="B1534" s="33">
        <f t="shared" si="275"/>
        <v>37</v>
      </c>
      <c r="C1534" s="35" t="s">
        <v>174</v>
      </c>
      <c r="D1534" s="35" t="s">
        <v>392</v>
      </c>
      <c r="F1534" s="30" t="s">
        <v>333</v>
      </c>
      <c r="G1534" s="36">
        <f>333*19</f>
        <v>6327</v>
      </c>
      <c r="H1534" s="36">
        <v>1861.6</v>
      </c>
      <c r="I1534" s="36">
        <v>1240</v>
      </c>
      <c r="J1534" s="36">
        <v>1800</v>
      </c>
      <c r="K1534" s="36">
        <f t="shared" si="272"/>
        <v>11228.6</v>
      </c>
      <c r="L1534" s="36">
        <v>3000</v>
      </c>
      <c r="M1534" s="9">
        <f t="shared" si="273"/>
        <v>0.26717489268475142</v>
      </c>
      <c r="N1534" s="5">
        <v>1</v>
      </c>
      <c r="O1534" s="10">
        <f t="shared" si="274"/>
        <v>0.26717489268475142</v>
      </c>
    </row>
    <row r="1535" spans="2:15" ht="13.5" hidden="1" customHeight="1">
      <c r="B1535" s="33">
        <f t="shared" si="275"/>
        <v>38</v>
      </c>
      <c r="C1535" s="35" t="s">
        <v>338</v>
      </c>
      <c r="D1535" s="35" t="s">
        <v>368</v>
      </c>
      <c r="F1535" s="30" t="s">
        <v>32</v>
      </c>
      <c r="G1535" s="36">
        <f>300*17</f>
        <v>5100</v>
      </c>
      <c r="H1535" s="36">
        <v>1861.6</v>
      </c>
      <c r="I1535" s="36">
        <v>1240</v>
      </c>
      <c r="J1535" s="36">
        <v>900</v>
      </c>
      <c r="K1535" s="36">
        <f t="shared" si="272"/>
        <v>9101.6</v>
      </c>
      <c r="L1535" s="36">
        <v>3000</v>
      </c>
      <c r="M1535" s="9">
        <f t="shared" si="273"/>
        <v>0.32961237584600511</v>
      </c>
      <c r="N1535" s="5">
        <v>1</v>
      </c>
      <c r="O1535" s="10">
        <f t="shared" si="274"/>
        <v>0.32961237584600511</v>
      </c>
    </row>
    <row r="1536" spans="2:15" ht="13.5" hidden="1" customHeight="1">
      <c r="B1536" s="33">
        <f t="shared" si="275"/>
        <v>39</v>
      </c>
      <c r="C1536" s="35" t="s">
        <v>345</v>
      </c>
      <c r="D1536" s="35" t="s">
        <v>378</v>
      </c>
      <c r="F1536" s="30" t="s">
        <v>32</v>
      </c>
      <c r="G1536" s="36">
        <f t="shared" ref="G1536:G1540" si="276">300*17</f>
        <v>5100</v>
      </c>
      <c r="H1536" s="36">
        <v>1861.6</v>
      </c>
      <c r="I1536" s="36">
        <v>1240</v>
      </c>
      <c r="J1536" s="36">
        <v>900</v>
      </c>
      <c r="K1536" s="36">
        <f t="shared" si="272"/>
        <v>9101.6</v>
      </c>
      <c r="L1536" s="36">
        <v>3000</v>
      </c>
      <c r="M1536" s="9">
        <f t="shared" si="273"/>
        <v>0.32961237584600511</v>
      </c>
      <c r="N1536" s="5">
        <v>1</v>
      </c>
      <c r="O1536" s="10">
        <f t="shared" si="274"/>
        <v>0.32961237584600511</v>
      </c>
    </row>
    <row r="1537" spans="1:15" ht="13.5" hidden="1" customHeight="1">
      <c r="B1537" s="33">
        <f t="shared" si="275"/>
        <v>40</v>
      </c>
      <c r="C1537" s="35" t="s">
        <v>350</v>
      </c>
      <c r="D1537" s="35" t="s">
        <v>384</v>
      </c>
      <c r="F1537" s="30" t="s">
        <v>32</v>
      </c>
      <c r="G1537" s="36">
        <f t="shared" si="276"/>
        <v>5100</v>
      </c>
      <c r="H1537" s="36">
        <v>1861.6</v>
      </c>
      <c r="I1537" s="36">
        <v>1240</v>
      </c>
      <c r="J1537" s="36">
        <v>900</v>
      </c>
      <c r="K1537" s="36">
        <f t="shared" si="272"/>
        <v>9101.6</v>
      </c>
      <c r="L1537" s="36">
        <v>3000</v>
      </c>
      <c r="M1537" s="9">
        <f t="shared" si="273"/>
        <v>0.32961237584600511</v>
      </c>
      <c r="N1537" s="5">
        <v>1</v>
      </c>
      <c r="O1537" s="10">
        <f t="shared" si="274"/>
        <v>0.32961237584600511</v>
      </c>
    </row>
    <row r="1538" spans="1:15" ht="13.5" hidden="1" customHeight="1">
      <c r="B1538" s="33">
        <f t="shared" si="275"/>
        <v>41</v>
      </c>
      <c r="C1538" s="35" t="s">
        <v>115</v>
      </c>
      <c r="D1538" s="35" t="s">
        <v>388</v>
      </c>
      <c r="F1538" s="30" t="s">
        <v>32</v>
      </c>
      <c r="G1538" s="36">
        <f t="shared" si="276"/>
        <v>5100</v>
      </c>
      <c r="H1538" s="36">
        <v>1861.6</v>
      </c>
      <c r="I1538" s="36">
        <v>1240</v>
      </c>
      <c r="J1538" s="36">
        <v>900</v>
      </c>
      <c r="K1538" s="36">
        <f t="shared" si="272"/>
        <v>9101.6</v>
      </c>
      <c r="L1538" s="36">
        <v>3000</v>
      </c>
      <c r="M1538" s="9">
        <f t="shared" si="273"/>
        <v>0.32961237584600511</v>
      </c>
      <c r="N1538" s="5">
        <v>1</v>
      </c>
      <c r="O1538" s="10">
        <f t="shared" si="274"/>
        <v>0.32961237584600511</v>
      </c>
    </row>
    <row r="1539" spans="1:15" ht="13.5" hidden="1" customHeight="1">
      <c r="B1539" s="33">
        <f t="shared" si="275"/>
        <v>42</v>
      </c>
      <c r="C1539" s="35" t="s">
        <v>359</v>
      </c>
      <c r="D1539" s="35" t="s">
        <v>400</v>
      </c>
      <c r="F1539" s="30" t="s">
        <v>32</v>
      </c>
      <c r="G1539" s="36">
        <f t="shared" si="276"/>
        <v>5100</v>
      </c>
      <c r="H1539" s="36">
        <v>1861.6</v>
      </c>
      <c r="I1539" s="36">
        <v>1240</v>
      </c>
      <c r="J1539" s="36">
        <v>900</v>
      </c>
      <c r="K1539" s="36">
        <f t="shared" si="272"/>
        <v>9101.6</v>
      </c>
      <c r="L1539" s="36">
        <v>3000</v>
      </c>
      <c r="M1539" s="9">
        <f t="shared" si="273"/>
        <v>0.32961237584600511</v>
      </c>
      <c r="N1539" s="5">
        <v>1</v>
      </c>
      <c r="O1539" s="10">
        <f t="shared" si="274"/>
        <v>0.32961237584600511</v>
      </c>
    </row>
    <row r="1540" spans="1:15" ht="13.5" hidden="1" customHeight="1">
      <c r="B1540" s="33">
        <f t="shared" si="275"/>
        <v>43</v>
      </c>
      <c r="C1540" s="35" t="s">
        <v>362</v>
      </c>
      <c r="D1540" s="35" t="s">
        <v>405</v>
      </c>
      <c r="F1540" s="30" t="s">
        <v>32</v>
      </c>
      <c r="G1540" s="36">
        <f t="shared" si="276"/>
        <v>5100</v>
      </c>
      <c r="H1540" s="36">
        <v>1861.6</v>
      </c>
      <c r="I1540" s="36">
        <v>1240</v>
      </c>
      <c r="J1540" s="36">
        <v>900</v>
      </c>
      <c r="K1540" s="36">
        <f t="shared" si="272"/>
        <v>9101.6</v>
      </c>
      <c r="L1540" s="36">
        <v>3000</v>
      </c>
      <c r="M1540" s="9">
        <f t="shared" si="273"/>
        <v>0.32961237584600511</v>
      </c>
      <c r="N1540" s="5">
        <v>1</v>
      </c>
      <c r="O1540" s="10">
        <f t="shared" si="274"/>
        <v>0.32961237584600511</v>
      </c>
    </row>
    <row r="1541" spans="1:15" ht="13.5" hidden="1" customHeight="1">
      <c r="B1541" s="33">
        <f t="shared" si="275"/>
        <v>44</v>
      </c>
      <c r="C1541" s="35" t="s">
        <v>334</v>
      </c>
      <c r="D1541" s="35" t="s">
        <v>365</v>
      </c>
      <c r="F1541" s="30" t="s">
        <v>24</v>
      </c>
      <c r="G1541" s="36">
        <f>277*6</f>
        <v>1662</v>
      </c>
      <c r="H1541" s="36">
        <v>1861.6</v>
      </c>
      <c r="I1541" s="36">
        <v>7890</v>
      </c>
      <c r="J1541" s="36">
        <v>0</v>
      </c>
      <c r="K1541" s="36">
        <f t="shared" si="272"/>
        <v>11413.6</v>
      </c>
      <c r="L1541" s="36">
        <v>3000</v>
      </c>
      <c r="M1541" s="9">
        <f t="shared" si="273"/>
        <v>0.26284432606714797</v>
      </c>
      <c r="N1541" s="5">
        <v>1</v>
      </c>
      <c r="O1541" s="10">
        <f t="shared" si="274"/>
        <v>0.26284432606714797</v>
      </c>
    </row>
    <row r="1542" spans="1:15" ht="13.5" hidden="1" customHeight="1">
      <c r="B1542" s="33">
        <f t="shared" si="275"/>
        <v>45</v>
      </c>
      <c r="C1542" s="35" t="s">
        <v>344</v>
      </c>
      <c r="D1542" s="35" t="s">
        <v>375</v>
      </c>
      <c r="F1542" s="30" t="s">
        <v>43</v>
      </c>
      <c r="G1542" s="36">
        <f>333*18.5</f>
        <v>6160.5</v>
      </c>
      <c r="H1542" s="36">
        <v>1861.6</v>
      </c>
      <c r="I1542" s="36">
        <v>1240</v>
      </c>
      <c r="J1542" s="36">
        <v>500</v>
      </c>
      <c r="K1542" s="36">
        <f t="shared" si="272"/>
        <v>9762.1</v>
      </c>
      <c r="L1542" s="36">
        <v>3000</v>
      </c>
      <c r="M1542" s="9">
        <f t="shared" si="273"/>
        <v>0.30731092695219264</v>
      </c>
      <c r="N1542" s="5">
        <v>1</v>
      </c>
      <c r="O1542" s="10">
        <f t="shared" si="274"/>
        <v>0.30731092695219264</v>
      </c>
    </row>
    <row r="1543" spans="1:15" ht="13.5" hidden="1" customHeight="1">
      <c r="B1543" s="33">
        <f t="shared" si="275"/>
        <v>46</v>
      </c>
      <c r="C1543" s="35" t="s">
        <v>352</v>
      </c>
      <c r="D1543" s="35" t="s">
        <v>387</v>
      </c>
      <c r="F1543" s="30" t="s">
        <v>43</v>
      </c>
      <c r="G1543" s="36">
        <f>333*18.5</f>
        <v>6160.5</v>
      </c>
      <c r="H1543" s="36">
        <v>1861.6</v>
      </c>
      <c r="I1543" s="36">
        <v>1240</v>
      </c>
      <c r="J1543" s="36">
        <v>500</v>
      </c>
      <c r="K1543" s="36">
        <f t="shared" si="272"/>
        <v>9762.1</v>
      </c>
      <c r="L1543" s="36">
        <v>3000</v>
      </c>
      <c r="M1543" s="9">
        <f t="shared" si="273"/>
        <v>0.30731092695219264</v>
      </c>
      <c r="N1543" s="5">
        <v>1</v>
      </c>
      <c r="O1543" s="10">
        <f t="shared" si="274"/>
        <v>0.30731092695219264</v>
      </c>
    </row>
    <row r="1544" spans="1:15" ht="13.5" hidden="1" customHeight="1">
      <c r="B1544" s="33">
        <f t="shared" si="275"/>
        <v>47</v>
      </c>
      <c r="C1544" s="35" t="s">
        <v>101</v>
      </c>
      <c r="D1544" s="35" t="s">
        <v>370</v>
      </c>
      <c r="F1544" s="30" t="s">
        <v>27</v>
      </c>
      <c r="G1544" s="36">
        <f>333*24</f>
        <v>7992</v>
      </c>
      <c r="H1544" s="36">
        <v>1861.6</v>
      </c>
      <c r="I1544" s="36">
        <v>1240</v>
      </c>
      <c r="J1544" s="36">
        <v>500</v>
      </c>
      <c r="K1544" s="36">
        <f t="shared" si="272"/>
        <v>11593.6</v>
      </c>
      <c r="L1544" s="36">
        <v>3000</v>
      </c>
      <c r="M1544" s="9">
        <f t="shared" si="273"/>
        <v>0.25876345569969639</v>
      </c>
      <c r="N1544" s="5">
        <v>1</v>
      </c>
      <c r="O1544" s="10">
        <f t="shared" si="274"/>
        <v>0.25876345569969639</v>
      </c>
    </row>
    <row r="1545" spans="1:15" ht="13.5" hidden="1" customHeight="1">
      <c r="B1545" s="33">
        <f t="shared" si="275"/>
        <v>48</v>
      </c>
      <c r="C1545" s="35" t="s">
        <v>344</v>
      </c>
      <c r="D1545" s="35" t="s">
        <v>376</v>
      </c>
      <c r="F1545" s="30" t="s">
        <v>27</v>
      </c>
      <c r="G1545" s="36">
        <f>333*21</f>
        <v>6993</v>
      </c>
      <c r="H1545" s="36">
        <v>1861.6</v>
      </c>
      <c r="I1545" s="36">
        <v>1240</v>
      </c>
      <c r="J1545" s="36">
        <v>500</v>
      </c>
      <c r="K1545" s="36">
        <f t="shared" si="272"/>
        <v>10594.6</v>
      </c>
      <c r="L1545" s="36">
        <v>3000</v>
      </c>
      <c r="M1545" s="9">
        <f t="shared" si="273"/>
        <v>0.28316312083514245</v>
      </c>
      <c r="N1545" s="5">
        <v>1</v>
      </c>
      <c r="O1545" s="10">
        <f t="shared" si="274"/>
        <v>0.28316312083514245</v>
      </c>
    </row>
    <row r="1546" spans="1:15" ht="13.5" hidden="1" customHeight="1">
      <c r="B1546" s="33">
        <f t="shared" si="275"/>
        <v>49</v>
      </c>
      <c r="C1546" s="35" t="s">
        <v>351</v>
      </c>
      <c r="D1546" s="35" t="s">
        <v>385</v>
      </c>
      <c r="F1546" s="30" t="s">
        <v>30</v>
      </c>
      <c r="G1546" s="36">
        <f>300*21</f>
        <v>6300</v>
      </c>
      <c r="H1546" s="36">
        <v>1861.6</v>
      </c>
      <c r="I1546" s="36">
        <v>1240</v>
      </c>
      <c r="J1546" s="36">
        <v>500</v>
      </c>
      <c r="K1546" s="36">
        <f t="shared" si="272"/>
        <v>9901.6</v>
      </c>
      <c r="L1546" s="36">
        <v>3000</v>
      </c>
      <c r="M1546" s="9">
        <f t="shared" si="273"/>
        <v>0.30298133634968083</v>
      </c>
      <c r="N1546" s="5">
        <v>1</v>
      </c>
      <c r="O1546" s="10">
        <f t="shared" si="274"/>
        <v>0.30298133634968083</v>
      </c>
    </row>
    <row r="1547" spans="1:15" ht="13.5" hidden="1" customHeight="1">
      <c r="B1547" s="33">
        <f t="shared" si="275"/>
        <v>50</v>
      </c>
      <c r="C1547" s="35" t="s">
        <v>90</v>
      </c>
      <c r="D1547" s="35" t="s">
        <v>408</v>
      </c>
      <c r="F1547" s="30" t="s">
        <v>30</v>
      </c>
      <c r="G1547" s="36">
        <f>300*21</f>
        <v>6300</v>
      </c>
      <c r="H1547" s="36">
        <v>1861.6</v>
      </c>
      <c r="I1547" s="36">
        <v>1240</v>
      </c>
      <c r="J1547" s="36">
        <v>500</v>
      </c>
      <c r="K1547" s="36">
        <f t="shared" si="272"/>
        <v>9901.6</v>
      </c>
      <c r="L1547" s="36">
        <v>3000</v>
      </c>
      <c r="M1547" s="9">
        <f t="shared" si="273"/>
        <v>0.30298133634968083</v>
      </c>
      <c r="N1547" s="5">
        <v>1</v>
      </c>
      <c r="O1547" s="10">
        <f t="shared" si="274"/>
        <v>0.30298133634968083</v>
      </c>
    </row>
    <row r="1548" spans="1:15" ht="16.5" hidden="1" customHeight="1">
      <c r="A1548" s="66" t="s">
        <v>45</v>
      </c>
      <c r="B1548" s="66"/>
      <c r="C1548" s="66"/>
      <c r="D1548" s="66"/>
      <c r="E1548" s="66"/>
      <c r="F1548" s="66"/>
      <c r="G1548" s="66"/>
      <c r="H1548" s="66"/>
      <c r="I1548" s="66"/>
      <c r="J1548" s="66"/>
      <c r="K1548" s="66"/>
      <c r="L1548" s="66"/>
      <c r="M1548" s="66"/>
      <c r="N1548" s="22">
        <f>SUM(N1498:N1547)</f>
        <v>50</v>
      </c>
      <c r="O1548" s="23">
        <f>SUM(O1498:O1547)</f>
        <v>15.119599052432568</v>
      </c>
    </row>
    <row r="1549" spans="1:15" ht="13.5" hidden="1" customHeight="1">
      <c r="A1549" s="44" t="s">
        <v>137</v>
      </c>
      <c r="B1549" s="44"/>
      <c r="C1549" s="44"/>
      <c r="D1549" s="44"/>
      <c r="E1549" s="44"/>
      <c r="F1549" s="44"/>
      <c r="G1549" s="44"/>
      <c r="H1549" s="44"/>
      <c r="I1549" s="44"/>
      <c r="J1549" s="44"/>
      <c r="K1549" s="44"/>
      <c r="L1549" s="44"/>
      <c r="M1549" s="44"/>
      <c r="N1549" s="44"/>
      <c r="O1549" s="44"/>
    </row>
    <row r="1550" spans="1:15" ht="13.5" hidden="1" customHeight="1">
      <c r="B1550" s="33">
        <v>1</v>
      </c>
      <c r="C1550" s="35" t="s">
        <v>70</v>
      </c>
      <c r="D1550" s="35" t="s">
        <v>395</v>
      </c>
      <c r="F1550" s="30" t="s">
        <v>140</v>
      </c>
      <c r="G1550" s="36">
        <f>333*12</f>
        <v>3996</v>
      </c>
      <c r="H1550" s="36">
        <v>1861</v>
      </c>
      <c r="I1550" s="36">
        <v>3240</v>
      </c>
      <c r="J1550" s="36">
        <v>0</v>
      </c>
      <c r="K1550" s="36">
        <f t="shared" ref="K1550:K1599" si="277">SUM(G1550:J1550)</f>
        <v>9097</v>
      </c>
      <c r="L1550" s="36">
        <v>3000</v>
      </c>
      <c r="M1550" s="9">
        <f t="shared" ref="M1550:M1599" si="278">L1550/K1550</f>
        <v>0.32977904803781466</v>
      </c>
      <c r="N1550" s="5">
        <v>1</v>
      </c>
      <c r="O1550" s="10">
        <f t="shared" ref="O1550:O1599" si="279">N1550*M1550</f>
        <v>0.32977904803781466</v>
      </c>
    </row>
    <row r="1551" spans="1:15" ht="13.5" hidden="1" customHeight="1">
      <c r="B1551" s="33">
        <f>B1550+1</f>
        <v>2</v>
      </c>
      <c r="C1551" s="35" t="s">
        <v>341</v>
      </c>
      <c r="D1551" s="35" t="s">
        <v>371</v>
      </c>
      <c r="F1551" s="30" t="s">
        <v>332</v>
      </c>
      <c r="G1551" s="36">
        <f>450*9</f>
        <v>4050</v>
      </c>
      <c r="H1551" s="36">
        <v>1861</v>
      </c>
      <c r="I1551" s="36">
        <v>3240</v>
      </c>
      <c r="J1551" s="36">
        <v>500</v>
      </c>
      <c r="K1551" s="36">
        <f t="shared" si="277"/>
        <v>9651</v>
      </c>
      <c r="L1551" s="36">
        <v>3000</v>
      </c>
      <c r="M1551" s="9">
        <f t="shared" si="278"/>
        <v>0.3108486167236556</v>
      </c>
      <c r="N1551" s="5">
        <v>1</v>
      </c>
      <c r="O1551" s="10">
        <f t="shared" si="279"/>
        <v>0.3108486167236556</v>
      </c>
    </row>
    <row r="1552" spans="1:15" ht="13.5" hidden="1" customHeight="1">
      <c r="B1552" s="33">
        <f t="shared" ref="B1552:B1599" si="280">B1551+1</f>
        <v>3</v>
      </c>
      <c r="C1552" s="35" t="s">
        <v>348</v>
      </c>
      <c r="D1552" s="35" t="s">
        <v>382</v>
      </c>
      <c r="F1552" s="30" t="s">
        <v>332</v>
      </c>
      <c r="G1552" s="36">
        <f>450*9</f>
        <v>4050</v>
      </c>
      <c r="H1552" s="36">
        <v>1861</v>
      </c>
      <c r="I1552" s="36">
        <v>3240</v>
      </c>
      <c r="J1552" s="36">
        <v>500</v>
      </c>
      <c r="K1552" s="36">
        <f t="shared" si="277"/>
        <v>9651</v>
      </c>
      <c r="L1552" s="36">
        <v>3000</v>
      </c>
      <c r="M1552" s="9">
        <f t="shared" si="278"/>
        <v>0.3108486167236556</v>
      </c>
      <c r="N1552" s="5">
        <v>1</v>
      </c>
      <c r="O1552" s="10">
        <f t="shared" si="279"/>
        <v>0.3108486167236556</v>
      </c>
    </row>
    <row r="1553" spans="2:15" ht="13.5" hidden="1" customHeight="1">
      <c r="B1553" s="33">
        <f t="shared" si="280"/>
        <v>4</v>
      </c>
      <c r="C1553" s="35" t="s">
        <v>107</v>
      </c>
      <c r="D1553" s="35" t="s">
        <v>377</v>
      </c>
      <c r="F1553" s="30" t="s">
        <v>217</v>
      </c>
      <c r="G1553" s="36">
        <f>400*6</f>
        <v>2400</v>
      </c>
      <c r="H1553" s="36">
        <v>1861</v>
      </c>
      <c r="I1553" s="36">
        <v>7890</v>
      </c>
      <c r="J1553" s="36">
        <v>500</v>
      </c>
      <c r="K1553" s="36">
        <f t="shared" si="277"/>
        <v>12651</v>
      </c>
      <c r="L1553" s="36">
        <v>3000</v>
      </c>
      <c r="M1553" s="9">
        <f t="shared" si="278"/>
        <v>0.23713540431586436</v>
      </c>
      <c r="N1553" s="5">
        <v>1</v>
      </c>
      <c r="O1553" s="10">
        <f t="shared" si="279"/>
        <v>0.23713540431586436</v>
      </c>
    </row>
    <row r="1554" spans="2:15" ht="13.5" hidden="1" customHeight="1">
      <c r="B1554" s="33">
        <f t="shared" si="280"/>
        <v>5</v>
      </c>
      <c r="C1554" s="35" t="s">
        <v>358</v>
      </c>
      <c r="D1554" s="35" t="s">
        <v>399</v>
      </c>
      <c r="F1554" s="30" t="s">
        <v>217</v>
      </c>
      <c r="G1554" s="36">
        <f>400*6</f>
        <v>2400</v>
      </c>
      <c r="H1554" s="36">
        <v>1861</v>
      </c>
      <c r="I1554" s="36">
        <v>7890</v>
      </c>
      <c r="J1554" s="36">
        <v>500</v>
      </c>
      <c r="K1554" s="36">
        <f t="shared" si="277"/>
        <v>12651</v>
      </c>
      <c r="L1554" s="36">
        <v>3000</v>
      </c>
      <c r="M1554" s="9">
        <f t="shared" si="278"/>
        <v>0.23713540431586436</v>
      </c>
      <c r="N1554" s="5">
        <v>1</v>
      </c>
      <c r="O1554" s="10">
        <f t="shared" si="279"/>
        <v>0.23713540431586436</v>
      </c>
    </row>
    <row r="1555" spans="2:15" ht="13.5" hidden="1" customHeight="1">
      <c r="B1555" s="33">
        <f t="shared" si="280"/>
        <v>6</v>
      </c>
      <c r="C1555" s="35" t="s">
        <v>342</v>
      </c>
      <c r="D1555" s="35" t="s">
        <v>372</v>
      </c>
      <c r="F1555" s="30" t="s">
        <v>41</v>
      </c>
      <c r="G1555" s="36">
        <f>333*18.5</f>
        <v>6160.5</v>
      </c>
      <c r="H1555" s="36">
        <v>1861</v>
      </c>
      <c r="I1555" s="36">
        <v>3790</v>
      </c>
      <c r="J1555" s="36">
        <v>500</v>
      </c>
      <c r="K1555" s="36">
        <f t="shared" si="277"/>
        <v>12311.5</v>
      </c>
      <c r="L1555" s="36">
        <v>3000</v>
      </c>
      <c r="M1555" s="9">
        <f t="shared" si="278"/>
        <v>0.24367461316655159</v>
      </c>
      <c r="N1555" s="5">
        <v>1</v>
      </c>
      <c r="O1555" s="10">
        <f t="shared" si="279"/>
        <v>0.24367461316655159</v>
      </c>
    </row>
    <row r="1556" spans="2:15" ht="13.5" hidden="1" customHeight="1">
      <c r="B1556" s="33">
        <f t="shared" si="280"/>
        <v>7</v>
      </c>
      <c r="C1556" s="35" t="s">
        <v>363</v>
      </c>
      <c r="D1556" s="35" t="s">
        <v>406</v>
      </c>
      <c r="F1556" s="30" t="s">
        <v>41</v>
      </c>
      <c r="G1556" s="36">
        <f>333*15.5</f>
        <v>5161.5</v>
      </c>
      <c r="H1556" s="36">
        <v>1861</v>
      </c>
      <c r="I1556" s="36">
        <v>3790</v>
      </c>
      <c r="J1556" s="36">
        <v>500</v>
      </c>
      <c r="K1556" s="36">
        <f t="shared" si="277"/>
        <v>11312.5</v>
      </c>
      <c r="L1556" s="36">
        <v>3000</v>
      </c>
      <c r="M1556" s="9">
        <f t="shared" si="278"/>
        <v>0.26519337016574585</v>
      </c>
      <c r="N1556" s="5">
        <v>1</v>
      </c>
      <c r="O1556" s="10">
        <f t="shared" si="279"/>
        <v>0.26519337016574585</v>
      </c>
    </row>
    <row r="1557" spans="2:15" ht="13.5" hidden="1" customHeight="1">
      <c r="B1557" s="33">
        <f t="shared" si="280"/>
        <v>8</v>
      </c>
      <c r="C1557" s="35" t="s">
        <v>162</v>
      </c>
      <c r="D1557" s="35" t="s">
        <v>180</v>
      </c>
      <c r="F1557" s="30" t="s">
        <v>42</v>
      </c>
      <c r="G1557" s="36">
        <f>333*21</f>
        <v>6993</v>
      </c>
      <c r="H1557" s="36">
        <v>1861</v>
      </c>
      <c r="I1557" s="36">
        <v>3240</v>
      </c>
      <c r="J1557" s="36">
        <v>500</v>
      </c>
      <c r="K1557" s="36">
        <f t="shared" si="277"/>
        <v>12594</v>
      </c>
      <c r="L1557" s="36">
        <v>3000</v>
      </c>
      <c r="M1557" s="9">
        <f t="shared" si="278"/>
        <v>0.23820867079561697</v>
      </c>
      <c r="N1557" s="5">
        <v>1</v>
      </c>
      <c r="O1557" s="10">
        <f t="shared" si="279"/>
        <v>0.23820867079561697</v>
      </c>
    </row>
    <row r="1558" spans="2:15" ht="13.5" hidden="1" customHeight="1">
      <c r="B1558" s="33">
        <f t="shared" si="280"/>
        <v>9</v>
      </c>
      <c r="C1558" s="35" t="s">
        <v>349</v>
      </c>
      <c r="D1558" s="35" t="s">
        <v>383</v>
      </c>
      <c r="F1558" s="30" t="s">
        <v>42</v>
      </c>
      <c r="G1558" s="36">
        <f>333*21</f>
        <v>6993</v>
      </c>
      <c r="H1558" s="36">
        <v>1861</v>
      </c>
      <c r="I1558" s="36">
        <v>3240</v>
      </c>
      <c r="J1558" s="36">
        <v>500</v>
      </c>
      <c r="K1558" s="36">
        <f t="shared" si="277"/>
        <v>12594</v>
      </c>
      <c r="L1558" s="36">
        <v>3000</v>
      </c>
      <c r="M1558" s="9">
        <f t="shared" si="278"/>
        <v>0.23820867079561697</v>
      </c>
      <c r="N1558" s="5">
        <v>1</v>
      </c>
      <c r="O1558" s="10">
        <f t="shared" si="279"/>
        <v>0.23820867079561697</v>
      </c>
    </row>
    <row r="1559" spans="2:15" ht="13.5" hidden="1" customHeight="1">
      <c r="B1559" s="33">
        <f t="shared" si="280"/>
        <v>10</v>
      </c>
      <c r="C1559" s="35" t="s">
        <v>353</v>
      </c>
      <c r="D1559" s="35" t="s">
        <v>390</v>
      </c>
      <c r="F1559" s="30" t="s">
        <v>42</v>
      </c>
      <c r="G1559" s="36">
        <f>333*18</f>
        <v>5994</v>
      </c>
      <c r="H1559" s="36">
        <v>1861</v>
      </c>
      <c r="I1559" s="36">
        <v>3240</v>
      </c>
      <c r="J1559" s="36">
        <v>500</v>
      </c>
      <c r="K1559" s="36">
        <f t="shared" si="277"/>
        <v>11595</v>
      </c>
      <c r="L1559" s="36">
        <v>3000</v>
      </c>
      <c r="M1559" s="9">
        <f t="shared" si="278"/>
        <v>0.25873221216041398</v>
      </c>
      <c r="N1559" s="5">
        <v>1</v>
      </c>
      <c r="O1559" s="10">
        <f t="shared" si="279"/>
        <v>0.25873221216041398</v>
      </c>
    </row>
    <row r="1560" spans="2:15" ht="13.5" hidden="1" customHeight="1">
      <c r="B1560" s="33">
        <f t="shared" si="280"/>
        <v>11</v>
      </c>
      <c r="C1560" s="35" t="s">
        <v>355</v>
      </c>
      <c r="D1560" s="35" t="s">
        <v>393</v>
      </c>
      <c r="F1560" s="30" t="s">
        <v>42</v>
      </c>
      <c r="G1560" s="36">
        <f>333*21</f>
        <v>6993</v>
      </c>
      <c r="H1560" s="36">
        <v>1861</v>
      </c>
      <c r="I1560" s="36">
        <v>3240</v>
      </c>
      <c r="J1560" s="36">
        <v>500</v>
      </c>
      <c r="K1560" s="36">
        <f t="shared" si="277"/>
        <v>12594</v>
      </c>
      <c r="L1560" s="36">
        <v>3000</v>
      </c>
      <c r="M1560" s="9">
        <f t="shared" si="278"/>
        <v>0.23820867079561697</v>
      </c>
      <c r="N1560" s="5">
        <v>1</v>
      </c>
      <c r="O1560" s="10">
        <f t="shared" si="279"/>
        <v>0.23820867079561697</v>
      </c>
    </row>
    <row r="1561" spans="2:15" ht="13.5" hidden="1" customHeight="1">
      <c r="B1561" s="33">
        <f t="shared" si="280"/>
        <v>12</v>
      </c>
      <c r="C1561" s="35" t="s">
        <v>356</v>
      </c>
      <c r="D1561" s="35" t="s">
        <v>394</v>
      </c>
      <c r="F1561" s="30" t="s">
        <v>42</v>
      </c>
      <c r="G1561" s="36">
        <f>333*21</f>
        <v>6993</v>
      </c>
      <c r="H1561" s="36">
        <v>1861</v>
      </c>
      <c r="I1561" s="36">
        <v>3240</v>
      </c>
      <c r="J1561" s="36">
        <v>500</v>
      </c>
      <c r="K1561" s="36">
        <f t="shared" si="277"/>
        <v>12594</v>
      </c>
      <c r="L1561" s="36">
        <v>3000</v>
      </c>
      <c r="M1561" s="9">
        <f t="shared" si="278"/>
        <v>0.23820867079561697</v>
      </c>
      <c r="N1561" s="5">
        <v>1</v>
      </c>
      <c r="O1561" s="10">
        <f t="shared" si="279"/>
        <v>0.23820867079561697</v>
      </c>
    </row>
    <row r="1562" spans="2:15" ht="13.5" hidden="1" customHeight="1">
      <c r="B1562" s="33">
        <f t="shared" si="280"/>
        <v>13</v>
      </c>
      <c r="C1562" s="35" t="s">
        <v>71</v>
      </c>
      <c r="D1562" s="35" t="s">
        <v>398</v>
      </c>
      <c r="F1562" s="30" t="s">
        <v>25</v>
      </c>
      <c r="G1562" s="36">
        <f>300*18</f>
        <v>5400</v>
      </c>
      <c r="H1562" s="36">
        <v>1861</v>
      </c>
      <c r="I1562" s="36">
        <v>3240</v>
      </c>
      <c r="J1562" s="36">
        <v>500</v>
      </c>
      <c r="K1562" s="36">
        <f t="shared" si="277"/>
        <v>11001</v>
      </c>
      <c r="L1562" s="36">
        <v>3000</v>
      </c>
      <c r="M1562" s="9">
        <f t="shared" si="278"/>
        <v>0.27270248159258248</v>
      </c>
      <c r="N1562" s="5">
        <v>1</v>
      </c>
      <c r="O1562" s="10">
        <f t="shared" si="279"/>
        <v>0.27270248159258248</v>
      </c>
    </row>
    <row r="1563" spans="2:15" ht="13.5" hidden="1" customHeight="1">
      <c r="B1563" s="33">
        <f t="shared" si="280"/>
        <v>14</v>
      </c>
      <c r="C1563" s="35" t="s">
        <v>364</v>
      </c>
      <c r="D1563" s="35" t="s">
        <v>407</v>
      </c>
      <c r="F1563" s="30" t="s">
        <v>25</v>
      </c>
      <c r="G1563" s="36">
        <f>300*18</f>
        <v>5400</v>
      </c>
      <c r="H1563" s="36">
        <v>1861</v>
      </c>
      <c r="I1563" s="36">
        <v>3240</v>
      </c>
      <c r="J1563" s="36">
        <v>500</v>
      </c>
      <c r="K1563" s="36">
        <f t="shared" si="277"/>
        <v>11001</v>
      </c>
      <c r="L1563" s="36">
        <v>3000</v>
      </c>
      <c r="M1563" s="9">
        <f t="shared" si="278"/>
        <v>0.27270248159258248</v>
      </c>
      <c r="N1563" s="5">
        <v>1</v>
      </c>
      <c r="O1563" s="10">
        <f t="shared" si="279"/>
        <v>0.27270248159258248</v>
      </c>
    </row>
    <row r="1564" spans="2:15" ht="13.5" hidden="1" customHeight="1">
      <c r="B1564" s="33">
        <f t="shared" si="280"/>
        <v>15</v>
      </c>
      <c r="C1564" s="35" t="s">
        <v>160</v>
      </c>
      <c r="D1564" s="35" t="s">
        <v>193</v>
      </c>
      <c r="F1564" s="30" t="s">
        <v>159</v>
      </c>
      <c r="G1564" s="36">
        <f>333*15</f>
        <v>4995</v>
      </c>
      <c r="H1564" s="36">
        <v>1861</v>
      </c>
      <c r="I1564" s="36">
        <v>3240</v>
      </c>
      <c r="J1564" s="36">
        <v>900</v>
      </c>
      <c r="K1564" s="36">
        <f t="shared" si="277"/>
        <v>10996</v>
      </c>
      <c r="L1564" s="36">
        <v>3000</v>
      </c>
      <c r="M1564" s="9">
        <f t="shared" si="278"/>
        <v>0.27282648235722079</v>
      </c>
      <c r="N1564" s="5">
        <v>1</v>
      </c>
      <c r="O1564" s="10">
        <f t="shared" si="279"/>
        <v>0.27282648235722079</v>
      </c>
    </row>
    <row r="1565" spans="2:15" ht="13.5" hidden="1" customHeight="1">
      <c r="B1565" s="33">
        <f t="shared" si="280"/>
        <v>16</v>
      </c>
      <c r="C1565" s="35" t="s">
        <v>335</v>
      </c>
      <c r="D1565" s="35" t="s">
        <v>366</v>
      </c>
      <c r="F1565" s="30" t="s">
        <v>159</v>
      </c>
      <c r="G1565" s="36">
        <f>333*15</f>
        <v>4995</v>
      </c>
      <c r="H1565" s="36">
        <v>1861</v>
      </c>
      <c r="I1565" s="36">
        <v>3240</v>
      </c>
      <c r="J1565" s="36">
        <v>900</v>
      </c>
      <c r="K1565" s="36">
        <f t="shared" si="277"/>
        <v>10996</v>
      </c>
      <c r="L1565" s="36">
        <v>3000</v>
      </c>
      <c r="M1565" s="9">
        <f t="shared" si="278"/>
        <v>0.27282648235722079</v>
      </c>
      <c r="N1565" s="5">
        <v>1</v>
      </c>
      <c r="O1565" s="10">
        <f t="shared" si="279"/>
        <v>0.27282648235722079</v>
      </c>
    </row>
    <row r="1566" spans="2:15" ht="13.5" hidden="1" customHeight="1">
      <c r="B1566" s="33">
        <f t="shared" si="280"/>
        <v>17</v>
      </c>
      <c r="C1566" s="35" t="s">
        <v>164</v>
      </c>
      <c r="D1566" s="35" t="s">
        <v>198</v>
      </c>
      <c r="F1566" s="30" t="s">
        <v>159</v>
      </c>
      <c r="G1566" s="36">
        <f>333*15</f>
        <v>4995</v>
      </c>
      <c r="H1566" s="36">
        <v>1861</v>
      </c>
      <c r="I1566" s="36">
        <v>3240</v>
      </c>
      <c r="J1566" s="36">
        <v>900</v>
      </c>
      <c r="K1566" s="36">
        <f t="shared" si="277"/>
        <v>10996</v>
      </c>
      <c r="L1566" s="36">
        <v>3000</v>
      </c>
      <c r="M1566" s="9">
        <f t="shared" si="278"/>
        <v>0.27282648235722079</v>
      </c>
      <c r="N1566" s="5">
        <v>1</v>
      </c>
      <c r="O1566" s="10">
        <f t="shared" si="279"/>
        <v>0.27282648235722079</v>
      </c>
    </row>
    <row r="1567" spans="2:15" ht="13.5" hidden="1" customHeight="1">
      <c r="B1567" s="33">
        <f t="shared" si="280"/>
        <v>18</v>
      </c>
      <c r="C1567" s="35" t="s">
        <v>357</v>
      </c>
      <c r="D1567" s="35" t="s">
        <v>397</v>
      </c>
      <c r="F1567" s="30" t="s">
        <v>159</v>
      </c>
      <c r="G1567" s="36">
        <f>333*15</f>
        <v>4995</v>
      </c>
      <c r="H1567" s="36">
        <v>1861</v>
      </c>
      <c r="I1567" s="36">
        <v>3240</v>
      </c>
      <c r="J1567" s="36">
        <v>900</v>
      </c>
      <c r="K1567" s="36">
        <f t="shared" si="277"/>
        <v>10996</v>
      </c>
      <c r="L1567" s="36">
        <v>3000</v>
      </c>
      <c r="M1567" s="9">
        <f t="shared" si="278"/>
        <v>0.27282648235722079</v>
      </c>
      <c r="N1567" s="5">
        <v>1</v>
      </c>
      <c r="O1567" s="10">
        <f t="shared" si="279"/>
        <v>0.27282648235722079</v>
      </c>
    </row>
    <row r="1568" spans="2:15" ht="13.5" hidden="1" customHeight="1">
      <c r="B1568" s="33">
        <f t="shared" si="280"/>
        <v>19</v>
      </c>
      <c r="C1568" s="35" t="s">
        <v>74</v>
      </c>
      <c r="D1568" s="35" t="s">
        <v>409</v>
      </c>
      <c r="F1568" s="30" t="s">
        <v>159</v>
      </c>
      <c r="G1568" s="36">
        <f>333*15</f>
        <v>4995</v>
      </c>
      <c r="H1568" s="36">
        <v>1861</v>
      </c>
      <c r="I1568" s="36">
        <v>3240</v>
      </c>
      <c r="J1568" s="36">
        <v>900</v>
      </c>
      <c r="K1568" s="36">
        <f t="shared" si="277"/>
        <v>10996</v>
      </c>
      <c r="L1568" s="36">
        <v>3000</v>
      </c>
      <c r="M1568" s="9">
        <f t="shared" si="278"/>
        <v>0.27282648235722079</v>
      </c>
      <c r="N1568" s="5">
        <v>1</v>
      </c>
      <c r="O1568" s="10">
        <f t="shared" si="279"/>
        <v>0.27282648235722079</v>
      </c>
    </row>
    <row r="1569" spans="2:15" ht="13.5" hidden="1" customHeight="1">
      <c r="B1569" s="33">
        <f t="shared" si="280"/>
        <v>20</v>
      </c>
      <c r="C1569" s="35" t="s">
        <v>99</v>
      </c>
      <c r="D1569" s="35" t="s">
        <v>396</v>
      </c>
      <c r="F1569" s="30" t="s">
        <v>216</v>
      </c>
      <c r="G1569" s="36">
        <f>300*12</f>
        <v>3600</v>
      </c>
      <c r="H1569" s="36">
        <v>1861</v>
      </c>
      <c r="I1569" s="36">
        <v>3240</v>
      </c>
      <c r="J1569" s="36">
        <v>0</v>
      </c>
      <c r="K1569" s="36">
        <f t="shared" si="277"/>
        <v>8701</v>
      </c>
      <c r="L1569" s="36">
        <v>3000</v>
      </c>
      <c r="M1569" s="9">
        <f t="shared" si="278"/>
        <v>0.34478795540742441</v>
      </c>
      <c r="N1569" s="5">
        <v>1</v>
      </c>
      <c r="O1569" s="10">
        <f t="shared" si="279"/>
        <v>0.34478795540742441</v>
      </c>
    </row>
    <row r="1570" spans="2:15" ht="13.5" hidden="1" customHeight="1">
      <c r="B1570" s="33">
        <f t="shared" si="280"/>
        <v>21</v>
      </c>
      <c r="C1570" s="35" t="s">
        <v>343</v>
      </c>
      <c r="D1570" s="35" t="s">
        <v>373</v>
      </c>
      <c r="F1570" s="30" t="s">
        <v>33</v>
      </c>
      <c r="G1570" s="36">
        <f t="shared" ref="G1570:G1575" si="281">333*18.5</f>
        <v>6160.5</v>
      </c>
      <c r="H1570" s="36">
        <v>1861</v>
      </c>
      <c r="I1570" s="36">
        <v>3240</v>
      </c>
      <c r="J1570" s="36">
        <v>750</v>
      </c>
      <c r="K1570" s="36">
        <f t="shared" si="277"/>
        <v>12011.5</v>
      </c>
      <c r="L1570" s="36">
        <v>3000</v>
      </c>
      <c r="M1570" s="9">
        <f t="shared" si="278"/>
        <v>0.24976064604753778</v>
      </c>
      <c r="N1570" s="5">
        <v>1</v>
      </c>
      <c r="O1570" s="10">
        <f t="shared" si="279"/>
        <v>0.24976064604753778</v>
      </c>
    </row>
    <row r="1571" spans="2:15" ht="13.5" hidden="1" customHeight="1">
      <c r="B1571" s="33">
        <f t="shared" si="280"/>
        <v>22</v>
      </c>
      <c r="C1571" s="35" t="s">
        <v>77</v>
      </c>
      <c r="D1571" s="35" t="s">
        <v>374</v>
      </c>
      <c r="F1571" s="30" t="s">
        <v>33</v>
      </c>
      <c r="G1571" s="36">
        <f t="shared" si="281"/>
        <v>6160.5</v>
      </c>
      <c r="H1571" s="36">
        <v>1861</v>
      </c>
      <c r="I1571" s="36">
        <v>3240</v>
      </c>
      <c r="J1571" s="36">
        <v>750</v>
      </c>
      <c r="K1571" s="36">
        <f t="shared" si="277"/>
        <v>12011.5</v>
      </c>
      <c r="L1571" s="36">
        <v>3000</v>
      </c>
      <c r="M1571" s="9">
        <f t="shared" si="278"/>
        <v>0.24976064604753778</v>
      </c>
      <c r="N1571" s="5">
        <v>1</v>
      </c>
      <c r="O1571" s="10">
        <f t="shared" si="279"/>
        <v>0.24976064604753778</v>
      </c>
    </row>
    <row r="1572" spans="2:15" ht="13.5" hidden="1" customHeight="1">
      <c r="B1572" s="33">
        <f t="shared" si="280"/>
        <v>23</v>
      </c>
      <c r="C1572" s="35" t="s">
        <v>347</v>
      </c>
      <c r="D1572" s="35" t="s">
        <v>381</v>
      </c>
      <c r="F1572" s="30" t="s">
        <v>33</v>
      </c>
      <c r="G1572" s="36">
        <f t="shared" si="281"/>
        <v>6160.5</v>
      </c>
      <c r="H1572" s="36">
        <v>1861</v>
      </c>
      <c r="I1572" s="36">
        <v>3240</v>
      </c>
      <c r="J1572" s="36">
        <v>750</v>
      </c>
      <c r="K1572" s="36">
        <f t="shared" si="277"/>
        <v>12011.5</v>
      </c>
      <c r="L1572" s="36">
        <v>3000</v>
      </c>
      <c r="M1572" s="9">
        <f t="shared" si="278"/>
        <v>0.24976064604753778</v>
      </c>
      <c r="N1572" s="5">
        <v>1</v>
      </c>
      <c r="O1572" s="10">
        <f t="shared" si="279"/>
        <v>0.24976064604753778</v>
      </c>
    </row>
    <row r="1573" spans="2:15" ht="13.5" hidden="1" customHeight="1">
      <c r="B1573" s="33">
        <f t="shared" si="280"/>
        <v>24</v>
      </c>
      <c r="C1573" s="35" t="s">
        <v>354</v>
      </c>
      <c r="D1573" s="35" t="s">
        <v>391</v>
      </c>
      <c r="F1573" s="30" t="s">
        <v>33</v>
      </c>
      <c r="G1573" s="36">
        <f t="shared" si="281"/>
        <v>6160.5</v>
      </c>
      <c r="H1573" s="36">
        <v>1861</v>
      </c>
      <c r="I1573" s="36">
        <v>3240</v>
      </c>
      <c r="J1573" s="36">
        <v>750</v>
      </c>
      <c r="K1573" s="36">
        <f t="shared" si="277"/>
        <v>12011.5</v>
      </c>
      <c r="L1573" s="36">
        <v>3000</v>
      </c>
      <c r="M1573" s="9">
        <f t="shared" si="278"/>
        <v>0.24976064604753778</v>
      </c>
      <c r="N1573" s="5">
        <v>1</v>
      </c>
      <c r="O1573" s="10">
        <f t="shared" si="279"/>
        <v>0.24976064604753778</v>
      </c>
    </row>
    <row r="1574" spans="2:15" ht="13.5" hidden="1" customHeight="1">
      <c r="B1574" s="33">
        <f t="shared" si="280"/>
        <v>25</v>
      </c>
      <c r="C1574" s="35" t="s">
        <v>259</v>
      </c>
      <c r="D1574" s="35" t="s">
        <v>320</v>
      </c>
      <c r="F1574" s="30" t="s">
        <v>33</v>
      </c>
      <c r="G1574" s="36">
        <f t="shared" si="281"/>
        <v>6160.5</v>
      </c>
      <c r="H1574" s="36">
        <v>1861</v>
      </c>
      <c r="I1574" s="36">
        <v>3240</v>
      </c>
      <c r="J1574" s="36">
        <v>750</v>
      </c>
      <c r="K1574" s="36">
        <f t="shared" si="277"/>
        <v>12011.5</v>
      </c>
      <c r="L1574" s="36">
        <v>3000</v>
      </c>
      <c r="M1574" s="9">
        <f t="shared" si="278"/>
        <v>0.24976064604753778</v>
      </c>
      <c r="N1574" s="5">
        <v>1</v>
      </c>
      <c r="O1574" s="10">
        <f t="shared" si="279"/>
        <v>0.24976064604753778</v>
      </c>
    </row>
    <row r="1575" spans="2:15" ht="13.5" hidden="1" customHeight="1">
      <c r="B1575" s="33">
        <f t="shared" si="280"/>
        <v>26</v>
      </c>
      <c r="C1575" s="35" t="s">
        <v>360</v>
      </c>
      <c r="D1575" s="35" t="s">
        <v>403</v>
      </c>
      <c r="F1575" s="30" t="s">
        <v>33</v>
      </c>
      <c r="G1575" s="36">
        <f t="shared" si="281"/>
        <v>6160.5</v>
      </c>
      <c r="H1575" s="36">
        <v>1861</v>
      </c>
      <c r="I1575" s="36">
        <v>3240</v>
      </c>
      <c r="J1575" s="36">
        <v>750</v>
      </c>
      <c r="K1575" s="36">
        <f t="shared" si="277"/>
        <v>12011.5</v>
      </c>
      <c r="L1575" s="36">
        <v>3000</v>
      </c>
      <c r="M1575" s="9">
        <f t="shared" si="278"/>
        <v>0.24976064604753778</v>
      </c>
      <c r="N1575" s="5">
        <v>1</v>
      </c>
      <c r="O1575" s="10">
        <f t="shared" si="279"/>
        <v>0.24976064604753778</v>
      </c>
    </row>
    <row r="1576" spans="2:15" ht="13.5" hidden="1" customHeight="1">
      <c r="B1576" s="33">
        <f t="shared" si="280"/>
        <v>27</v>
      </c>
      <c r="C1576" s="35" t="s">
        <v>340</v>
      </c>
      <c r="D1576" s="35" t="s">
        <v>369</v>
      </c>
      <c r="F1576" s="30" t="s">
        <v>44</v>
      </c>
      <c r="G1576" s="36">
        <f>333*18</f>
        <v>5994</v>
      </c>
      <c r="H1576" s="36">
        <v>1861</v>
      </c>
      <c r="I1576" s="36">
        <v>3240</v>
      </c>
      <c r="J1576" s="36">
        <v>750</v>
      </c>
      <c r="K1576" s="36">
        <f t="shared" si="277"/>
        <v>11845</v>
      </c>
      <c r="L1576" s="36">
        <v>3000</v>
      </c>
      <c r="M1576" s="9">
        <f t="shared" si="278"/>
        <v>0.25327142254115659</v>
      </c>
      <c r="N1576" s="5">
        <v>1</v>
      </c>
      <c r="O1576" s="10">
        <f t="shared" si="279"/>
        <v>0.25327142254115659</v>
      </c>
    </row>
    <row r="1577" spans="2:15" ht="13.5" hidden="1" customHeight="1">
      <c r="B1577" s="33">
        <f t="shared" si="280"/>
        <v>28</v>
      </c>
      <c r="C1577" s="35" t="s">
        <v>167</v>
      </c>
      <c r="D1577" s="35" t="s">
        <v>201</v>
      </c>
      <c r="F1577" s="30" t="s">
        <v>44</v>
      </c>
      <c r="G1577" s="36">
        <f>333*18</f>
        <v>5994</v>
      </c>
      <c r="H1577" s="36">
        <v>1861</v>
      </c>
      <c r="I1577" s="36">
        <v>3240</v>
      </c>
      <c r="J1577" s="36">
        <v>750</v>
      </c>
      <c r="K1577" s="36">
        <f t="shared" si="277"/>
        <v>11845</v>
      </c>
      <c r="L1577" s="36">
        <v>3000</v>
      </c>
      <c r="M1577" s="9">
        <f t="shared" si="278"/>
        <v>0.25327142254115659</v>
      </c>
      <c r="N1577" s="5">
        <v>1</v>
      </c>
      <c r="O1577" s="10">
        <f t="shared" si="279"/>
        <v>0.25327142254115659</v>
      </c>
    </row>
    <row r="1578" spans="2:15" ht="13.5" hidden="1" customHeight="1">
      <c r="B1578" s="33">
        <f t="shared" si="280"/>
        <v>29</v>
      </c>
      <c r="C1578" s="35" t="s">
        <v>79</v>
      </c>
      <c r="D1578" s="35" t="s">
        <v>379</v>
      </c>
      <c r="F1578" s="30" t="s">
        <v>28</v>
      </c>
      <c r="G1578" s="36">
        <f>300*18</f>
        <v>5400</v>
      </c>
      <c r="H1578" s="36">
        <v>1861</v>
      </c>
      <c r="I1578" s="36">
        <v>3240</v>
      </c>
      <c r="J1578" s="36">
        <v>750</v>
      </c>
      <c r="K1578" s="36">
        <f t="shared" si="277"/>
        <v>11251</v>
      </c>
      <c r="L1578" s="36">
        <v>3000</v>
      </c>
      <c r="M1578" s="9">
        <f t="shared" si="278"/>
        <v>0.26664296506977159</v>
      </c>
      <c r="N1578" s="5">
        <v>1</v>
      </c>
      <c r="O1578" s="10">
        <f t="shared" si="279"/>
        <v>0.26664296506977159</v>
      </c>
    </row>
    <row r="1579" spans="2:15" ht="13.5" hidden="1" customHeight="1">
      <c r="B1579" s="33">
        <f t="shared" si="280"/>
        <v>30</v>
      </c>
      <c r="C1579" s="35" t="s">
        <v>336</v>
      </c>
      <c r="D1579" s="35" t="s">
        <v>367</v>
      </c>
      <c r="F1579" s="30" t="s">
        <v>31</v>
      </c>
      <c r="G1579" s="36">
        <f>333*20.5</f>
        <v>6826.5</v>
      </c>
      <c r="H1579" s="36">
        <v>1861</v>
      </c>
      <c r="I1579" s="36">
        <v>3240</v>
      </c>
      <c r="J1579" s="36">
        <v>900</v>
      </c>
      <c r="K1579" s="36">
        <f t="shared" si="277"/>
        <v>12827.5</v>
      </c>
      <c r="L1579" s="36">
        <v>3000</v>
      </c>
      <c r="M1579" s="9">
        <f t="shared" si="278"/>
        <v>0.23387253946599104</v>
      </c>
      <c r="N1579" s="5">
        <v>1</v>
      </c>
      <c r="O1579" s="10">
        <f t="shared" si="279"/>
        <v>0.23387253946599104</v>
      </c>
    </row>
    <row r="1580" spans="2:15" ht="13.5" hidden="1" customHeight="1">
      <c r="B1580" s="33">
        <f t="shared" si="280"/>
        <v>31</v>
      </c>
      <c r="C1580" s="35" t="s">
        <v>238</v>
      </c>
      <c r="D1580" s="35" t="s">
        <v>386</v>
      </c>
      <c r="F1580" s="30" t="s">
        <v>31</v>
      </c>
      <c r="G1580" s="36">
        <f t="shared" ref="G1580:G1581" si="282">333*20.5</f>
        <v>6826.5</v>
      </c>
      <c r="H1580" s="36">
        <v>1861</v>
      </c>
      <c r="I1580" s="36">
        <v>3240</v>
      </c>
      <c r="J1580" s="36">
        <v>900</v>
      </c>
      <c r="K1580" s="36">
        <f t="shared" si="277"/>
        <v>12827.5</v>
      </c>
      <c r="L1580" s="36">
        <v>3000</v>
      </c>
      <c r="M1580" s="9">
        <f t="shared" si="278"/>
        <v>0.23387253946599104</v>
      </c>
      <c r="N1580" s="5">
        <v>1</v>
      </c>
      <c r="O1580" s="10">
        <f t="shared" si="279"/>
        <v>0.23387253946599104</v>
      </c>
    </row>
    <row r="1581" spans="2:15" ht="13.5" hidden="1" customHeight="1">
      <c r="B1581" s="33">
        <f t="shared" si="280"/>
        <v>32</v>
      </c>
      <c r="C1581" s="35" t="s">
        <v>361</v>
      </c>
      <c r="D1581" s="35" t="s">
        <v>404</v>
      </c>
      <c r="F1581" s="30" t="s">
        <v>31</v>
      </c>
      <c r="G1581" s="36">
        <f t="shared" si="282"/>
        <v>6826.5</v>
      </c>
      <c r="H1581" s="36">
        <v>1861</v>
      </c>
      <c r="I1581" s="36">
        <v>3240</v>
      </c>
      <c r="J1581" s="36">
        <v>900</v>
      </c>
      <c r="K1581" s="36">
        <f t="shared" si="277"/>
        <v>12827.5</v>
      </c>
      <c r="L1581" s="36">
        <v>3000</v>
      </c>
      <c r="M1581" s="9">
        <f t="shared" si="278"/>
        <v>0.23387253946599104</v>
      </c>
      <c r="N1581" s="5">
        <v>1</v>
      </c>
      <c r="O1581" s="10">
        <f t="shared" si="279"/>
        <v>0.23387253946599104</v>
      </c>
    </row>
    <row r="1582" spans="2:15" ht="13.5" hidden="1" customHeight="1">
      <c r="B1582" s="33">
        <f t="shared" si="280"/>
        <v>33</v>
      </c>
      <c r="C1582" s="35" t="s">
        <v>337</v>
      </c>
      <c r="D1582" s="35" t="s">
        <v>410</v>
      </c>
      <c r="F1582" s="30" t="s">
        <v>26</v>
      </c>
      <c r="G1582" s="36">
        <f>333*19</f>
        <v>6327</v>
      </c>
      <c r="H1582" s="36">
        <v>1861</v>
      </c>
      <c r="I1582" s="36">
        <v>3240</v>
      </c>
      <c r="J1582" s="36">
        <v>1800</v>
      </c>
      <c r="K1582" s="36">
        <f t="shared" si="277"/>
        <v>13228</v>
      </c>
      <c r="L1582" s="36">
        <v>3000</v>
      </c>
      <c r="M1582" s="9">
        <f t="shared" si="278"/>
        <v>0.22679165406713034</v>
      </c>
      <c r="N1582" s="5">
        <v>1</v>
      </c>
      <c r="O1582" s="10">
        <f t="shared" si="279"/>
        <v>0.22679165406713034</v>
      </c>
    </row>
    <row r="1583" spans="2:15" ht="13.5" hidden="1" customHeight="1">
      <c r="B1583" s="33">
        <f t="shared" si="280"/>
        <v>34</v>
      </c>
      <c r="C1583" s="35" t="s">
        <v>346</v>
      </c>
      <c r="D1583" s="35" t="s">
        <v>380</v>
      </c>
      <c r="F1583" s="30" t="s">
        <v>26</v>
      </c>
      <c r="G1583" s="36">
        <f t="shared" ref="G1583:G1586" si="283">333*19</f>
        <v>6327</v>
      </c>
      <c r="H1583" s="36">
        <v>1861</v>
      </c>
      <c r="I1583" s="36">
        <v>3240</v>
      </c>
      <c r="J1583" s="36">
        <v>1800</v>
      </c>
      <c r="K1583" s="36">
        <f t="shared" si="277"/>
        <v>13228</v>
      </c>
      <c r="L1583" s="36">
        <v>3000</v>
      </c>
      <c r="M1583" s="9">
        <f t="shared" si="278"/>
        <v>0.22679165406713034</v>
      </c>
      <c r="N1583" s="5">
        <v>1</v>
      </c>
      <c r="O1583" s="10">
        <f t="shared" si="279"/>
        <v>0.22679165406713034</v>
      </c>
    </row>
    <row r="1584" spans="2:15" ht="13.5" hidden="1" customHeight="1">
      <c r="B1584" s="33">
        <f t="shared" si="280"/>
        <v>35</v>
      </c>
      <c r="C1584" s="35" t="s">
        <v>170</v>
      </c>
      <c r="D1584" s="35" t="s">
        <v>389</v>
      </c>
      <c r="F1584" s="30" t="s">
        <v>26</v>
      </c>
      <c r="G1584" s="36">
        <f t="shared" si="283"/>
        <v>6327</v>
      </c>
      <c r="H1584" s="36">
        <v>1861</v>
      </c>
      <c r="I1584" s="36">
        <v>3240</v>
      </c>
      <c r="J1584" s="36">
        <v>1800</v>
      </c>
      <c r="K1584" s="36">
        <f t="shared" si="277"/>
        <v>13228</v>
      </c>
      <c r="L1584" s="36">
        <v>3000</v>
      </c>
      <c r="M1584" s="9">
        <f t="shared" si="278"/>
        <v>0.22679165406713034</v>
      </c>
      <c r="N1584" s="5">
        <v>1</v>
      </c>
      <c r="O1584" s="10">
        <f t="shared" si="279"/>
        <v>0.22679165406713034</v>
      </c>
    </row>
    <row r="1585" spans="1:15" ht="13.5" hidden="1" customHeight="1">
      <c r="B1585" s="33">
        <f t="shared" si="280"/>
        <v>36</v>
      </c>
      <c r="C1585" s="35" t="s">
        <v>258</v>
      </c>
      <c r="D1585" s="35" t="s">
        <v>401</v>
      </c>
      <c r="F1585" s="30" t="s">
        <v>26</v>
      </c>
      <c r="G1585" s="36">
        <f t="shared" si="283"/>
        <v>6327</v>
      </c>
      <c r="H1585" s="36">
        <v>1861</v>
      </c>
      <c r="I1585" s="36">
        <v>3240</v>
      </c>
      <c r="J1585" s="36">
        <v>1800</v>
      </c>
      <c r="K1585" s="36">
        <f t="shared" si="277"/>
        <v>13228</v>
      </c>
      <c r="L1585" s="36">
        <v>3000</v>
      </c>
      <c r="M1585" s="9">
        <f t="shared" si="278"/>
        <v>0.22679165406713034</v>
      </c>
      <c r="N1585" s="5">
        <v>1</v>
      </c>
      <c r="O1585" s="10">
        <f t="shared" si="279"/>
        <v>0.22679165406713034</v>
      </c>
    </row>
    <row r="1586" spans="1:15" ht="13.5" hidden="1" customHeight="1">
      <c r="B1586" s="33">
        <f t="shared" si="280"/>
        <v>37</v>
      </c>
      <c r="C1586" s="35" t="s">
        <v>174</v>
      </c>
      <c r="D1586" s="35" t="s">
        <v>392</v>
      </c>
      <c r="F1586" s="30" t="s">
        <v>333</v>
      </c>
      <c r="G1586" s="36">
        <f t="shared" si="283"/>
        <v>6327</v>
      </c>
      <c r="H1586" s="36">
        <v>1861</v>
      </c>
      <c r="I1586" s="36">
        <v>3240</v>
      </c>
      <c r="J1586" s="36">
        <v>1800</v>
      </c>
      <c r="K1586" s="36">
        <f t="shared" si="277"/>
        <v>13228</v>
      </c>
      <c r="L1586" s="36">
        <v>3000</v>
      </c>
      <c r="M1586" s="9">
        <f t="shared" si="278"/>
        <v>0.22679165406713034</v>
      </c>
      <c r="N1586" s="5">
        <v>1</v>
      </c>
      <c r="O1586" s="10">
        <f t="shared" si="279"/>
        <v>0.22679165406713034</v>
      </c>
    </row>
    <row r="1587" spans="1:15" ht="13.5" hidden="1" customHeight="1">
      <c r="B1587" s="33">
        <f t="shared" si="280"/>
        <v>38</v>
      </c>
      <c r="C1587" s="35" t="s">
        <v>338</v>
      </c>
      <c r="D1587" s="35" t="s">
        <v>368</v>
      </c>
      <c r="F1587" s="30" t="s">
        <v>32</v>
      </c>
      <c r="G1587" s="36">
        <f>300*17</f>
        <v>5100</v>
      </c>
      <c r="H1587" s="36">
        <v>1861</v>
      </c>
      <c r="I1587" s="36">
        <v>3240</v>
      </c>
      <c r="J1587" s="36">
        <v>900</v>
      </c>
      <c r="K1587" s="36">
        <f t="shared" si="277"/>
        <v>11101</v>
      </c>
      <c r="L1587" s="36">
        <v>3000</v>
      </c>
      <c r="M1587" s="9">
        <f t="shared" si="278"/>
        <v>0.27024592379064949</v>
      </c>
      <c r="N1587" s="5">
        <v>1</v>
      </c>
      <c r="O1587" s="10">
        <f t="shared" si="279"/>
        <v>0.27024592379064949</v>
      </c>
    </row>
    <row r="1588" spans="1:15" ht="13.5" hidden="1" customHeight="1">
      <c r="B1588" s="33">
        <f t="shared" si="280"/>
        <v>39</v>
      </c>
      <c r="C1588" s="35" t="s">
        <v>345</v>
      </c>
      <c r="D1588" s="35" t="s">
        <v>378</v>
      </c>
      <c r="F1588" s="30" t="s">
        <v>32</v>
      </c>
      <c r="G1588" s="36">
        <f t="shared" ref="G1588:G1592" si="284">300*17</f>
        <v>5100</v>
      </c>
      <c r="H1588" s="36">
        <v>1861</v>
      </c>
      <c r="I1588" s="36">
        <v>3240</v>
      </c>
      <c r="J1588" s="36">
        <v>900</v>
      </c>
      <c r="K1588" s="36">
        <f t="shared" si="277"/>
        <v>11101</v>
      </c>
      <c r="L1588" s="36">
        <v>3000</v>
      </c>
      <c r="M1588" s="9">
        <f t="shared" si="278"/>
        <v>0.27024592379064949</v>
      </c>
      <c r="N1588" s="5">
        <v>1</v>
      </c>
      <c r="O1588" s="10">
        <f t="shared" si="279"/>
        <v>0.27024592379064949</v>
      </c>
    </row>
    <row r="1589" spans="1:15" ht="13.5" hidden="1" customHeight="1">
      <c r="B1589" s="33">
        <f t="shared" si="280"/>
        <v>40</v>
      </c>
      <c r="C1589" s="35" t="s">
        <v>350</v>
      </c>
      <c r="D1589" s="35" t="s">
        <v>384</v>
      </c>
      <c r="F1589" s="30" t="s">
        <v>32</v>
      </c>
      <c r="G1589" s="36">
        <f t="shared" si="284"/>
        <v>5100</v>
      </c>
      <c r="H1589" s="36">
        <v>1861</v>
      </c>
      <c r="I1589" s="36">
        <v>3240</v>
      </c>
      <c r="J1589" s="36">
        <v>900</v>
      </c>
      <c r="K1589" s="36">
        <f t="shared" si="277"/>
        <v>11101</v>
      </c>
      <c r="L1589" s="36">
        <v>3000</v>
      </c>
      <c r="M1589" s="9">
        <f t="shared" si="278"/>
        <v>0.27024592379064949</v>
      </c>
      <c r="N1589" s="5">
        <v>1</v>
      </c>
      <c r="O1589" s="10">
        <f t="shared" si="279"/>
        <v>0.27024592379064949</v>
      </c>
    </row>
    <row r="1590" spans="1:15" ht="13.5" hidden="1" customHeight="1">
      <c r="B1590" s="33">
        <f t="shared" si="280"/>
        <v>41</v>
      </c>
      <c r="C1590" s="35" t="s">
        <v>115</v>
      </c>
      <c r="D1590" s="35" t="s">
        <v>388</v>
      </c>
      <c r="F1590" s="30" t="s">
        <v>32</v>
      </c>
      <c r="G1590" s="36">
        <f t="shared" si="284"/>
        <v>5100</v>
      </c>
      <c r="H1590" s="36">
        <v>1861</v>
      </c>
      <c r="I1590" s="36">
        <v>3240</v>
      </c>
      <c r="J1590" s="36">
        <v>900</v>
      </c>
      <c r="K1590" s="36">
        <f t="shared" si="277"/>
        <v>11101</v>
      </c>
      <c r="L1590" s="36">
        <v>3000</v>
      </c>
      <c r="M1590" s="9">
        <f t="shared" si="278"/>
        <v>0.27024592379064949</v>
      </c>
      <c r="N1590" s="5">
        <v>1</v>
      </c>
      <c r="O1590" s="10">
        <f t="shared" si="279"/>
        <v>0.27024592379064949</v>
      </c>
    </row>
    <row r="1591" spans="1:15" ht="13.5" hidden="1" customHeight="1">
      <c r="B1591" s="33">
        <f t="shared" si="280"/>
        <v>42</v>
      </c>
      <c r="C1591" s="35" t="s">
        <v>359</v>
      </c>
      <c r="D1591" s="35" t="s">
        <v>400</v>
      </c>
      <c r="F1591" s="30" t="s">
        <v>32</v>
      </c>
      <c r="G1591" s="36">
        <f t="shared" si="284"/>
        <v>5100</v>
      </c>
      <c r="H1591" s="36">
        <v>1861</v>
      </c>
      <c r="I1591" s="36">
        <v>3240</v>
      </c>
      <c r="J1591" s="36">
        <v>900</v>
      </c>
      <c r="K1591" s="36">
        <f t="shared" si="277"/>
        <v>11101</v>
      </c>
      <c r="L1591" s="36">
        <v>3000</v>
      </c>
      <c r="M1591" s="9">
        <f t="shared" si="278"/>
        <v>0.27024592379064949</v>
      </c>
      <c r="N1591" s="5">
        <v>1</v>
      </c>
      <c r="O1591" s="10">
        <f t="shared" si="279"/>
        <v>0.27024592379064949</v>
      </c>
    </row>
    <row r="1592" spans="1:15" ht="13.5" hidden="1" customHeight="1">
      <c r="B1592" s="33">
        <f t="shared" si="280"/>
        <v>43</v>
      </c>
      <c r="C1592" s="35" t="s">
        <v>362</v>
      </c>
      <c r="D1592" s="35" t="s">
        <v>405</v>
      </c>
      <c r="F1592" s="30" t="s">
        <v>32</v>
      </c>
      <c r="G1592" s="36">
        <f t="shared" si="284"/>
        <v>5100</v>
      </c>
      <c r="H1592" s="36">
        <v>1861</v>
      </c>
      <c r="I1592" s="36">
        <v>3240</v>
      </c>
      <c r="J1592" s="36">
        <v>900</v>
      </c>
      <c r="K1592" s="36">
        <f t="shared" si="277"/>
        <v>11101</v>
      </c>
      <c r="L1592" s="36">
        <v>3000</v>
      </c>
      <c r="M1592" s="9">
        <f t="shared" si="278"/>
        <v>0.27024592379064949</v>
      </c>
      <c r="N1592" s="5">
        <v>1</v>
      </c>
      <c r="O1592" s="10">
        <f t="shared" si="279"/>
        <v>0.27024592379064949</v>
      </c>
    </row>
    <row r="1593" spans="1:15" ht="13.5" hidden="1" customHeight="1">
      <c r="B1593" s="33">
        <f t="shared" si="280"/>
        <v>44</v>
      </c>
      <c r="C1593" s="35" t="s">
        <v>334</v>
      </c>
      <c r="D1593" s="35" t="s">
        <v>365</v>
      </c>
      <c r="F1593" s="30" t="s">
        <v>24</v>
      </c>
      <c r="G1593" s="36">
        <f>277*6</f>
        <v>1662</v>
      </c>
      <c r="H1593" s="36">
        <v>1861</v>
      </c>
      <c r="I1593" s="36">
        <v>7890</v>
      </c>
      <c r="J1593" s="36">
        <v>0</v>
      </c>
      <c r="K1593" s="36">
        <f t="shared" si="277"/>
        <v>11413</v>
      </c>
      <c r="L1593" s="36">
        <v>3000</v>
      </c>
      <c r="M1593" s="9">
        <f t="shared" si="278"/>
        <v>0.26285814422150178</v>
      </c>
      <c r="N1593" s="5">
        <v>1</v>
      </c>
      <c r="O1593" s="10">
        <f t="shared" si="279"/>
        <v>0.26285814422150178</v>
      </c>
    </row>
    <row r="1594" spans="1:15" ht="13.5" hidden="1" customHeight="1">
      <c r="B1594" s="33">
        <f t="shared" si="280"/>
        <v>45</v>
      </c>
      <c r="C1594" s="35" t="s">
        <v>344</v>
      </c>
      <c r="D1594" s="35" t="s">
        <v>375</v>
      </c>
      <c r="F1594" s="30" t="s">
        <v>43</v>
      </c>
      <c r="G1594" s="36">
        <f>333*18.5</f>
        <v>6160.5</v>
      </c>
      <c r="H1594" s="36">
        <v>1861</v>
      </c>
      <c r="I1594" s="36">
        <v>3240</v>
      </c>
      <c r="J1594" s="36">
        <v>500</v>
      </c>
      <c r="K1594" s="36">
        <f t="shared" si="277"/>
        <v>11761.5</v>
      </c>
      <c r="L1594" s="36">
        <v>3000</v>
      </c>
      <c r="M1594" s="9">
        <f t="shared" si="278"/>
        <v>0.25506950644050502</v>
      </c>
      <c r="N1594" s="5">
        <v>1</v>
      </c>
      <c r="O1594" s="10">
        <f t="shared" si="279"/>
        <v>0.25506950644050502</v>
      </c>
    </row>
    <row r="1595" spans="1:15" ht="13.5" hidden="1" customHeight="1">
      <c r="B1595" s="33">
        <f t="shared" si="280"/>
        <v>46</v>
      </c>
      <c r="C1595" s="35" t="s">
        <v>352</v>
      </c>
      <c r="D1595" s="35" t="s">
        <v>387</v>
      </c>
      <c r="F1595" s="30" t="s">
        <v>43</v>
      </c>
      <c r="G1595" s="36">
        <f>333*18.5</f>
        <v>6160.5</v>
      </c>
      <c r="H1595" s="36">
        <v>1861</v>
      </c>
      <c r="I1595" s="36">
        <v>3240</v>
      </c>
      <c r="J1595" s="36">
        <v>500</v>
      </c>
      <c r="K1595" s="36">
        <f t="shared" si="277"/>
        <v>11761.5</v>
      </c>
      <c r="L1595" s="36">
        <v>3000</v>
      </c>
      <c r="M1595" s="9">
        <f t="shared" si="278"/>
        <v>0.25506950644050502</v>
      </c>
      <c r="N1595" s="5">
        <v>1</v>
      </c>
      <c r="O1595" s="10">
        <f t="shared" si="279"/>
        <v>0.25506950644050502</v>
      </c>
    </row>
    <row r="1596" spans="1:15" ht="13.5" hidden="1" customHeight="1">
      <c r="B1596" s="33">
        <f t="shared" si="280"/>
        <v>47</v>
      </c>
      <c r="C1596" s="35" t="s">
        <v>101</v>
      </c>
      <c r="D1596" s="35" t="s">
        <v>370</v>
      </c>
      <c r="F1596" s="30" t="s">
        <v>27</v>
      </c>
      <c r="G1596" s="36">
        <f>333*18</f>
        <v>5994</v>
      </c>
      <c r="H1596" s="36">
        <v>1861</v>
      </c>
      <c r="I1596" s="36">
        <v>3240</v>
      </c>
      <c r="J1596" s="36">
        <v>500</v>
      </c>
      <c r="K1596" s="36">
        <f t="shared" si="277"/>
        <v>11595</v>
      </c>
      <c r="L1596" s="36">
        <v>3000</v>
      </c>
      <c r="M1596" s="9">
        <f t="shared" si="278"/>
        <v>0.25873221216041398</v>
      </c>
      <c r="N1596" s="5">
        <v>1</v>
      </c>
      <c r="O1596" s="10">
        <f t="shared" si="279"/>
        <v>0.25873221216041398</v>
      </c>
    </row>
    <row r="1597" spans="1:15" ht="13.5" hidden="1" customHeight="1">
      <c r="B1597" s="33">
        <f t="shared" si="280"/>
        <v>48</v>
      </c>
      <c r="C1597" s="35" t="s">
        <v>344</v>
      </c>
      <c r="D1597" s="35" t="s">
        <v>376</v>
      </c>
      <c r="F1597" s="30" t="s">
        <v>27</v>
      </c>
      <c r="G1597" s="36">
        <f>333*15</f>
        <v>4995</v>
      </c>
      <c r="H1597" s="36">
        <v>1861</v>
      </c>
      <c r="I1597" s="36">
        <v>3240</v>
      </c>
      <c r="J1597" s="36">
        <v>500</v>
      </c>
      <c r="K1597" s="36">
        <f t="shared" si="277"/>
        <v>10596</v>
      </c>
      <c r="L1597" s="36">
        <v>3000</v>
      </c>
      <c r="M1597" s="9">
        <f t="shared" si="278"/>
        <v>0.28312570781426954</v>
      </c>
      <c r="N1597" s="5">
        <v>1</v>
      </c>
      <c r="O1597" s="10">
        <f t="shared" si="279"/>
        <v>0.28312570781426954</v>
      </c>
    </row>
    <row r="1598" spans="1:15" ht="13.5" hidden="1" customHeight="1">
      <c r="B1598" s="33">
        <f t="shared" si="280"/>
        <v>49</v>
      </c>
      <c r="C1598" s="35" t="s">
        <v>351</v>
      </c>
      <c r="D1598" s="35" t="s">
        <v>385</v>
      </c>
      <c r="F1598" s="30" t="s">
        <v>30</v>
      </c>
      <c r="G1598" s="36">
        <f>300*21</f>
        <v>6300</v>
      </c>
      <c r="H1598" s="36">
        <v>1861</v>
      </c>
      <c r="I1598" s="36">
        <v>3240</v>
      </c>
      <c r="J1598" s="36">
        <v>500</v>
      </c>
      <c r="K1598" s="36">
        <f t="shared" si="277"/>
        <v>11901</v>
      </c>
      <c r="L1598" s="36">
        <v>3000</v>
      </c>
      <c r="M1598" s="9">
        <f t="shared" si="278"/>
        <v>0.25207965717166625</v>
      </c>
      <c r="N1598" s="5">
        <v>1</v>
      </c>
      <c r="O1598" s="10">
        <f t="shared" si="279"/>
        <v>0.25207965717166625</v>
      </c>
    </row>
    <row r="1599" spans="1:15" ht="13.5" hidden="1" customHeight="1">
      <c r="B1599" s="33">
        <f t="shared" si="280"/>
        <v>50</v>
      </c>
      <c r="C1599" s="35" t="s">
        <v>90</v>
      </c>
      <c r="D1599" s="35" t="s">
        <v>408</v>
      </c>
      <c r="F1599" s="30" t="s">
        <v>30</v>
      </c>
      <c r="G1599" s="36">
        <f>300*21</f>
        <v>6300</v>
      </c>
      <c r="H1599" s="36">
        <v>1861</v>
      </c>
      <c r="I1599" s="36">
        <v>3240</v>
      </c>
      <c r="J1599" s="36">
        <v>500</v>
      </c>
      <c r="K1599" s="36">
        <f t="shared" si="277"/>
        <v>11901</v>
      </c>
      <c r="L1599" s="36">
        <v>3000</v>
      </c>
      <c r="M1599" s="9">
        <f t="shared" si="278"/>
        <v>0.25207965717166625</v>
      </c>
      <c r="N1599" s="5">
        <v>1</v>
      </c>
      <c r="O1599" s="10">
        <f t="shared" si="279"/>
        <v>0.25207965717166625</v>
      </c>
    </row>
    <row r="1600" spans="1:15" ht="16.5" hidden="1" customHeight="1">
      <c r="A1600" s="66" t="s">
        <v>45</v>
      </c>
      <c r="B1600" s="66"/>
      <c r="C1600" s="66"/>
      <c r="D1600" s="66"/>
      <c r="E1600" s="66"/>
      <c r="F1600" s="66"/>
      <c r="G1600" s="66"/>
      <c r="H1600" s="66"/>
      <c r="I1600" s="66"/>
      <c r="J1600" s="66"/>
      <c r="K1600" s="66"/>
      <c r="L1600" s="66"/>
      <c r="M1600" s="66"/>
      <c r="N1600" s="22">
        <f>SUM(N1550:N1599)</f>
        <v>50</v>
      </c>
      <c r="O1600" s="23">
        <f>SUM(O1550:O1599)</f>
        <v>12.94832280850609</v>
      </c>
    </row>
    <row r="1601" spans="1:15" ht="13.5" hidden="1" customHeight="1">
      <c r="A1601" s="44" t="s">
        <v>138</v>
      </c>
      <c r="B1601" s="44"/>
      <c r="C1601" s="44"/>
      <c r="D1601" s="44"/>
      <c r="E1601" s="44"/>
      <c r="F1601" s="44"/>
      <c r="G1601" s="44"/>
      <c r="H1601" s="44"/>
      <c r="I1601" s="44"/>
      <c r="J1601" s="44"/>
      <c r="K1601" s="44"/>
      <c r="L1601" s="44"/>
      <c r="M1601" s="44"/>
      <c r="N1601" s="44"/>
      <c r="O1601" s="44"/>
    </row>
    <row r="1602" spans="1:15" ht="13.5" hidden="1" customHeight="1">
      <c r="B1602" s="33">
        <v>1</v>
      </c>
      <c r="C1602" s="35" t="s">
        <v>70</v>
      </c>
      <c r="D1602" s="35" t="s">
        <v>395</v>
      </c>
      <c r="F1602" s="30" t="s">
        <v>140</v>
      </c>
      <c r="G1602" s="36">
        <f>300*9</f>
        <v>2700</v>
      </c>
      <c r="H1602" s="36">
        <v>1861</v>
      </c>
      <c r="I1602" s="36">
        <v>3240</v>
      </c>
      <c r="J1602" s="36">
        <v>0</v>
      </c>
      <c r="K1602" s="36">
        <f t="shared" ref="K1602:K1651" si="285">SUM(G1602:J1602)</f>
        <v>7801</v>
      </c>
      <c r="L1602" s="36">
        <v>3000</v>
      </c>
      <c r="M1602" s="9">
        <f t="shared" ref="M1602:M1651" si="286">L1602/K1602</f>
        <v>0.38456608127163183</v>
      </c>
      <c r="N1602" s="5">
        <v>1</v>
      </c>
      <c r="O1602" s="10">
        <f t="shared" ref="O1602:O1651" si="287">N1602*M1602</f>
        <v>0.38456608127163183</v>
      </c>
    </row>
    <row r="1603" spans="1:15" ht="13.5" hidden="1" customHeight="1">
      <c r="B1603" s="33">
        <f>B1602+1</f>
        <v>2</v>
      </c>
      <c r="C1603" s="35" t="s">
        <v>341</v>
      </c>
      <c r="D1603" s="35" t="s">
        <v>371</v>
      </c>
      <c r="F1603" s="30" t="s">
        <v>332</v>
      </c>
      <c r="G1603" s="36">
        <f>450*11</f>
        <v>4950</v>
      </c>
      <c r="H1603" s="36">
        <v>1861</v>
      </c>
      <c r="I1603" s="36">
        <v>3240</v>
      </c>
      <c r="J1603" s="36">
        <v>500</v>
      </c>
      <c r="K1603" s="36">
        <f t="shared" si="285"/>
        <v>10551</v>
      </c>
      <c r="L1603" s="36">
        <v>3000</v>
      </c>
      <c r="M1603" s="9">
        <f t="shared" si="286"/>
        <v>0.28433323855558718</v>
      </c>
      <c r="N1603" s="5">
        <v>1</v>
      </c>
      <c r="O1603" s="10">
        <f t="shared" si="287"/>
        <v>0.28433323855558718</v>
      </c>
    </row>
    <row r="1604" spans="1:15" ht="13.5" hidden="1" customHeight="1">
      <c r="B1604" s="33">
        <f t="shared" ref="B1604:B1651" si="288">B1603+1</f>
        <v>3</v>
      </c>
      <c r="C1604" s="35" t="s">
        <v>348</v>
      </c>
      <c r="D1604" s="35" t="s">
        <v>382</v>
      </c>
      <c r="F1604" s="30" t="s">
        <v>332</v>
      </c>
      <c r="G1604" s="36">
        <f>450*11</f>
        <v>4950</v>
      </c>
      <c r="H1604" s="36">
        <v>1861</v>
      </c>
      <c r="I1604" s="36">
        <v>3240</v>
      </c>
      <c r="J1604" s="36">
        <v>500</v>
      </c>
      <c r="K1604" s="36">
        <f t="shared" si="285"/>
        <v>10551</v>
      </c>
      <c r="L1604" s="36">
        <v>3000</v>
      </c>
      <c r="M1604" s="9">
        <f t="shared" si="286"/>
        <v>0.28433323855558718</v>
      </c>
      <c r="N1604" s="5">
        <v>1</v>
      </c>
      <c r="O1604" s="10">
        <f t="shared" si="287"/>
        <v>0.28433323855558718</v>
      </c>
    </row>
    <row r="1605" spans="1:15" ht="13.5" hidden="1" customHeight="1">
      <c r="B1605" s="33">
        <f t="shared" si="288"/>
        <v>4</v>
      </c>
      <c r="C1605" s="35" t="s">
        <v>107</v>
      </c>
      <c r="D1605" s="35" t="s">
        <v>377</v>
      </c>
      <c r="F1605" s="30" t="s">
        <v>217</v>
      </c>
      <c r="G1605" s="36">
        <f>400*5</f>
        <v>2000</v>
      </c>
      <c r="H1605" s="36">
        <v>1861</v>
      </c>
      <c r="I1605" s="36">
        <v>7890</v>
      </c>
      <c r="J1605" s="36">
        <v>500</v>
      </c>
      <c r="K1605" s="36">
        <f t="shared" si="285"/>
        <v>12251</v>
      </c>
      <c r="L1605" s="36">
        <v>3000</v>
      </c>
      <c r="M1605" s="9">
        <f t="shared" si="286"/>
        <v>0.24487796914537588</v>
      </c>
      <c r="N1605" s="5">
        <v>1</v>
      </c>
      <c r="O1605" s="10">
        <f t="shared" si="287"/>
        <v>0.24487796914537588</v>
      </c>
    </row>
    <row r="1606" spans="1:15" ht="13.5" hidden="1" customHeight="1">
      <c r="B1606" s="33">
        <f t="shared" si="288"/>
        <v>5</v>
      </c>
      <c r="C1606" s="35" t="s">
        <v>358</v>
      </c>
      <c r="D1606" s="35" t="s">
        <v>399</v>
      </c>
      <c r="F1606" s="30" t="s">
        <v>217</v>
      </c>
      <c r="G1606" s="36">
        <f>400*3</f>
        <v>1200</v>
      </c>
      <c r="H1606" s="36">
        <v>1861</v>
      </c>
      <c r="I1606" s="36">
        <v>7890</v>
      </c>
      <c r="J1606" s="36">
        <v>500</v>
      </c>
      <c r="K1606" s="36">
        <f t="shared" si="285"/>
        <v>11451</v>
      </c>
      <c r="L1606" s="36">
        <v>3000</v>
      </c>
      <c r="M1606" s="9">
        <f t="shared" si="286"/>
        <v>0.26198585276395076</v>
      </c>
      <c r="N1606" s="5">
        <v>1</v>
      </c>
      <c r="O1606" s="10">
        <f t="shared" si="287"/>
        <v>0.26198585276395076</v>
      </c>
    </row>
    <row r="1607" spans="1:15" ht="13.5" hidden="1" customHeight="1">
      <c r="B1607" s="33">
        <f t="shared" si="288"/>
        <v>6</v>
      </c>
      <c r="C1607" s="35" t="s">
        <v>342</v>
      </c>
      <c r="D1607" s="35" t="s">
        <v>372</v>
      </c>
      <c r="F1607" s="30" t="s">
        <v>41</v>
      </c>
      <c r="G1607" s="36">
        <f>333*17</f>
        <v>5661</v>
      </c>
      <c r="H1607" s="36">
        <v>1861</v>
      </c>
      <c r="I1607" s="36">
        <v>3240</v>
      </c>
      <c r="J1607" s="36">
        <v>500</v>
      </c>
      <c r="K1607" s="36">
        <f t="shared" si="285"/>
        <v>11262</v>
      </c>
      <c r="L1607" s="36">
        <v>3000</v>
      </c>
      <c r="M1607" s="9">
        <f t="shared" si="286"/>
        <v>0.26638252530633988</v>
      </c>
      <c r="N1607" s="5">
        <v>1</v>
      </c>
      <c r="O1607" s="10">
        <f t="shared" si="287"/>
        <v>0.26638252530633988</v>
      </c>
    </row>
    <row r="1608" spans="1:15" ht="13.5" hidden="1" customHeight="1">
      <c r="B1608" s="33">
        <f t="shared" si="288"/>
        <v>7</v>
      </c>
      <c r="C1608" s="35" t="s">
        <v>363</v>
      </c>
      <c r="D1608" s="35" t="s">
        <v>406</v>
      </c>
      <c r="F1608" s="30" t="s">
        <v>41</v>
      </c>
      <c r="G1608" s="36">
        <f>333*17</f>
        <v>5661</v>
      </c>
      <c r="H1608" s="36">
        <v>1861</v>
      </c>
      <c r="I1608" s="36">
        <v>3240</v>
      </c>
      <c r="J1608" s="36">
        <v>500</v>
      </c>
      <c r="K1608" s="36">
        <f t="shared" si="285"/>
        <v>11262</v>
      </c>
      <c r="L1608" s="36">
        <v>3000</v>
      </c>
      <c r="M1608" s="9">
        <f t="shared" si="286"/>
        <v>0.26638252530633988</v>
      </c>
      <c r="N1608" s="5">
        <v>1</v>
      </c>
      <c r="O1608" s="10">
        <f t="shared" si="287"/>
        <v>0.26638252530633988</v>
      </c>
    </row>
    <row r="1609" spans="1:15" ht="13.5" hidden="1" customHeight="1">
      <c r="B1609" s="33">
        <f t="shared" si="288"/>
        <v>8</v>
      </c>
      <c r="C1609" s="35" t="s">
        <v>162</v>
      </c>
      <c r="D1609" s="35" t="s">
        <v>180</v>
      </c>
      <c r="F1609" s="30" t="s">
        <v>42</v>
      </c>
      <c r="G1609" s="36">
        <f>333*21</f>
        <v>6993</v>
      </c>
      <c r="H1609" s="36">
        <v>1861</v>
      </c>
      <c r="I1609" s="36">
        <v>3240</v>
      </c>
      <c r="J1609" s="36">
        <v>500</v>
      </c>
      <c r="K1609" s="36">
        <f t="shared" si="285"/>
        <v>12594</v>
      </c>
      <c r="L1609" s="36">
        <v>3000</v>
      </c>
      <c r="M1609" s="9">
        <f t="shared" si="286"/>
        <v>0.23820867079561697</v>
      </c>
      <c r="N1609" s="5">
        <v>1</v>
      </c>
      <c r="O1609" s="10">
        <f t="shared" si="287"/>
        <v>0.23820867079561697</v>
      </c>
    </row>
    <row r="1610" spans="1:15" ht="13.5" hidden="1" customHeight="1">
      <c r="B1610" s="33">
        <f t="shared" si="288"/>
        <v>9</v>
      </c>
      <c r="C1610" s="35" t="s">
        <v>349</v>
      </c>
      <c r="D1610" s="35" t="s">
        <v>383</v>
      </c>
      <c r="F1610" s="30" t="s">
        <v>42</v>
      </c>
      <c r="G1610" s="36">
        <f>333*21</f>
        <v>6993</v>
      </c>
      <c r="H1610" s="36">
        <v>1861</v>
      </c>
      <c r="I1610" s="36">
        <v>3240</v>
      </c>
      <c r="J1610" s="36">
        <v>500</v>
      </c>
      <c r="K1610" s="36">
        <f t="shared" si="285"/>
        <v>12594</v>
      </c>
      <c r="L1610" s="36">
        <v>3000</v>
      </c>
      <c r="M1610" s="9">
        <f t="shared" si="286"/>
        <v>0.23820867079561697</v>
      </c>
      <c r="N1610" s="5">
        <v>1</v>
      </c>
      <c r="O1610" s="10">
        <f t="shared" si="287"/>
        <v>0.23820867079561697</v>
      </c>
    </row>
    <row r="1611" spans="1:15" ht="13.5" hidden="1" customHeight="1">
      <c r="B1611" s="33">
        <f t="shared" si="288"/>
        <v>10</v>
      </c>
      <c r="C1611" s="35" t="s">
        <v>353</v>
      </c>
      <c r="D1611" s="35" t="s">
        <v>390</v>
      </c>
      <c r="F1611" s="30" t="s">
        <v>42</v>
      </c>
      <c r="G1611" s="36">
        <f>333*18</f>
        <v>5994</v>
      </c>
      <c r="H1611" s="36">
        <v>1861</v>
      </c>
      <c r="I1611" s="36">
        <v>3240</v>
      </c>
      <c r="J1611" s="36">
        <v>500</v>
      </c>
      <c r="K1611" s="36">
        <f t="shared" si="285"/>
        <v>11595</v>
      </c>
      <c r="L1611" s="36">
        <v>3000</v>
      </c>
      <c r="M1611" s="9">
        <f t="shared" si="286"/>
        <v>0.25873221216041398</v>
      </c>
      <c r="N1611" s="5">
        <v>1</v>
      </c>
      <c r="O1611" s="10">
        <f t="shared" si="287"/>
        <v>0.25873221216041398</v>
      </c>
    </row>
    <row r="1612" spans="1:15" ht="13.5" hidden="1" customHeight="1">
      <c r="B1612" s="33">
        <f t="shared" si="288"/>
        <v>11</v>
      </c>
      <c r="C1612" s="35" t="s">
        <v>355</v>
      </c>
      <c r="D1612" s="35" t="s">
        <v>393</v>
      </c>
      <c r="F1612" s="30" t="s">
        <v>42</v>
      </c>
      <c r="G1612" s="36">
        <f>333*21</f>
        <v>6993</v>
      </c>
      <c r="H1612" s="36">
        <v>1861</v>
      </c>
      <c r="I1612" s="36">
        <v>3240</v>
      </c>
      <c r="J1612" s="36">
        <v>500</v>
      </c>
      <c r="K1612" s="36">
        <f t="shared" si="285"/>
        <v>12594</v>
      </c>
      <c r="L1612" s="36">
        <v>3000</v>
      </c>
      <c r="M1612" s="9">
        <f t="shared" si="286"/>
        <v>0.23820867079561697</v>
      </c>
      <c r="N1612" s="5">
        <v>1</v>
      </c>
      <c r="O1612" s="10">
        <f t="shared" si="287"/>
        <v>0.23820867079561697</v>
      </c>
    </row>
    <row r="1613" spans="1:15" ht="13.5" hidden="1" customHeight="1">
      <c r="B1613" s="33">
        <f t="shared" si="288"/>
        <v>12</v>
      </c>
      <c r="C1613" s="35" t="s">
        <v>356</v>
      </c>
      <c r="D1613" s="35" t="s">
        <v>394</v>
      </c>
      <c r="F1613" s="30" t="s">
        <v>42</v>
      </c>
      <c r="G1613" s="36">
        <f>333*21</f>
        <v>6993</v>
      </c>
      <c r="H1613" s="36">
        <v>1861</v>
      </c>
      <c r="I1613" s="36">
        <v>3240</v>
      </c>
      <c r="J1613" s="36">
        <v>500</v>
      </c>
      <c r="K1613" s="36">
        <f t="shared" si="285"/>
        <v>12594</v>
      </c>
      <c r="L1613" s="36">
        <v>3000</v>
      </c>
      <c r="M1613" s="9">
        <f t="shared" si="286"/>
        <v>0.23820867079561697</v>
      </c>
      <c r="N1613" s="5">
        <v>1</v>
      </c>
      <c r="O1613" s="10">
        <f t="shared" si="287"/>
        <v>0.23820867079561697</v>
      </c>
    </row>
    <row r="1614" spans="1:15" ht="13.5" hidden="1" customHeight="1">
      <c r="B1614" s="33">
        <f t="shared" si="288"/>
        <v>13</v>
      </c>
      <c r="C1614" s="35" t="s">
        <v>71</v>
      </c>
      <c r="D1614" s="35" t="s">
        <v>398</v>
      </c>
      <c r="F1614" s="30" t="s">
        <v>25</v>
      </c>
      <c r="G1614" s="36">
        <f>300*6</f>
        <v>1800</v>
      </c>
      <c r="H1614" s="36">
        <v>1861</v>
      </c>
      <c r="I1614" s="36">
        <v>3240</v>
      </c>
      <c r="J1614" s="36">
        <v>500</v>
      </c>
      <c r="K1614" s="36">
        <f t="shared" si="285"/>
        <v>7401</v>
      </c>
      <c r="L1614" s="36">
        <v>3000</v>
      </c>
      <c r="M1614" s="9">
        <f t="shared" si="286"/>
        <v>0.40535062829347385</v>
      </c>
      <c r="N1614" s="5">
        <v>1</v>
      </c>
      <c r="O1614" s="10">
        <f t="shared" si="287"/>
        <v>0.40535062829347385</v>
      </c>
    </row>
    <row r="1615" spans="1:15" ht="13.5" hidden="1" customHeight="1">
      <c r="B1615" s="33">
        <f t="shared" si="288"/>
        <v>14</v>
      </c>
      <c r="C1615" s="35" t="s">
        <v>364</v>
      </c>
      <c r="D1615" s="35" t="s">
        <v>407</v>
      </c>
      <c r="F1615" s="30" t="s">
        <v>25</v>
      </c>
      <c r="G1615" s="36">
        <f>300*11</f>
        <v>3300</v>
      </c>
      <c r="H1615" s="36">
        <v>1861</v>
      </c>
      <c r="I1615" s="36">
        <v>3240</v>
      </c>
      <c r="J1615" s="36">
        <v>500</v>
      </c>
      <c r="K1615" s="36">
        <f t="shared" si="285"/>
        <v>8901</v>
      </c>
      <c r="L1615" s="36">
        <v>3000</v>
      </c>
      <c r="M1615" s="9">
        <f t="shared" si="286"/>
        <v>0.33704078193461406</v>
      </c>
      <c r="N1615" s="5">
        <v>1</v>
      </c>
      <c r="O1615" s="10">
        <f t="shared" si="287"/>
        <v>0.33704078193461406</v>
      </c>
    </row>
    <row r="1616" spans="1:15" ht="13.5" hidden="1" customHeight="1">
      <c r="B1616" s="33">
        <f t="shared" si="288"/>
        <v>15</v>
      </c>
      <c r="C1616" s="35" t="s">
        <v>160</v>
      </c>
      <c r="D1616" s="35" t="s">
        <v>193</v>
      </c>
      <c r="F1616" s="30" t="s">
        <v>159</v>
      </c>
      <c r="G1616" s="36">
        <f>333*22</f>
        <v>7326</v>
      </c>
      <c r="H1616" s="36">
        <v>1861</v>
      </c>
      <c r="I1616" s="36">
        <v>3240</v>
      </c>
      <c r="J1616" s="36">
        <v>500</v>
      </c>
      <c r="K1616" s="36">
        <f t="shared" si="285"/>
        <v>12927</v>
      </c>
      <c r="L1616" s="36">
        <v>3000</v>
      </c>
      <c r="M1616" s="9">
        <f t="shared" si="286"/>
        <v>0.23207240659085634</v>
      </c>
      <c r="N1616" s="5">
        <v>1</v>
      </c>
      <c r="O1616" s="10">
        <f t="shared" si="287"/>
        <v>0.23207240659085634</v>
      </c>
    </row>
    <row r="1617" spans="2:15" ht="13.5" hidden="1" customHeight="1">
      <c r="B1617" s="33">
        <f t="shared" si="288"/>
        <v>16</v>
      </c>
      <c r="C1617" s="35" t="s">
        <v>335</v>
      </c>
      <c r="D1617" s="35" t="s">
        <v>366</v>
      </c>
      <c r="F1617" s="30" t="s">
        <v>159</v>
      </c>
      <c r="G1617" s="36">
        <f>333*22</f>
        <v>7326</v>
      </c>
      <c r="H1617" s="36">
        <v>1861</v>
      </c>
      <c r="I1617" s="36">
        <v>3240</v>
      </c>
      <c r="J1617" s="36">
        <v>500</v>
      </c>
      <c r="K1617" s="36">
        <f t="shared" si="285"/>
        <v>12927</v>
      </c>
      <c r="L1617" s="36">
        <v>3000</v>
      </c>
      <c r="M1617" s="9">
        <f t="shared" si="286"/>
        <v>0.23207240659085634</v>
      </c>
      <c r="N1617" s="5">
        <v>1</v>
      </c>
      <c r="O1617" s="10">
        <f t="shared" si="287"/>
        <v>0.23207240659085634</v>
      </c>
    </row>
    <row r="1618" spans="2:15" ht="13.5" hidden="1" customHeight="1">
      <c r="B1618" s="33">
        <f t="shared" si="288"/>
        <v>17</v>
      </c>
      <c r="C1618" s="35" t="s">
        <v>164</v>
      </c>
      <c r="D1618" s="35" t="s">
        <v>198</v>
      </c>
      <c r="F1618" s="30" t="s">
        <v>159</v>
      </c>
      <c r="G1618" s="36">
        <f>333*22</f>
        <v>7326</v>
      </c>
      <c r="H1618" s="36">
        <v>1861</v>
      </c>
      <c r="I1618" s="36">
        <v>3240</v>
      </c>
      <c r="J1618" s="36">
        <v>500</v>
      </c>
      <c r="K1618" s="36">
        <f t="shared" si="285"/>
        <v>12927</v>
      </c>
      <c r="L1618" s="36">
        <v>3000</v>
      </c>
      <c r="M1618" s="9">
        <f t="shared" si="286"/>
        <v>0.23207240659085634</v>
      </c>
      <c r="N1618" s="5">
        <v>1</v>
      </c>
      <c r="O1618" s="10">
        <f t="shared" si="287"/>
        <v>0.23207240659085634</v>
      </c>
    </row>
    <row r="1619" spans="2:15" ht="13.5" hidden="1" customHeight="1">
      <c r="B1619" s="33">
        <f t="shared" si="288"/>
        <v>18</v>
      </c>
      <c r="C1619" s="35" t="s">
        <v>357</v>
      </c>
      <c r="D1619" s="35" t="s">
        <v>397</v>
      </c>
      <c r="F1619" s="30" t="s">
        <v>159</v>
      </c>
      <c r="G1619" s="36">
        <v>0</v>
      </c>
      <c r="H1619" s="36">
        <v>0</v>
      </c>
      <c r="I1619" s="36"/>
      <c r="J1619" s="36"/>
      <c r="K1619" s="36">
        <f t="shared" si="285"/>
        <v>0</v>
      </c>
      <c r="L1619" s="36">
        <v>3000</v>
      </c>
      <c r="M1619" s="9" t="e">
        <f t="shared" si="286"/>
        <v>#DIV/0!</v>
      </c>
      <c r="N1619" s="5">
        <v>1</v>
      </c>
      <c r="O1619" s="10" t="e">
        <f t="shared" si="287"/>
        <v>#DIV/0!</v>
      </c>
    </row>
    <row r="1620" spans="2:15" ht="13.5" hidden="1" customHeight="1">
      <c r="B1620" s="33">
        <f t="shared" si="288"/>
        <v>19</v>
      </c>
      <c r="C1620" s="35" t="s">
        <v>74</v>
      </c>
      <c r="D1620" s="35" t="s">
        <v>409</v>
      </c>
      <c r="F1620" s="30" t="s">
        <v>159</v>
      </c>
      <c r="G1620" s="36">
        <f>333*22</f>
        <v>7326</v>
      </c>
      <c r="H1620" s="36">
        <v>1861</v>
      </c>
      <c r="I1620" s="36">
        <v>3240</v>
      </c>
      <c r="J1620" s="36">
        <v>500</v>
      </c>
      <c r="K1620" s="36">
        <f t="shared" si="285"/>
        <v>12927</v>
      </c>
      <c r="L1620" s="36">
        <v>3000</v>
      </c>
      <c r="M1620" s="9">
        <f t="shared" si="286"/>
        <v>0.23207240659085634</v>
      </c>
      <c r="N1620" s="5">
        <v>1</v>
      </c>
      <c r="O1620" s="10">
        <f t="shared" si="287"/>
        <v>0.23207240659085634</v>
      </c>
    </row>
    <row r="1621" spans="2:15" ht="13.5" hidden="1" customHeight="1">
      <c r="B1621" s="33">
        <f t="shared" si="288"/>
        <v>20</v>
      </c>
      <c r="C1621" s="35" t="s">
        <v>99</v>
      </c>
      <c r="D1621" s="35" t="s">
        <v>396</v>
      </c>
      <c r="F1621" s="30" t="s">
        <v>216</v>
      </c>
      <c r="G1621" s="36">
        <f>300*9</f>
        <v>2700</v>
      </c>
      <c r="H1621" s="36">
        <v>1861</v>
      </c>
      <c r="I1621" s="36">
        <v>3240</v>
      </c>
      <c r="J1621" s="36">
        <v>500</v>
      </c>
      <c r="K1621" s="36">
        <f t="shared" si="285"/>
        <v>8301</v>
      </c>
      <c r="L1621" s="36">
        <v>3000</v>
      </c>
      <c r="M1621" s="9">
        <f t="shared" si="286"/>
        <v>0.36140224069389232</v>
      </c>
      <c r="N1621" s="5">
        <v>1</v>
      </c>
      <c r="O1621" s="10">
        <f t="shared" si="287"/>
        <v>0.36140224069389232</v>
      </c>
    </row>
    <row r="1622" spans="2:15" ht="13.5" hidden="1" customHeight="1">
      <c r="B1622" s="33">
        <f t="shared" si="288"/>
        <v>21</v>
      </c>
      <c r="C1622" s="35" t="s">
        <v>343</v>
      </c>
      <c r="D1622" s="35" t="s">
        <v>373</v>
      </c>
      <c r="F1622" s="30" t="s">
        <v>33</v>
      </c>
      <c r="G1622" s="36">
        <f>333*20</f>
        <v>6660</v>
      </c>
      <c r="H1622" s="36">
        <v>1861</v>
      </c>
      <c r="I1622" s="36">
        <v>3240</v>
      </c>
      <c r="J1622" s="36">
        <v>500</v>
      </c>
      <c r="K1622" s="36">
        <f t="shared" si="285"/>
        <v>12261</v>
      </c>
      <c r="L1622" s="36">
        <v>3000</v>
      </c>
      <c r="M1622" s="9">
        <f t="shared" si="286"/>
        <v>0.24467824810374358</v>
      </c>
      <c r="N1622" s="5">
        <v>1</v>
      </c>
      <c r="O1622" s="10">
        <f t="shared" si="287"/>
        <v>0.24467824810374358</v>
      </c>
    </row>
    <row r="1623" spans="2:15" ht="13.5" hidden="1" customHeight="1">
      <c r="B1623" s="33">
        <f t="shared" si="288"/>
        <v>22</v>
      </c>
      <c r="C1623" s="35" t="s">
        <v>77</v>
      </c>
      <c r="D1623" s="35" t="s">
        <v>374</v>
      </c>
      <c r="F1623" s="30" t="s">
        <v>33</v>
      </c>
      <c r="G1623" s="36">
        <f t="shared" ref="G1623:G1626" si="289">333*20</f>
        <v>6660</v>
      </c>
      <c r="H1623" s="36">
        <v>1861</v>
      </c>
      <c r="I1623" s="36">
        <v>3240</v>
      </c>
      <c r="J1623" s="36">
        <v>500</v>
      </c>
      <c r="K1623" s="36">
        <f t="shared" si="285"/>
        <v>12261</v>
      </c>
      <c r="L1623" s="36">
        <v>3000</v>
      </c>
      <c r="M1623" s="9">
        <f t="shared" si="286"/>
        <v>0.24467824810374358</v>
      </c>
      <c r="N1623" s="5">
        <v>1</v>
      </c>
      <c r="O1623" s="10">
        <f t="shared" si="287"/>
        <v>0.24467824810374358</v>
      </c>
    </row>
    <row r="1624" spans="2:15" ht="13.5" hidden="1" customHeight="1">
      <c r="B1624" s="33">
        <f t="shared" si="288"/>
        <v>23</v>
      </c>
      <c r="C1624" s="35" t="s">
        <v>347</v>
      </c>
      <c r="D1624" s="35" t="s">
        <v>381</v>
      </c>
      <c r="F1624" s="30" t="s">
        <v>33</v>
      </c>
      <c r="G1624" s="36">
        <f t="shared" si="289"/>
        <v>6660</v>
      </c>
      <c r="H1624" s="36">
        <v>1861</v>
      </c>
      <c r="I1624" s="36">
        <v>3240</v>
      </c>
      <c r="J1624" s="36">
        <v>500</v>
      </c>
      <c r="K1624" s="36">
        <f t="shared" si="285"/>
        <v>12261</v>
      </c>
      <c r="L1624" s="36">
        <v>3000</v>
      </c>
      <c r="M1624" s="9">
        <f t="shared" si="286"/>
        <v>0.24467824810374358</v>
      </c>
      <c r="N1624" s="5">
        <v>1</v>
      </c>
      <c r="O1624" s="10">
        <f t="shared" si="287"/>
        <v>0.24467824810374358</v>
      </c>
    </row>
    <row r="1625" spans="2:15" ht="13.5" hidden="1" customHeight="1">
      <c r="B1625" s="33">
        <f t="shared" si="288"/>
        <v>24</v>
      </c>
      <c r="C1625" s="35" t="s">
        <v>354</v>
      </c>
      <c r="D1625" s="35" t="s">
        <v>391</v>
      </c>
      <c r="F1625" s="30" t="s">
        <v>33</v>
      </c>
      <c r="G1625" s="36">
        <f t="shared" si="289"/>
        <v>6660</v>
      </c>
      <c r="H1625" s="36">
        <v>1861</v>
      </c>
      <c r="I1625" s="36">
        <v>3240</v>
      </c>
      <c r="J1625" s="36">
        <v>500</v>
      </c>
      <c r="K1625" s="36">
        <f t="shared" si="285"/>
        <v>12261</v>
      </c>
      <c r="L1625" s="36">
        <v>3000</v>
      </c>
      <c r="M1625" s="9">
        <f t="shared" si="286"/>
        <v>0.24467824810374358</v>
      </c>
      <c r="N1625" s="5">
        <v>1</v>
      </c>
      <c r="O1625" s="10">
        <f t="shared" si="287"/>
        <v>0.24467824810374358</v>
      </c>
    </row>
    <row r="1626" spans="2:15" ht="13.5" hidden="1" customHeight="1">
      <c r="B1626" s="33">
        <f t="shared" si="288"/>
        <v>25</v>
      </c>
      <c r="C1626" s="35" t="s">
        <v>259</v>
      </c>
      <c r="D1626" s="35" t="s">
        <v>320</v>
      </c>
      <c r="F1626" s="30" t="s">
        <v>33</v>
      </c>
      <c r="G1626" s="36">
        <f t="shared" si="289"/>
        <v>6660</v>
      </c>
      <c r="H1626" s="36">
        <v>1861</v>
      </c>
      <c r="I1626" s="36">
        <v>3240</v>
      </c>
      <c r="J1626" s="36">
        <v>500</v>
      </c>
      <c r="K1626" s="36">
        <f t="shared" si="285"/>
        <v>12261</v>
      </c>
      <c r="L1626" s="36">
        <v>3000</v>
      </c>
      <c r="M1626" s="9">
        <f t="shared" si="286"/>
        <v>0.24467824810374358</v>
      </c>
      <c r="N1626" s="5">
        <v>1</v>
      </c>
      <c r="O1626" s="10">
        <f t="shared" si="287"/>
        <v>0.24467824810374358</v>
      </c>
    </row>
    <row r="1627" spans="2:15" ht="13.5" hidden="1" customHeight="1">
      <c r="B1627" s="33">
        <f t="shared" si="288"/>
        <v>26</v>
      </c>
      <c r="C1627" s="35" t="s">
        <v>360</v>
      </c>
      <c r="D1627" s="35" t="s">
        <v>403</v>
      </c>
      <c r="F1627" s="30" t="s">
        <v>33</v>
      </c>
      <c r="G1627" s="36">
        <v>0</v>
      </c>
      <c r="H1627" s="36">
        <v>0</v>
      </c>
      <c r="I1627" s="36"/>
      <c r="J1627" s="36"/>
      <c r="K1627" s="36">
        <f t="shared" si="285"/>
        <v>0</v>
      </c>
      <c r="L1627" s="36">
        <v>3000</v>
      </c>
      <c r="M1627" s="9" t="e">
        <f t="shared" si="286"/>
        <v>#DIV/0!</v>
      </c>
      <c r="N1627" s="5">
        <v>1</v>
      </c>
      <c r="O1627" s="10" t="e">
        <f t="shared" si="287"/>
        <v>#DIV/0!</v>
      </c>
    </row>
    <row r="1628" spans="2:15" ht="13.5" hidden="1" customHeight="1">
      <c r="B1628" s="33">
        <f t="shared" si="288"/>
        <v>27</v>
      </c>
      <c r="C1628" s="35" t="s">
        <v>340</v>
      </c>
      <c r="D1628" s="35" t="s">
        <v>369</v>
      </c>
      <c r="F1628" s="30" t="s">
        <v>44</v>
      </c>
      <c r="G1628" s="36">
        <f>333*5</f>
        <v>1665</v>
      </c>
      <c r="H1628" s="36">
        <v>1861</v>
      </c>
      <c r="I1628" s="36">
        <v>3240</v>
      </c>
      <c r="J1628" s="36">
        <v>500</v>
      </c>
      <c r="K1628" s="36">
        <f t="shared" si="285"/>
        <v>7266</v>
      </c>
      <c r="L1628" s="36">
        <v>3000</v>
      </c>
      <c r="M1628" s="9">
        <f t="shared" si="286"/>
        <v>0.41288191577208916</v>
      </c>
      <c r="N1628" s="5">
        <v>1</v>
      </c>
      <c r="O1628" s="10">
        <f t="shared" si="287"/>
        <v>0.41288191577208916</v>
      </c>
    </row>
    <row r="1629" spans="2:15" ht="13.5" hidden="1" customHeight="1">
      <c r="B1629" s="33">
        <f t="shared" si="288"/>
        <v>28</v>
      </c>
      <c r="C1629" s="35" t="s">
        <v>167</v>
      </c>
      <c r="D1629" s="35" t="s">
        <v>201</v>
      </c>
      <c r="F1629" s="30" t="s">
        <v>44</v>
      </c>
      <c r="G1629" s="36">
        <f>333*5</f>
        <v>1665</v>
      </c>
      <c r="H1629" s="36">
        <v>1861</v>
      </c>
      <c r="I1629" s="36">
        <v>3240</v>
      </c>
      <c r="J1629" s="36">
        <v>500</v>
      </c>
      <c r="K1629" s="36">
        <f t="shared" si="285"/>
        <v>7266</v>
      </c>
      <c r="L1629" s="36">
        <v>3000</v>
      </c>
      <c r="M1629" s="9">
        <f t="shared" si="286"/>
        <v>0.41288191577208916</v>
      </c>
      <c r="N1629" s="5">
        <v>1</v>
      </c>
      <c r="O1629" s="10">
        <f t="shared" si="287"/>
        <v>0.41288191577208916</v>
      </c>
    </row>
    <row r="1630" spans="2:15" ht="13.5" hidden="1" customHeight="1">
      <c r="B1630" s="33">
        <f t="shared" si="288"/>
        <v>29</v>
      </c>
      <c r="C1630" s="35" t="s">
        <v>79</v>
      </c>
      <c r="D1630" s="35" t="s">
        <v>379</v>
      </c>
      <c r="F1630" s="30" t="s">
        <v>28</v>
      </c>
      <c r="G1630" s="36">
        <f>300*16</f>
        <v>4800</v>
      </c>
      <c r="H1630" s="36">
        <v>1861</v>
      </c>
      <c r="I1630" s="36">
        <v>3240</v>
      </c>
      <c r="J1630" s="36">
        <v>500</v>
      </c>
      <c r="K1630" s="36">
        <f t="shared" si="285"/>
        <v>10401</v>
      </c>
      <c r="L1630" s="36">
        <v>3000</v>
      </c>
      <c r="M1630" s="9">
        <f t="shared" si="286"/>
        <v>0.2884338044418806</v>
      </c>
      <c r="N1630" s="5">
        <v>1</v>
      </c>
      <c r="O1630" s="10">
        <f t="shared" si="287"/>
        <v>0.2884338044418806</v>
      </c>
    </row>
    <row r="1631" spans="2:15" ht="13.5" hidden="1" customHeight="1">
      <c r="B1631" s="33">
        <f t="shared" si="288"/>
        <v>30</v>
      </c>
      <c r="C1631" s="35" t="s">
        <v>336</v>
      </c>
      <c r="D1631" s="35" t="s">
        <v>367</v>
      </c>
      <c r="F1631" s="30" t="s">
        <v>31</v>
      </c>
      <c r="G1631" s="36">
        <f>333*22</f>
        <v>7326</v>
      </c>
      <c r="H1631" s="36">
        <v>1861</v>
      </c>
      <c r="I1631" s="36">
        <v>3240</v>
      </c>
      <c r="J1631" s="36">
        <v>500</v>
      </c>
      <c r="K1631" s="36">
        <f t="shared" si="285"/>
        <v>12927</v>
      </c>
      <c r="L1631" s="36">
        <v>3000</v>
      </c>
      <c r="M1631" s="9">
        <f t="shared" si="286"/>
        <v>0.23207240659085634</v>
      </c>
      <c r="N1631" s="5">
        <v>1</v>
      </c>
      <c r="O1631" s="10">
        <f t="shared" si="287"/>
        <v>0.23207240659085634</v>
      </c>
    </row>
    <row r="1632" spans="2:15" ht="13.5" hidden="1" customHeight="1">
      <c r="B1632" s="33">
        <f t="shared" si="288"/>
        <v>31</v>
      </c>
      <c r="C1632" s="35" t="s">
        <v>238</v>
      </c>
      <c r="D1632" s="35" t="s">
        <v>386</v>
      </c>
      <c r="F1632" s="30" t="s">
        <v>31</v>
      </c>
      <c r="G1632" s="36">
        <f t="shared" ref="G1632:G1633" si="290">333*22</f>
        <v>7326</v>
      </c>
      <c r="H1632" s="36">
        <v>1861</v>
      </c>
      <c r="I1632" s="36">
        <v>3240</v>
      </c>
      <c r="J1632" s="36">
        <v>500</v>
      </c>
      <c r="K1632" s="36">
        <f t="shared" si="285"/>
        <v>12927</v>
      </c>
      <c r="L1632" s="36">
        <v>3000</v>
      </c>
      <c r="M1632" s="9">
        <f t="shared" si="286"/>
        <v>0.23207240659085634</v>
      </c>
      <c r="N1632" s="5">
        <v>1</v>
      </c>
      <c r="O1632" s="10">
        <f t="shared" si="287"/>
        <v>0.23207240659085634</v>
      </c>
    </row>
    <row r="1633" spans="2:15" ht="13.5" hidden="1" customHeight="1">
      <c r="B1633" s="33">
        <f t="shared" si="288"/>
        <v>32</v>
      </c>
      <c r="C1633" s="35" t="s">
        <v>361</v>
      </c>
      <c r="D1633" s="35" t="s">
        <v>404</v>
      </c>
      <c r="F1633" s="30" t="s">
        <v>31</v>
      </c>
      <c r="G1633" s="36">
        <f t="shared" si="290"/>
        <v>7326</v>
      </c>
      <c r="H1633" s="36">
        <v>1861</v>
      </c>
      <c r="I1633" s="36">
        <v>3240</v>
      </c>
      <c r="J1633" s="36">
        <v>500</v>
      </c>
      <c r="K1633" s="36">
        <f t="shared" si="285"/>
        <v>12927</v>
      </c>
      <c r="L1633" s="36">
        <v>3000</v>
      </c>
      <c r="M1633" s="9">
        <f t="shared" si="286"/>
        <v>0.23207240659085634</v>
      </c>
      <c r="N1633" s="5">
        <v>1</v>
      </c>
      <c r="O1633" s="10">
        <f t="shared" si="287"/>
        <v>0.23207240659085634</v>
      </c>
    </row>
    <row r="1634" spans="2:15" ht="13.5" hidden="1" customHeight="1">
      <c r="B1634" s="33">
        <f t="shared" si="288"/>
        <v>33</v>
      </c>
      <c r="C1634" s="35" t="s">
        <v>337</v>
      </c>
      <c r="D1634" s="35" t="s">
        <v>410</v>
      </c>
      <c r="F1634" s="30" t="s">
        <v>26</v>
      </c>
      <c r="G1634" s="36">
        <f>333*22</f>
        <v>7326</v>
      </c>
      <c r="H1634" s="36">
        <v>1861</v>
      </c>
      <c r="I1634" s="36">
        <v>3240</v>
      </c>
      <c r="J1634" s="36">
        <v>500</v>
      </c>
      <c r="K1634" s="36">
        <f t="shared" si="285"/>
        <v>12927</v>
      </c>
      <c r="L1634" s="36">
        <v>3000</v>
      </c>
      <c r="M1634" s="9">
        <f t="shared" si="286"/>
        <v>0.23207240659085634</v>
      </c>
      <c r="N1634" s="5">
        <v>1</v>
      </c>
      <c r="O1634" s="10">
        <f t="shared" si="287"/>
        <v>0.23207240659085634</v>
      </c>
    </row>
    <row r="1635" spans="2:15" ht="13.5" hidden="1" customHeight="1">
      <c r="B1635" s="33">
        <f t="shared" si="288"/>
        <v>34</v>
      </c>
      <c r="C1635" s="35" t="s">
        <v>346</v>
      </c>
      <c r="D1635" s="35" t="s">
        <v>380</v>
      </c>
      <c r="F1635" s="30" t="s">
        <v>26</v>
      </c>
      <c r="G1635" s="36">
        <f t="shared" ref="G1635:G1638" si="291">333*22</f>
        <v>7326</v>
      </c>
      <c r="H1635" s="36">
        <v>1861</v>
      </c>
      <c r="I1635" s="36">
        <v>3240</v>
      </c>
      <c r="J1635" s="36">
        <v>500</v>
      </c>
      <c r="K1635" s="36">
        <f t="shared" si="285"/>
        <v>12927</v>
      </c>
      <c r="L1635" s="36">
        <v>3000</v>
      </c>
      <c r="M1635" s="9">
        <f t="shared" si="286"/>
        <v>0.23207240659085634</v>
      </c>
      <c r="N1635" s="5">
        <v>1</v>
      </c>
      <c r="O1635" s="10">
        <f t="shared" si="287"/>
        <v>0.23207240659085634</v>
      </c>
    </row>
    <row r="1636" spans="2:15" ht="13.5" hidden="1" customHeight="1">
      <c r="B1636" s="33">
        <f t="shared" si="288"/>
        <v>35</v>
      </c>
      <c r="C1636" s="35" t="s">
        <v>170</v>
      </c>
      <c r="D1636" s="35" t="s">
        <v>389</v>
      </c>
      <c r="F1636" s="30" t="s">
        <v>26</v>
      </c>
      <c r="G1636" s="36">
        <f t="shared" si="291"/>
        <v>7326</v>
      </c>
      <c r="H1636" s="36">
        <v>1861</v>
      </c>
      <c r="I1636" s="36">
        <v>3240</v>
      </c>
      <c r="J1636" s="36">
        <v>500</v>
      </c>
      <c r="K1636" s="36">
        <f t="shared" si="285"/>
        <v>12927</v>
      </c>
      <c r="L1636" s="36">
        <v>3000</v>
      </c>
      <c r="M1636" s="9">
        <f t="shared" si="286"/>
        <v>0.23207240659085634</v>
      </c>
      <c r="N1636" s="5">
        <v>1</v>
      </c>
      <c r="O1636" s="10">
        <f t="shared" si="287"/>
        <v>0.23207240659085634</v>
      </c>
    </row>
    <row r="1637" spans="2:15" ht="13.5" hidden="1" customHeight="1">
      <c r="B1637" s="33">
        <f t="shared" si="288"/>
        <v>36</v>
      </c>
      <c r="C1637" s="35" t="s">
        <v>258</v>
      </c>
      <c r="D1637" s="35" t="s">
        <v>401</v>
      </c>
      <c r="F1637" s="30" t="s">
        <v>26</v>
      </c>
      <c r="G1637" s="36">
        <f t="shared" si="291"/>
        <v>7326</v>
      </c>
      <c r="H1637" s="36">
        <v>1861</v>
      </c>
      <c r="I1637" s="36">
        <v>3240</v>
      </c>
      <c r="J1637" s="36">
        <v>500</v>
      </c>
      <c r="K1637" s="36">
        <f t="shared" si="285"/>
        <v>12927</v>
      </c>
      <c r="L1637" s="36">
        <v>3000</v>
      </c>
      <c r="M1637" s="9">
        <f t="shared" si="286"/>
        <v>0.23207240659085634</v>
      </c>
      <c r="N1637" s="5">
        <v>1</v>
      </c>
      <c r="O1637" s="10">
        <f t="shared" si="287"/>
        <v>0.23207240659085634</v>
      </c>
    </row>
    <row r="1638" spans="2:15" ht="13.5" hidden="1" customHeight="1">
      <c r="B1638" s="33">
        <f t="shared" si="288"/>
        <v>37</v>
      </c>
      <c r="C1638" s="35" t="s">
        <v>174</v>
      </c>
      <c r="D1638" s="35" t="s">
        <v>392</v>
      </c>
      <c r="F1638" s="30" t="s">
        <v>333</v>
      </c>
      <c r="G1638" s="36">
        <f t="shared" si="291"/>
        <v>7326</v>
      </c>
      <c r="H1638" s="36">
        <v>1861</v>
      </c>
      <c r="I1638" s="36">
        <v>3240</v>
      </c>
      <c r="J1638" s="36">
        <v>500</v>
      </c>
      <c r="K1638" s="36">
        <f t="shared" si="285"/>
        <v>12927</v>
      </c>
      <c r="L1638" s="36">
        <v>3000</v>
      </c>
      <c r="M1638" s="9">
        <f t="shared" si="286"/>
        <v>0.23207240659085634</v>
      </c>
      <c r="N1638" s="5">
        <v>1</v>
      </c>
      <c r="O1638" s="10">
        <f t="shared" si="287"/>
        <v>0.23207240659085634</v>
      </c>
    </row>
    <row r="1639" spans="2:15" ht="13.5" hidden="1" customHeight="1">
      <c r="B1639" s="33">
        <f t="shared" si="288"/>
        <v>38</v>
      </c>
      <c r="C1639" s="35" t="s">
        <v>338</v>
      </c>
      <c r="D1639" s="35" t="s">
        <v>368</v>
      </c>
      <c r="F1639" s="30" t="s">
        <v>32</v>
      </c>
      <c r="G1639" s="36">
        <f>300*14</f>
        <v>4200</v>
      </c>
      <c r="H1639" s="36">
        <v>1861</v>
      </c>
      <c r="I1639" s="36">
        <v>3240</v>
      </c>
      <c r="J1639" s="36">
        <v>500</v>
      </c>
      <c r="K1639" s="36">
        <f t="shared" si="285"/>
        <v>9801</v>
      </c>
      <c r="L1639" s="36">
        <v>3000</v>
      </c>
      <c r="M1639" s="9">
        <f t="shared" si="286"/>
        <v>0.30609121518212429</v>
      </c>
      <c r="N1639" s="5">
        <v>1</v>
      </c>
      <c r="O1639" s="10">
        <f t="shared" si="287"/>
        <v>0.30609121518212429</v>
      </c>
    </row>
    <row r="1640" spans="2:15" ht="13.5" hidden="1" customHeight="1">
      <c r="B1640" s="33">
        <f t="shared" si="288"/>
        <v>39</v>
      </c>
      <c r="C1640" s="35" t="s">
        <v>345</v>
      </c>
      <c r="D1640" s="35" t="s">
        <v>378</v>
      </c>
      <c r="F1640" s="30" t="s">
        <v>32</v>
      </c>
      <c r="G1640" s="36">
        <f t="shared" ref="G1640:G1644" si="292">300*14</f>
        <v>4200</v>
      </c>
      <c r="H1640" s="36">
        <v>1861</v>
      </c>
      <c r="I1640" s="36">
        <v>3240</v>
      </c>
      <c r="J1640" s="36">
        <v>500</v>
      </c>
      <c r="K1640" s="36">
        <f t="shared" si="285"/>
        <v>9801</v>
      </c>
      <c r="L1640" s="36">
        <v>3000</v>
      </c>
      <c r="M1640" s="9">
        <f t="shared" si="286"/>
        <v>0.30609121518212429</v>
      </c>
      <c r="N1640" s="5">
        <v>1</v>
      </c>
      <c r="O1640" s="10">
        <f t="shared" si="287"/>
        <v>0.30609121518212429</v>
      </c>
    </row>
    <row r="1641" spans="2:15" ht="13.5" hidden="1" customHeight="1">
      <c r="B1641" s="33">
        <f t="shared" si="288"/>
        <v>40</v>
      </c>
      <c r="C1641" s="35" t="s">
        <v>350</v>
      </c>
      <c r="D1641" s="35" t="s">
        <v>384</v>
      </c>
      <c r="F1641" s="30" t="s">
        <v>32</v>
      </c>
      <c r="G1641" s="36">
        <f t="shared" si="292"/>
        <v>4200</v>
      </c>
      <c r="H1641" s="36">
        <v>1861</v>
      </c>
      <c r="I1641" s="36">
        <v>3240</v>
      </c>
      <c r="J1641" s="36">
        <v>500</v>
      </c>
      <c r="K1641" s="36">
        <f t="shared" si="285"/>
        <v>9801</v>
      </c>
      <c r="L1641" s="36">
        <v>3000</v>
      </c>
      <c r="M1641" s="9">
        <f t="shared" si="286"/>
        <v>0.30609121518212429</v>
      </c>
      <c r="N1641" s="5">
        <v>1</v>
      </c>
      <c r="O1641" s="10">
        <f t="shared" si="287"/>
        <v>0.30609121518212429</v>
      </c>
    </row>
    <row r="1642" spans="2:15" ht="13.5" hidden="1" customHeight="1">
      <c r="B1642" s="33">
        <f t="shared" si="288"/>
        <v>41</v>
      </c>
      <c r="C1642" s="35" t="s">
        <v>115</v>
      </c>
      <c r="D1642" s="35" t="s">
        <v>388</v>
      </c>
      <c r="F1642" s="30" t="s">
        <v>32</v>
      </c>
      <c r="G1642" s="36">
        <f t="shared" si="292"/>
        <v>4200</v>
      </c>
      <c r="H1642" s="36">
        <v>1861</v>
      </c>
      <c r="I1642" s="36">
        <v>3240</v>
      </c>
      <c r="J1642" s="36">
        <v>500</v>
      </c>
      <c r="K1642" s="36">
        <f t="shared" si="285"/>
        <v>9801</v>
      </c>
      <c r="L1642" s="36">
        <v>3000</v>
      </c>
      <c r="M1642" s="9">
        <f t="shared" si="286"/>
        <v>0.30609121518212429</v>
      </c>
      <c r="N1642" s="5">
        <v>1</v>
      </c>
      <c r="O1642" s="10">
        <f t="shared" si="287"/>
        <v>0.30609121518212429</v>
      </c>
    </row>
    <row r="1643" spans="2:15" ht="13.5" hidden="1" customHeight="1">
      <c r="B1643" s="33">
        <f t="shared" si="288"/>
        <v>42</v>
      </c>
      <c r="C1643" s="35" t="s">
        <v>359</v>
      </c>
      <c r="D1643" s="35" t="s">
        <v>400</v>
      </c>
      <c r="F1643" s="30" t="s">
        <v>32</v>
      </c>
      <c r="G1643" s="36">
        <f t="shared" si="292"/>
        <v>4200</v>
      </c>
      <c r="H1643" s="36">
        <v>1861</v>
      </c>
      <c r="I1643" s="36">
        <v>3240</v>
      </c>
      <c r="J1643" s="36">
        <v>500</v>
      </c>
      <c r="K1643" s="36">
        <f t="shared" si="285"/>
        <v>9801</v>
      </c>
      <c r="L1643" s="36">
        <v>3000</v>
      </c>
      <c r="M1643" s="9">
        <f t="shared" si="286"/>
        <v>0.30609121518212429</v>
      </c>
      <c r="N1643" s="5">
        <v>1</v>
      </c>
      <c r="O1643" s="10">
        <f t="shared" si="287"/>
        <v>0.30609121518212429</v>
      </c>
    </row>
    <row r="1644" spans="2:15" ht="13.5" hidden="1" customHeight="1">
      <c r="B1644" s="33">
        <f t="shared" si="288"/>
        <v>43</v>
      </c>
      <c r="C1644" s="35" t="s">
        <v>362</v>
      </c>
      <c r="D1644" s="35" t="s">
        <v>405</v>
      </c>
      <c r="F1644" s="30" t="s">
        <v>32</v>
      </c>
      <c r="G1644" s="36">
        <f t="shared" si="292"/>
        <v>4200</v>
      </c>
      <c r="H1644" s="36">
        <v>1861</v>
      </c>
      <c r="I1644" s="36">
        <v>3240</v>
      </c>
      <c r="J1644" s="36">
        <v>500</v>
      </c>
      <c r="K1644" s="36">
        <f t="shared" si="285"/>
        <v>9801</v>
      </c>
      <c r="L1644" s="36">
        <v>3000</v>
      </c>
      <c r="M1644" s="9">
        <f t="shared" si="286"/>
        <v>0.30609121518212429</v>
      </c>
      <c r="N1644" s="5">
        <v>1</v>
      </c>
      <c r="O1644" s="10">
        <f t="shared" si="287"/>
        <v>0.30609121518212429</v>
      </c>
    </row>
    <row r="1645" spans="2:15" ht="13.5" hidden="1" customHeight="1">
      <c r="B1645" s="33">
        <f t="shared" si="288"/>
        <v>44</v>
      </c>
      <c r="C1645" s="35" t="s">
        <v>334</v>
      </c>
      <c r="D1645" s="35" t="s">
        <v>365</v>
      </c>
      <c r="F1645" s="30" t="s">
        <v>24</v>
      </c>
      <c r="G1645" s="36">
        <v>0</v>
      </c>
      <c r="H1645" s="36">
        <v>0</v>
      </c>
      <c r="I1645" s="36"/>
      <c r="J1645" s="36"/>
      <c r="K1645" s="36">
        <f t="shared" si="285"/>
        <v>0</v>
      </c>
      <c r="L1645" s="36">
        <v>3000</v>
      </c>
      <c r="M1645" s="9" t="e">
        <f t="shared" si="286"/>
        <v>#DIV/0!</v>
      </c>
      <c r="N1645" s="5">
        <v>1</v>
      </c>
      <c r="O1645" s="10" t="e">
        <f t="shared" si="287"/>
        <v>#DIV/0!</v>
      </c>
    </row>
    <row r="1646" spans="2:15" ht="13.5" hidden="1" customHeight="1">
      <c r="B1646" s="33">
        <f t="shared" si="288"/>
        <v>45</v>
      </c>
      <c r="C1646" s="35" t="s">
        <v>344</v>
      </c>
      <c r="D1646" s="35" t="s">
        <v>375</v>
      </c>
      <c r="F1646" s="30" t="s">
        <v>43</v>
      </c>
      <c r="G1646" s="36">
        <f>333*20</f>
        <v>6660</v>
      </c>
      <c r="H1646" s="36">
        <v>1861</v>
      </c>
      <c r="I1646" s="36">
        <v>3240</v>
      </c>
      <c r="J1646" s="36">
        <v>500</v>
      </c>
      <c r="K1646" s="36">
        <f t="shared" si="285"/>
        <v>12261</v>
      </c>
      <c r="L1646" s="36">
        <v>3000</v>
      </c>
      <c r="M1646" s="9">
        <f t="shared" si="286"/>
        <v>0.24467824810374358</v>
      </c>
      <c r="N1646" s="5">
        <v>1</v>
      </c>
      <c r="O1646" s="10">
        <f t="shared" si="287"/>
        <v>0.24467824810374358</v>
      </c>
    </row>
    <row r="1647" spans="2:15" ht="13.5" hidden="1" customHeight="1">
      <c r="B1647" s="33">
        <f t="shared" si="288"/>
        <v>46</v>
      </c>
      <c r="C1647" s="35" t="s">
        <v>352</v>
      </c>
      <c r="D1647" s="35" t="s">
        <v>387</v>
      </c>
      <c r="F1647" s="30" t="s">
        <v>43</v>
      </c>
      <c r="G1647" s="36">
        <f>333*20</f>
        <v>6660</v>
      </c>
      <c r="H1647" s="36">
        <v>1861</v>
      </c>
      <c r="I1647" s="36">
        <v>3240</v>
      </c>
      <c r="J1647" s="36">
        <v>500</v>
      </c>
      <c r="K1647" s="36">
        <f t="shared" si="285"/>
        <v>12261</v>
      </c>
      <c r="L1647" s="36">
        <v>3000</v>
      </c>
      <c r="M1647" s="9">
        <f t="shared" si="286"/>
        <v>0.24467824810374358</v>
      </c>
      <c r="N1647" s="5">
        <v>1</v>
      </c>
      <c r="O1647" s="10">
        <f t="shared" si="287"/>
        <v>0.24467824810374358</v>
      </c>
    </row>
    <row r="1648" spans="2:15" ht="13.5" hidden="1" customHeight="1">
      <c r="B1648" s="33">
        <f t="shared" si="288"/>
        <v>47</v>
      </c>
      <c r="C1648" s="35" t="s">
        <v>101</v>
      </c>
      <c r="D1648" s="35" t="s">
        <v>370</v>
      </c>
      <c r="F1648" s="30" t="s">
        <v>27</v>
      </c>
      <c r="G1648" s="36">
        <f>333*5</f>
        <v>1665</v>
      </c>
      <c r="H1648" s="36">
        <v>1861</v>
      </c>
      <c r="I1648" s="36">
        <v>3240</v>
      </c>
      <c r="J1648" s="36">
        <v>500</v>
      </c>
      <c r="K1648" s="36">
        <f t="shared" si="285"/>
        <v>7266</v>
      </c>
      <c r="L1648" s="36">
        <v>3000</v>
      </c>
      <c r="M1648" s="9">
        <f t="shared" si="286"/>
        <v>0.41288191577208916</v>
      </c>
      <c r="N1648" s="5">
        <v>1</v>
      </c>
      <c r="O1648" s="10">
        <f t="shared" si="287"/>
        <v>0.41288191577208916</v>
      </c>
    </row>
    <row r="1649" spans="1:15" ht="13.5" hidden="1" customHeight="1">
      <c r="B1649" s="33">
        <f t="shared" si="288"/>
        <v>48</v>
      </c>
      <c r="C1649" s="35" t="s">
        <v>344</v>
      </c>
      <c r="D1649" s="35" t="s">
        <v>376</v>
      </c>
      <c r="F1649" s="30" t="s">
        <v>27</v>
      </c>
      <c r="G1649" s="36">
        <f>333*5</f>
        <v>1665</v>
      </c>
      <c r="H1649" s="36">
        <v>1861</v>
      </c>
      <c r="I1649" s="36">
        <v>3240</v>
      </c>
      <c r="J1649" s="36">
        <v>500</v>
      </c>
      <c r="K1649" s="36">
        <f t="shared" si="285"/>
        <v>7266</v>
      </c>
      <c r="L1649" s="36">
        <v>3000</v>
      </c>
      <c r="M1649" s="9">
        <f t="shared" si="286"/>
        <v>0.41288191577208916</v>
      </c>
      <c r="N1649" s="5">
        <v>1</v>
      </c>
      <c r="O1649" s="10">
        <f t="shared" si="287"/>
        <v>0.41288191577208916</v>
      </c>
    </row>
    <row r="1650" spans="1:15" ht="13.5" hidden="1" customHeight="1">
      <c r="B1650" s="33">
        <f t="shared" si="288"/>
        <v>49</v>
      </c>
      <c r="C1650" s="35" t="s">
        <v>351</v>
      </c>
      <c r="D1650" s="35" t="s">
        <v>385</v>
      </c>
      <c r="F1650" s="30" t="s">
        <v>30</v>
      </c>
      <c r="G1650" s="36">
        <f>300*19</f>
        <v>5700</v>
      </c>
      <c r="H1650" s="36">
        <v>1861</v>
      </c>
      <c r="I1650" s="36">
        <v>3240</v>
      </c>
      <c r="J1650" s="36">
        <v>500</v>
      </c>
      <c r="K1650" s="36">
        <f t="shared" si="285"/>
        <v>11301</v>
      </c>
      <c r="L1650" s="36">
        <v>3000</v>
      </c>
      <c r="M1650" s="9">
        <f t="shared" si="286"/>
        <v>0.26546323334218208</v>
      </c>
      <c r="N1650" s="5">
        <v>1</v>
      </c>
      <c r="O1650" s="10">
        <f t="shared" si="287"/>
        <v>0.26546323334218208</v>
      </c>
    </row>
    <row r="1651" spans="1:15" ht="13.5" hidden="1" customHeight="1">
      <c r="B1651" s="33">
        <f t="shared" si="288"/>
        <v>50</v>
      </c>
      <c r="C1651" s="35" t="s">
        <v>90</v>
      </c>
      <c r="D1651" s="35" t="s">
        <v>408</v>
      </c>
      <c r="F1651" s="30" t="s">
        <v>30</v>
      </c>
      <c r="G1651" s="36">
        <f>300*19</f>
        <v>5700</v>
      </c>
      <c r="H1651" s="36">
        <v>1861</v>
      </c>
      <c r="I1651" s="36">
        <v>3240</v>
      </c>
      <c r="J1651" s="36">
        <v>500</v>
      </c>
      <c r="K1651" s="36">
        <f t="shared" si="285"/>
        <v>11301</v>
      </c>
      <c r="L1651" s="36">
        <v>3000</v>
      </c>
      <c r="M1651" s="9">
        <f t="shared" si="286"/>
        <v>0.26546323334218208</v>
      </c>
      <c r="N1651" s="5">
        <v>1</v>
      </c>
      <c r="O1651" s="10">
        <f t="shared" si="287"/>
        <v>0.26546323334218208</v>
      </c>
    </row>
    <row r="1652" spans="1:15" ht="16.5" hidden="1" customHeight="1">
      <c r="A1652" s="66" t="s">
        <v>45</v>
      </c>
      <c r="B1652" s="66"/>
      <c r="C1652" s="66"/>
      <c r="D1652" s="66"/>
      <c r="E1652" s="66"/>
      <c r="F1652" s="66"/>
      <c r="G1652" s="66"/>
      <c r="H1652" s="66"/>
      <c r="I1652" s="66"/>
      <c r="J1652" s="66"/>
      <c r="K1652" s="66"/>
      <c r="L1652" s="66"/>
      <c r="M1652" s="66"/>
      <c r="N1652" s="22">
        <f>SUM(N1602:N1651)</f>
        <v>50</v>
      </c>
      <c r="O1652" s="23" t="e">
        <f>SUM(O1602:O1651)</f>
        <v>#DIV/0!</v>
      </c>
    </row>
    <row r="1653" spans="1:15" ht="13.5" customHeight="1">
      <c r="A1653" s="44" t="s">
        <v>1012</v>
      </c>
      <c r="B1653" s="44"/>
      <c r="C1653" s="44"/>
      <c r="D1653" s="44"/>
      <c r="E1653" s="44"/>
      <c r="F1653" s="44"/>
      <c r="G1653" s="44"/>
      <c r="H1653" s="44"/>
      <c r="I1653" s="44"/>
      <c r="J1653" s="44"/>
      <c r="K1653" s="44"/>
      <c r="L1653" s="44"/>
      <c r="M1653" s="44"/>
      <c r="N1653" s="44"/>
      <c r="O1653" s="44"/>
    </row>
    <row r="1654" spans="1:15" ht="13.5" customHeight="1">
      <c r="B1654" s="33">
        <v>1</v>
      </c>
      <c r="C1654" s="35"/>
      <c r="D1654" s="35"/>
      <c r="F1654" s="30" t="s">
        <v>332</v>
      </c>
      <c r="G1654" s="36">
        <f t="shared" ref="G1654:J1659" si="293">+G1603+G1551+G1499</f>
        <v>17100</v>
      </c>
      <c r="H1654" s="36">
        <f t="shared" si="293"/>
        <v>5583.6</v>
      </c>
      <c r="I1654" s="36">
        <f t="shared" si="293"/>
        <v>7720</v>
      </c>
      <c r="J1654" s="36">
        <f t="shared" si="293"/>
        <v>1500</v>
      </c>
      <c r="K1654" s="36">
        <f t="shared" ref="K1654:K1692" si="294">SUM(G1654:J1654)</f>
        <v>31903.599999999999</v>
      </c>
      <c r="L1654" s="36">
        <v>3000</v>
      </c>
      <c r="M1654" s="9">
        <f t="shared" ref="M1654:M1692" si="295">L1654/K1654</f>
        <v>9.403327524166552E-2</v>
      </c>
      <c r="N1654" s="5">
        <v>1</v>
      </c>
      <c r="O1654" s="10">
        <f t="shared" ref="O1654:O1692" si="296">IF(M1654&gt;1,1,M1654)</f>
        <v>9.403327524166552E-2</v>
      </c>
    </row>
    <row r="1655" spans="1:15" ht="13.5" customHeight="1">
      <c r="B1655" s="33">
        <f t="shared" ref="B1655:B1692" si="297">B1654+1</f>
        <v>2</v>
      </c>
      <c r="C1655" s="35"/>
      <c r="D1655" s="35"/>
      <c r="F1655" s="30" t="s">
        <v>332</v>
      </c>
      <c r="G1655" s="36">
        <f t="shared" si="293"/>
        <v>17100</v>
      </c>
      <c r="H1655" s="36">
        <f t="shared" si="293"/>
        <v>5583.6</v>
      </c>
      <c r="I1655" s="36">
        <f t="shared" si="293"/>
        <v>7720</v>
      </c>
      <c r="J1655" s="36">
        <f t="shared" si="293"/>
        <v>1500</v>
      </c>
      <c r="K1655" s="36">
        <f t="shared" si="294"/>
        <v>31903.599999999999</v>
      </c>
      <c r="L1655" s="36">
        <v>3000</v>
      </c>
      <c r="M1655" s="9">
        <f t="shared" si="295"/>
        <v>9.403327524166552E-2</v>
      </c>
      <c r="N1655" s="5">
        <v>1</v>
      </c>
      <c r="O1655" s="10">
        <f t="shared" si="296"/>
        <v>9.403327524166552E-2</v>
      </c>
    </row>
    <row r="1656" spans="1:15" ht="13.5" customHeight="1">
      <c r="B1656" s="33">
        <f t="shared" si="297"/>
        <v>3</v>
      </c>
      <c r="C1656" s="35"/>
      <c r="D1656" s="35"/>
      <c r="F1656" s="30" t="s">
        <v>217</v>
      </c>
      <c r="G1656" s="36">
        <f t="shared" si="293"/>
        <v>9200</v>
      </c>
      <c r="H1656" s="36">
        <f t="shared" si="293"/>
        <v>5583.6</v>
      </c>
      <c r="I1656" s="36">
        <f t="shared" si="293"/>
        <v>17020</v>
      </c>
      <c r="J1656" s="36">
        <f t="shared" si="293"/>
        <v>1500</v>
      </c>
      <c r="K1656" s="36">
        <f t="shared" si="294"/>
        <v>33303.599999999999</v>
      </c>
      <c r="L1656" s="36">
        <v>3000</v>
      </c>
      <c r="M1656" s="9">
        <f t="shared" si="295"/>
        <v>9.0080351673692938E-2</v>
      </c>
      <c r="N1656" s="5">
        <v>1</v>
      </c>
      <c r="O1656" s="10">
        <f t="shared" si="296"/>
        <v>9.0080351673692938E-2</v>
      </c>
    </row>
    <row r="1657" spans="1:15" ht="13.5" customHeight="1">
      <c r="B1657" s="33">
        <f t="shared" si="297"/>
        <v>4</v>
      </c>
      <c r="C1657" s="35"/>
      <c r="D1657" s="35"/>
      <c r="F1657" s="30" t="s">
        <v>217</v>
      </c>
      <c r="G1657" s="36">
        <f t="shared" si="293"/>
        <v>8400</v>
      </c>
      <c r="H1657" s="36">
        <f t="shared" si="293"/>
        <v>5583.6</v>
      </c>
      <c r="I1657" s="36">
        <f t="shared" si="293"/>
        <v>17020</v>
      </c>
      <c r="J1657" s="36">
        <f t="shared" si="293"/>
        <v>1500</v>
      </c>
      <c r="K1657" s="36">
        <f t="shared" si="294"/>
        <v>32503.599999999999</v>
      </c>
      <c r="L1657" s="36">
        <v>3000</v>
      </c>
      <c r="M1657" s="9">
        <f t="shared" si="295"/>
        <v>9.2297468588094858E-2</v>
      </c>
      <c r="N1657" s="5">
        <v>1</v>
      </c>
      <c r="O1657" s="10">
        <f t="shared" si="296"/>
        <v>9.2297468588094858E-2</v>
      </c>
    </row>
    <row r="1658" spans="1:15" ht="13.5" customHeight="1">
      <c r="B1658" s="33">
        <f t="shared" si="297"/>
        <v>5</v>
      </c>
      <c r="C1658" s="35"/>
      <c r="D1658" s="35"/>
      <c r="F1658" s="30" t="s">
        <v>41</v>
      </c>
      <c r="G1658" s="36">
        <f t="shared" si="293"/>
        <v>17982</v>
      </c>
      <c r="H1658" s="36">
        <f t="shared" si="293"/>
        <v>5583.6</v>
      </c>
      <c r="I1658" s="36">
        <f t="shared" si="293"/>
        <v>8270</v>
      </c>
      <c r="J1658" s="36">
        <f t="shared" si="293"/>
        <v>1500</v>
      </c>
      <c r="K1658" s="36">
        <f t="shared" si="294"/>
        <v>33335.599999999999</v>
      </c>
      <c r="L1658" s="36">
        <v>3000</v>
      </c>
      <c r="M1658" s="9">
        <f t="shared" si="295"/>
        <v>8.9993880416131711E-2</v>
      </c>
      <c r="N1658" s="5">
        <v>1</v>
      </c>
      <c r="O1658" s="10">
        <f t="shared" si="296"/>
        <v>8.9993880416131711E-2</v>
      </c>
    </row>
    <row r="1659" spans="1:15" ht="13.5" customHeight="1">
      <c r="B1659" s="33">
        <f t="shared" si="297"/>
        <v>6</v>
      </c>
      <c r="C1659" s="35"/>
      <c r="D1659" s="35"/>
      <c r="F1659" s="30" t="s">
        <v>41</v>
      </c>
      <c r="G1659" s="36">
        <f t="shared" si="293"/>
        <v>15984</v>
      </c>
      <c r="H1659" s="36">
        <f t="shared" si="293"/>
        <v>5583.6</v>
      </c>
      <c r="I1659" s="36">
        <f t="shared" si="293"/>
        <v>8270</v>
      </c>
      <c r="J1659" s="36">
        <f t="shared" si="293"/>
        <v>1500</v>
      </c>
      <c r="K1659" s="36">
        <v>7437</v>
      </c>
      <c r="L1659" s="36">
        <v>3000</v>
      </c>
      <c r="M1659" s="9">
        <f t="shared" si="295"/>
        <v>0.40338846308995563</v>
      </c>
      <c r="N1659" s="5">
        <v>1</v>
      </c>
      <c r="O1659" s="10">
        <f t="shared" si="296"/>
        <v>0.40338846308995563</v>
      </c>
    </row>
    <row r="1660" spans="1:15" ht="13.5" customHeight="1">
      <c r="B1660" s="33">
        <f t="shared" si="297"/>
        <v>7</v>
      </c>
      <c r="C1660" s="35"/>
      <c r="D1660" s="35"/>
      <c r="F1660" s="30" t="s">
        <v>42</v>
      </c>
      <c r="G1660" s="36">
        <f t="shared" ref="G1660:J1665" si="298">+G1610+G1558+G1506</f>
        <v>20646</v>
      </c>
      <c r="H1660" s="36">
        <f t="shared" si="298"/>
        <v>5583.6</v>
      </c>
      <c r="I1660" s="36">
        <f t="shared" si="298"/>
        <v>7720</v>
      </c>
      <c r="J1660" s="36">
        <f t="shared" si="298"/>
        <v>1500</v>
      </c>
      <c r="K1660" s="36">
        <f t="shared" si="294"/>
        <v>35449.599999999999</v>
      </c>
      <c r="L1660" s="36">
        <v>3000</v>
      </c>
      <c r="M1660" s="9">
        <f t="shared" si="295"/>
        <v>8.4627189023289404E-2</v>
      </c>
      <c r="N1660" s="5">
        <v>1</v>
      </c>
      <c r="O1660" s="10">
        <f t="shared" si="296"/>
        <v>8.4627189023289404E-2</v>
      </c>
    </row>
    <row r="1661" spans="1:15" ht="13.5" customHeight="1">
      <c r="B1661" s="33">
        <f t="shared" si="297"/>
        <v>8</v>
      </c>
      <c r="C1661" s="35"/>
      <c r="D1661" s="35"/>
      <c r="F1661" s="30" t="s">
        <v>42</v>
      </c>
      <c r="G1661" s="36">
        <f t="shared" si="298"/>
        <v>17649</v>
      </c>
      <c r="H1661" s="36">
        <f t="shared" si="298"/>
        <v>5583.6</v>
      </c>
      <c r="I1661" s="36">
        <f t="shared" si="298"/>
        <v>7720</v>
      </c>
      <c r="J1661" s="36">
        <f t="shared" si="298"/>
        <v>1500</v>
      </c>
      <c r="K1661" s="36">
        <f t="shared" si="294"/>
        <v>32452.6</v>
      </c>
      <c r="L1661" s="36">
        <v>3000</v>
      </c>
      <c r="M1661" s="9">
        <f t="shared" si="295"/>
        <v>9.244251616203325E-2</v>
      </c>
      <c r="N1661" s="5">
        <v>1</v>
      </c>
      <c r="O1661" s="10">
        <f t="shared" si="296"/>
        <v>9.244251616203325E-2</v>
      </c>
    </row>
    <row r="1662" spans="1:15" ht="13.5" customHeight="1">
      <c r="A1662" s="1" t="s">
        <v>1017</v>
      </c>
      <c r="B1662" s="33">
        <f t="shared" si="297"/>
        <v>9</v>
      </c>
      <c r="C1662" s="35"/>
      <c r="D1662" s="35"/>
      <c r="F1662" s="30" t="s">
        <v>42</v>
      </c>
      <c r="G1662" s="36">
        <f t="shared" si="298"/>
        <v>20646</v>
      </c>
      <c r="H1662" s="36">
        <f t="shared" si="298"/>
        <v>5583.6</v>
      </c>
      <c r="I1662" s="36">
        <f t="shared" si="298"/>
        <v>7720</v>
      </c>
      <c r="J1662" s="36">
        <f t="shared" si="298"/>
        <v>1500</v>
      </c>
      <c r="K1662" s="36">
        <v>22449</v>
      </c>
      <c r="L1662" s="36">
        <v>3000</v>
      </c>
      <c r="M1662" s="9">
        <f t="shared" si="295"/>
        <v>0.13363624214887077</v>
      </c>
      <c r="N1662" s="5">
        <v>1</v>
      </c>
      <c r="O1662" s="10">
        <f t="shared" si="296"/>
        <v>0.13363624214887077</v>
      </c>
    </row>
    <row r="1663" spans="1:15" ht="13.5" customHeight="1">
      <c r="B1663" s="33">
        <f t="shared" si="297"/>
        <v>10</v>
      </c>
      <c r="C1663" s="35"/>
      <c r="D1663" s="35"/>
      <c r="F1663" s="30" t="s">
        <v>42</v>
      </c>
      <c r="G1663" s="36">
        <f t="shared" si="298"/>
        <v>20646</v>
      </c>
      <c r="H1663" s="36">
        <f t="shared" si="298"/>
        <v>5583.6</v>
      </c>
      <c r="I1663" s="36">
        <f t="shared" si="298"/>
        <v>7720</v>
      </c>
      <c r="J1663" s="36">
        <f t="shared" si="298"/>
        <v>1500</v>
      </c>
      <c r="K1663" s="36">
        <f t="shared" si="294"/>
        <v>35449.599999999999</v>
      </c>
      <c r="L1663" s="36">
        <v>3000</v>
      </c>
      <c r="M1663" s="9">
        <f t="shared" si="295"/>
        <v>8.4627189023289404E-2</v>
      </c>
      <c r="N1663" s="5">
        <v>1</v>
      </c>
      <c r="O1663" s="10">
        <f t="shared" si="296"/>
        <v>8.4627189023289404E-2</v>
      </c>
    </row>
    <row r="1664" spans="1:15" ht="13.5" customHeight="1">
      <c r="B1664" s="33">
        <f t="shared" si="297"/>
        <v>11</v>
      </c>
      <c r="C1664" s="35"/>
      <c r="D1664" s="35"/>
      <c r="F1664" s="30" t="s">
        <v>25</v>
      </c>
      <c r="G1664" s="36">
        <f t="shared" si="298"/>
        <v>13500</v>
      </c>
      <c r="H1664" s="36">
        <f t="shared" si="298"/>
        <v>5583.6</v>
      </c>
      <c r="I1664" s="36">
        <f t="shared" si="298"/>
        <v>7720</v>
      </c>
      <c r="J1664" s="36">
        <f t="shared" si="298"/>
        <v>1500</v>
      </c>
      <c r="K1664" s="36">
        <f t="shared" si="294"/>
        <v>28303.599999999999</v>
      </c>
      <c r="L1664" s="36">
        <v>3000</v>
      </c>
      <c r="M1664" s="9">
        <f t="shared" si="295"/>
        <v>0.10599358385505732</v>
      </c>
      <c r="N1664" s="5">
        <v>1</v>
      </c>
      <c r="O1664" s="10">
        <f t="shared" si="296"/>
        <v>0.10599358385505732</v>
      </c>
    </row>
    <row r="1665" spans="1:15" ht="13.5" customHeight="1">
      <c r="B1665" s="33">
        <f t="shared" si="297"/>
        <v>12</v>
      </c>
      <c r="C1665" s="35"/>
      <c r="D1665" s="35"/>
      <c r="F1665" s="30" t="s">
        <v>25</v>
      </c>
      <c r="G1665" s="36">
        <f t="shared" si="298"/>
        <v>15000</v>
      </c>
      <c r="H1665" s="36">
        <f t="shared" si="298"/>
        <v>5583.6</v>
      </c>
      <c r="I1665" s="36">
        <f t="shared" si="298"/>
        <v>7720</v>
      </c>
      <c r="J1665" s="36">
        <f t="shared" si="298"/>
        <v>1500</v>
      </c>
      <c r="K1665" s="36">
        <f t="shared" si="294"/>
        <v>29803.599999999999</v>
      </c>
      <c r="L1665" s="36">
        <v>3000</v>
      </c>
      <c r="M1665" s="9">
        <f t="shared" si="295"/>
        <v>0.10065898079426647</v>
      </c>
      <c r="N1665" s="5">
        <v>1</v>
      </c>
      <c r="O1665" s="10">
        <f t="shared" si="296"/>
        <v>0.10065898079426647</v>
      </c>
    </row>
    <row r="1666" spans="1:15" ht="13.5" customHeight="1">
      <c r="B1666" s="33">
        <f t="shared" si="297"/>
        <v>13</v>
      </c>
      <c r="C1666" s="35"/>
      <c r="D1666" s="35"/>
      <c r="F1666" s="30" t="s">
        <v>159</v>
      </c>
      <c r="G1666" s="36">
        <f>+G1617+G1565+G1513</f>
        <v>18648</v>
      </c>
      <c r="H1666" s="36">
        <f>+H1617+H1565+H1513</f>
        <v>5583.6</v>
      </c>
      <c r="I1666" s="36">
        <f>+I1617+I1565+I1513</f>
        <v>7720</v>
      </c>
      <c r="J1666" s="36">
        <f>+J1617+J1565+J1513</f>
        <v>2300</v>
      </c>
      <c r="K1666" s="36">
        <f t="shared" si="294"/>
        <v>34251.599999999999</v>
      </c>
      <c r="L1666" s="36">
        <v>3000</v>
      </c>
      <c r="M1666" s="9">
        <f t="shared" si="295"/>
        <v>8.75871492134674E-2</v>
      </c>
      <c r="N1666" s="5">
        <v>1</v>
      </c>
      <c r="O1666" s="10">
        <f t="shared" si="296"/>
        <v>8.75871492134674E-2</v>
      </c>
    </row>
    <row r="1667" spans="1:15" ht="13.5" customHeight="1">
      <c r="B1667" s="33">
        <f t="shared" si="297"/>
        <v>14</v>
      </c>
      <c r="C1667" s="35"/>
      <c r="D1667" s="35"/>
      <c r="F1667" s="30" t="s">
        <v>159</v>
      </c>
      <c r="G1667" s="36">
        <f t="shared" ref="G1667:J1673" si="299">+G1619+G1567+G1515</f>
        <v>11322</v>
      </c>
      <c r="H1667" s="36">
        <f t="shared" si="299"/>
        <v>3722.6</v>
      </c>
      <c r="I1667" s="36">
        <f t="shared" si="299"/>
        <v>4480</v>
      </c>
      <c r="J1667" s="36">
        <f t="shared" si="299"/>
        <v>1800</v>
      </c>
      <c r="K1667" s="36">
        <f t="shared" si="294"/>
        <v>21324.6</v>
      </c>
      <c r="L1667" s="36">
        <v>3000</v>
      </c>
      <c r="M1667" s="9">
        <f t="shared" si="295"/>
        <v>0.14068259193607385</v>
      </c>
      <c r="N1667" s="5">
        <v>1</v>
      </c>
      <c r="O1667" s="10">
        <f t="shared" si="296"/>
        <v>0.14068259193607385</v>
      </c>
    </row>
    <row r="1668" spans="1:15" ht="13.5" customHeight="1">
      <c r="B1668" s="33">
        <f t="shared" si="297"/>
        <v>15</v>
      </c>
      <c r="C1668" s="35"/>
      <c r="D1668" s="35"/>
      <c r="F1668" s="30" t="s">
        <v>159</v>
      </c>
      <c r="G1668" s="36">
        <f t="shared" si="299"/>
        <v>18648</v>
      </c>
      <c r="H1668" s="36">
        <f t="shared" si="299"/>
        <v>5583.6</v>
      </c>
      <c r="I1668" s="36">
        <f t="shared" si="299"/>
        <v>7720</v>
      </c>
      <c r="J1668" s="36">
        <f t="shared" si="299"/>
        <v>2300</v>
      </c>
      <c r="K1668" s="36">
        <f t="shared" si="294"/>
        <v>34251.599999999999</v>
      </c>
      <c r="L1668" s="36">
        <v>3000</v>
      </c>
      <c r="M1668" s="9">
        <f t="shared" si="295"/>
        <v>8.75871492134674E-2</v>
      </c>
      <c r="N1668" s="5">
        <v>1</v>
      </c>
      <c r="O1668" s="10">
        <f t="shared" si="296"/>
        <v>8.75871492134674E-2</v>
      </c>
    </row>
    <row r="1669" spans="1:15" ht="13.5" customHeight="1">
      <c r="B1669" s="33">
        <f t="shared" si="297"/>
        <v>16</v>
      </c>
      <c r="C1669" s="35"/>
      <c r="D1669" s="35"/>
      <c r="F1669" s="30" t="s">
        <v>216</v>
      </c>
      <c r="G1669" s="36">
        <f t="shared" si="299"/>
        <v>11700</v>
      </c>
      <c r="H1669" s="36">
        <f t="shared" si="299"/>
        <v>5583.6</v>
      </c>
      <c r="I1669" s="36">
        <f t="shared" si="299"/>
        <v>7720</v>
      </c>
      <c r="J1669" s="36">
        <f t="shared" si="299"/>
        <v>1000</v>
      </c>
      <c r="K1669" s="36">
        <f t="shared" si="294"/>
        <v>26003.599999999999</v>
      </c>
      <c r="L1669" s="36">
        <v>3000</v>
      </c>
      <c r="M1669" s="9">
        <f t="shared" si="295"/>
        <v>0.11536864126505561</v>
      </c>
      <c r="N1669" s="5">
        <v>1</v>
      </c>
      <c r="O1669" s="10">
        <f t="shared" si="296"/>
        <v>0.11536864126505561</v>
      </c>
    </row>
    <row r="1670" spans="1:15" ht="13.5" customHeight="1">
      <c r="B1670" s="33">
        <f t="shared" si="297"/>
        <v>17</v>
      </c>
      <c r="C1670" s="35"/>
      <c r="D1670" s="35"/>
      <c r="F1670" s="30" t="s">
        <v>33</v>
      </c>
      <c r="G1670" s="36">
        <f t="shared" si="299"/>
        <v>18981</v>
      </c>
      <c r="H1670" s="36">
        <f t="shared" si="299"/>
        <v>5583.6</v>
      </c>
      <c r="I1670" s="36">
        <f t="shared" si="299"/>
        <v>7720</v>
      </c>
      <c r="J1670" s="36">
        <f t="shared" si="299"/>
        <v>2000</v>
      </c>
      <c r="K1670" s="36">
        <f t="shared" si="294"/>
        <v>34284.6</v>
      </c>
      <c r="L1670" s="36">
        <v>3000</v>
      </c>
      <c r="M1670" s="9">
        <f t="shared" si="295"/>
        <v>8.7502843842424877E-2</v>
      </c>
      <c r="N1670" s="5">
        <v>1</v>
      </c>
      <c r="O1670" s="10">
        <f t="shared" si="296"/>
        <v>8.7502843842424877E-2</v>
      </c>
    </row>
    <row r="1671" spans="1:15" ht="13.5" customHeight="1">
      <c r="B1671" s="33">
        <f t="shared" si="297"/>
        <v>18</v>
      </c>
      <c r="C1671" s="35"/>
      <c r="D1671" s="35"/>
      <c r="F1671" s="30" t="s">
        <v>33</v>
      </c>
      <c r="G1671" s="36">
        <f t="shared" si="299"/>
        <v>18981</v>
      </c>
      <c r="H1671" s="36">
        <f t="shared" si="299"/>
        <v>5583.6</v>
      </c>
      <c r="I1671" s="36">
        <f t="shared" si="299"/>
        <v>7720</v>
      </c>
      <c r="J1671" s="36">
        <f t="shared" si="299"/>
        <v>2000</v>
      </c>
      <c r="K1671" s="36">
        <f t="shared" si="294"/>
        <v>34284.6</v>
      </c>
      <c r="L1671" s="36">
        <v>3000</v>
      </c>
      <c r="M1671" s="9">
        <f t="shared" si="295"/>
        <v>8.7502843842424877E-2</v>
      </c>
      <c r="N1671" s="5">
        <v>1</v>
      </c>
      <c r="O1671" s="10">
        <f t="shared" si="296"/>
        <v>8.7502843842424877E-2</v>
      </c>
    </row>
    <row r="1672" spans="1:15" ht="13.5" customHeight="1">
      <c r="A1672" s="1" t="s">
        <v>1017</v>
      </c>
      <c r="B1672" s="33">
        <f t="shared" si="297"/>
        <v>19</v>
      </c>
      <c r="C1672" s="35"/>
      <c r="D1672" s="35"/>
      <c r="F1672" s="30" t="s">
        <v>33</v>
      </c>
      <c r="G1672" s="36">
        <f t="shared" si="299"/>
        <v>18981</v>
      </c>
      <c r="H1672" s="36">
        <f t="shared" si="299"/>
        <v>5583.6</v>
      </c>
      <c r="I1672" s="36">
        <f t="shared" si="299"/>
        <v>7720</v>
      </c>
      <c r="J1672" s="36">
        <f t="shared" si="299"/>
        <v>2000</v>
      </c>
      <c r="K1672" s="36">
        <v>23184</v>
      </c>
      <c r="L1672" s="36">
        <v>3000</v>
      </c>
      <c r="M1672" s="9">
        <f t="shared" si="295"/>
        <v>0.12939958592132506</v>
      </c>
      <c r="N1672" s="5">
        <v>1</v>
      </c>
      <c r="O1672" s="10">
        <f t="shared" si="296"/>
        <v>0.12939958592132506</v>
      </c>
    </row>
    <row r="1673" spans="1:15" ht="13.5" customHeight="1">
      <c r="B1673" s="33">
        <f t="shared" si="297"/>
        <v>20</v>
      </c>
      <c r="C1673" s="35"/>
      <c r="D1673" s="35"/>
      <c r="F1673" s="30" t="s">
        <v>33</v>
      </c>
      <c r="G1673" s="36">
        <f t="shared" si="299"/>
        <v>18981</v>
      </c>
      <c r="H1673" s="36">
        <f t="shared" si="299"/>
        <v>5583.6</v>
      </c>
      <c r="I1673" s="36">
        <f t="shared" si="299"/>
        <v>7720</v>
      </c>
      <c r="J1673" s="36">
        <f t="shared" si="299"/>
        <v>2000</v>
      </c>
      <c r="K1673" s="36">
        <f t="shared" si="294"/>
        <v>34284.6</v>
      </c>
      <c r="L1673" s="36">
        <v>3000</v>
      </c>
      <c r="M1673" s="9">
        <f t="shared" si="295"/>
        <v>8.7502843842424877E-2</v>
      </c>
      <c r="N1673" s="5">
        <v>1</v>
      </c>
      <c r="O1673" s="10">
        <f t="shared" si="296"/>
        <v>8.7502843842424877E-2</v>
      </c>
    </row>
    <row r="1674" spans="1:15" ht="13.5" customHeight="1">
      <c r="B1674" s="33">
        <f t="shared" si="297"/>
        <v>21</v>
      </c>
      <c r="C1674" s="35"/>
      <c r="D1674" s="35"/>
      <c r="F1674" s="30" t="s">
        <v>33</v>
      </c>
      <c r="G1674" s="36">
        <f t="shared" ref="G1674:J1675" si="300">+G1627+G1575+G1523</f>
        <v>12321</v>
      </c>
      <c r="H1674" s="36">
        <f t="shared" si="300"/>
        <v>3722.6</v>
      </c>
      <c r="I1674" s="36">
        <f t="shared" si="300"/>
        <v>4480</v>
      </c>
      <c r="J1674" s="36">
        <f t="shared" si="300"/>
        <v>1500</v>
      </c>
      <c r="K1674" s="36">
        <f t="shared" si="294"/>
        <v>22023.599999999999</v>
      </c>
      <c r="L1674" s="36">
        <v>3000</v>
      </c>
      <c r="M1674" s="9">
        <f t="shared" si="295"/>
        <v>0.13621751212335859</v>
      </c>
      <c r="N1674" s="5">
        <v>1</v>
      </c>
      <c r="O1674" s="10">
        <f t="shared" si="296"/>
        <v>0.13621751212335859</v>
      </c>
    </row>
    <row r="1675" spans="1:15" ht="13.5" customHeight="1">
      <c r="A1675" s="1" t="s">
        <v>1017</v>
      </c>
      <c r="B1675" s="33">
        <f t="shared" si="297"/>
        <v>22</v>
      </c>
      <c r="C1675" s="35"/>
      <c r="D1675" s="35"/>
      <c r="F1675" s="30" t="s">
        <v>44</v>
      </c>
      <c r="G1675" s="36">
        <f t="shared" si="300"/>
        <v>15651</v>
      </c>
      <c r="H1675" s="36">
        <f t="shared" si="300"/>
        <v>5583.6</v>
      </c>
      <c r="I1675" s="36">
        <f t="shared" si="300"/>
        <v>7720</v>
      </c>
      <c r="J1675" s="36">
        <f t="shared" si="300"/>
        <v>2000</v>
      </c>
      <c r="K1675" s="36">
        <v>18204</v>
      </c>
      <c r="L1675" s="36">
        <v>3000</v>
      </c>
      <c r="M1675" s="9">
        <f t="shared" si="295"/>
        <v>0.16479894528675015</v>
      </c>
      <c r="N1675" s="5">
        <v>1</v>
      </c>
      <c r="O1675" s="10">
        <f t="shared" si="296"/>
        <v>0.16479894528675015</v>
      </c>
    </row>
    <row r="1676" spans="1:15" ht="13.5" customHeight="1">
      <c r="B1676" s="33">
        <f t="shared" si="297"/>
        <v>23</v>
      </c>
      <c r="C1676" s="35"/>
      <c r="D1676" s="35"/>
      <c r="F1676" s="30" t="s">
        <v>28</v>
      </c>
      <c r="G1676" s="36">
        <f>+G1630+G1578+G1526</f>
        <v>13800</v>
      </c>
      <c r="H1676" s="36">
        <f>+H1630+H1578+H1526</f>
        <v>5583.6</v>
      </c>
      <c r="I1676" s="36">
        <f>+I1630+I1578+I1526</f>
        <v>7720</v>
      </c>
      <c r="J1676" s="36">
        <f>+J1630+J1578+J1526</f>
        <v>2000</v>
      </c>
      <c r="K1676" s="36">
        <f t="shared" si="294"/>
        <v>29103.599999999999</v>
      </c>
      <c r="L1676" s="36">
        <v>3000</v>
      </c>
      <c r="M1676" s="9">
        <f t="shared" si="295"/>
        <v>0.10308003133632954</v>
      </c>
      <c r="N1676" s="5">
        <v>1</v>
      </c>
      <c r="O1676" s="10">
        <f t="shared" si="296"/>
        <v>0.10308003133632954</v>
      </c>
    </row>
    <row r="1677" spans="1:15" ht="13.5" customHeight="1">
      <c r="B1677" s="33">
        <f t="shared" si="297"/>
        <v>24</v>
      </c>
      <c r="C1677" s="35"/>
      <c r="D1677" s="35"/>
      <c r="F1677" s="30" t="s">
        <v>31</v>
      </c>
      <c r="G1677" s="36">
        <f t="shared" ref="G1677:J1678" si="301">+G1632+G1580+G1528</f>
        <v>20979</v>
      </c>
      <c r="H1677" s="36">
        <f t="shared" si="301"/>
        <v>5583.6</v>
      </c>
      <c r="I1677" s="36">
        <f t="shared" si="301"/>
        <v>7720</v>
      </c>
      <c r="J1677" s="36">
        <f t="shared" si="301"/>
        <v>2300</v>
      </c>
      <c r="K1677" s="36">
        <f t="shared" si="294"/>
        <v>36582.6</v>
      </c>
      <c r="L1677" s="36">
        <v>3000</v>
      </c>
      <c r="M1677" s="9">
        <f t="shared" si="295"/>
        <v>8.2006199668694962E-2</v>
      </c>
      <c r="N1677" s="5">
        <v>1</v>
      </c>
      <c r="O1677" s="10">
        <f t="shared" si="296"/>
        <v>8.2006199668694962E-2</v>
      </c>
    </row>
    <row r="1678" spans="1:15" ht="13.5" customHeight="1">
      <c r="B1678" s="33">
        <f t="shared" si="297"/>
        <v>25</v>
      </c>
      <c r="C1678" s="35"/>
      <c r="D1678" s="35"/>
      <c r="F1678" s="30" t="s">
        <v>31</v>
      </c>
      <c r="G1678" s="36">
        <f t="shared" si="301"/>
        <v>20979</v>
      </c>
      <c r="H1678" s="36">
        <f t="shared" si="301"/>
        <v>5583.6</v>
      </c>
      <c r="I1678" s="36">
        <f t="shared" si="301"/>
        <v>7720</v>
      </c>
      <c r="J1678" s="36">
        <f t="shared" si="301"/>
        <v>2300</v>
      </c>
      <c r="K1678" s="36">
        <v>25632</v>
      </c>
      <c r="L1678" s="36">
        <v>3000</v>
      </c>
      <c r="M1678" s="9">
        <f t="shared" si="295"/>
        <v>0.11704119850187265</v>
      </c>
      <c r="N1678" s="5">
        <v>1</v>
      </c>
      <c r="O1678" s="10">
        <f t="shared" si="296"/>
        <v>0.11704119850187265</v>
      </c>
    </row>
    <row r="1679" spans="1:15" ht="13.5" customHeight="1">
      <c r="A1679" s="1" t="s">
        <v>1017</v>
      </c>
      <c r="B1679" s="33">
        <f t="shared" si="297"/>
        <v>26</v>
      </c>
      <c r="C1679" s="35"/>
      <c r="D1679" s="35"/>
      <c r="F1679" s="30" t="s">
        <v>26</v>
      </c>
      <c r="G1679" s="36">
        <f t="shared" ref="G1679:J1681" si="302">+G1635+G1583+G1531</f>
        <v>19980</v>
      </c>
      <c r="H1679" s="36">
        <f t="shared" si="302"/>
        <v>5583.6</v>
      </c>
      <c r="I1679" s="36">
        <f t="shared" si="302"/>
        <v>7720</v>
      </c>
      <c r="J1679" s="36">
        <f t="shared" si="302"/>
        <v>4100</v>
      </c>
      <c r="K1679" s="36">
        <v>25683</v>
      </c>
      <c r="L1679" s="36">
        <v>3000</v>
      </c>
      <c r="M1679" s="9">
        <f t="shared" si="295"/>
        <v>0.11680878402055835</v>
      </c>
      <c r="N1679" s="5">
        <v>1</v>
      </c>
      <c r="O1679" s="10">
        <f t="shared" si="296"/>
        <v>0.11680878402055835</v>
      </c>
    </row>
    <row r="1680" spans="1:15" ht="13.5" customHeight="1">
      <c r="A1680" s="1" t="s">
        <v>1017</v>
      </c>
      <c r="B1680" s="33">
        <f t="shared" si="297"/>
        <v>27</v>
      </c>
      <c r="C1680" s="35"/>
      <c r="D1680" s="35"/>
      <c r="F1680" s="30" t="s">
        <v>26</v>
      </c>
      <c r="G1680" s="36">
        <f t="shared" si="302"/>
        <v>19980</v>
      </c>
      <c r="H1680" s="36">
        <f t="shared" si="302"/>
        <v>5583.6</v>
      </c>
      <c r="I1680" s="36">
        <f t="shared" si="302"/>
        <v>7720</v>
      </c>
      <c r="J1680" s="36">
        <f t="shared" si="302"/>
        <v>4100</v>
      </c>
      <c r="K1680" s="36">
        <v>25683</v>
      </c>
      <c r="L1680" s="36">
        <v>3000</v>
      </c>
      <c r="M1680" s="9">
        <f t="shared" si="295"/>
        <v>0.11680878402055835</v>
      </c>
      <c r="N1680" s="5">
        <v>1</v>
      </c>
      <c r="O1680" s="10">
        <f t="shared" si="296"/>
        <v>0.11680878402055835</v>
      </c>
    </row>
    <row r="1681" spans="1:15" ht="13.5" customHeight="1">
      <c r="B1681" s="33">
        <f t="shared" si="297"/>
        <v>28</v>
      </c>
      <c r="C1681" s="35"/>
      <c r="D1681" s="35"/>
      <c r="F1681" s="30" t="s">
        <v>26</v>
      </c>
      <c r="G1681" s="36">
        <f t="shared" si="302"/>
        <v>19980</v>
      </c>
      <c r="H1681" s="36">
        <f t="shared" si="302"/>
        <v>5583.6</v>
      </c>
      <c r="I1681" s="36">
        <f t="shared" si="302"/>
        <v>7720</v>
      </c>
      <c r="J1681" s="36">
        <f t="shared" si="302"/>
        <v>4100</v>
      </c>
      <c r="K1681" s="36">
        <f t="shared" si="294"/>
        <v>37383.599999999999</v>
      </c>
      <c r="L1681" s="36">
        <v>3000</v>
      </c>
      <c r="M1681" s="9">
        <f t="shared" si="295"/>
        <v>8.0249093185247006E-2</v>
      </c>
      <c r="N1681" s="5">
        <v>1</v>
      </c>
      <c r="O1681" s="10">
        <f t="shared" si="296"/>
        <v>8.0249093185247006E-2</v>
      </c>
    </row>
    <row r="1682" spans="1:15" ht="13.5" customHeight="1">
      <c r="A1682" s="1" t="s">
        <v>1018</v>
      </c>
      <c r="B1682" s="33">
        <f t="shared" si="297"/>
        <v>29</v>
      </c>
      <c r="C1682" s="35"/>
      <c r="D1682" s="35"/>
      <c r="F1682" s="30" t="s">
        <v>32</v>
      </c>
      <c r="G1682" s="36">
        <f t="shared" ref="G1682:J1686" si="303">+G1640+G1588+G1536</f>
        <v>14400</v>
      </c>
      <c r="H1682" s="36">
        <f t="shared" si="303"/>
        <v>5583.6</v>
      </c>
      <c r="I1682" s="36">
        <f t="shared" si="303"/>
        <v>7720</v>
      </c>
      <c r="J1682" s="36">
        <f t="shared" si="303"/>
        <v>2300</v>
      </c>
      <c r="K1682" s="36">
        <v>10200</v>
      </c>
      <c r="L1682" s="36">
        <v>3000</v>
      </c>
      <c r="M1682" s="9">
        <f t="shared" si="295"/>
        <v>0.29411764705882354</v>
      </c>
      <c r="N1682" s="5">
        <v>1</v>
      </c>
      <c r="O1682" s="10">
        <f t="shared" si="296"/>
        <v>0.29411764705882354</v>
      </c>
    </row>
    <row r="1683" spans="1:15" ht="13.5" customHeight="1">
      <c r="B1683" s="33">
        <f t="shared" si="297"/>
        <v>30</v>
      </c>
      <c r="C1683" s="35"/>
      <c r="D1683" s="35"/>
      <c r="F1683" s="30" t="s">
        <v>32</v>
      </c>
      <c r="G1683" s="36">
        <f t="shared" si="303"/>
        <v>14400</v>
      </c>
      <c r="H1683" s="36">
        <f t="shared" si="303"/>
        <v>5583.6</v>
      </c>
      <c r="I1683" s="36">
        <f t="shared" si="303"/>
        <v>7720</v>
      </c>
      <c r="J1683" s="36">
        <f t="shared" si="303"/>
        <v>2300</v>
      </c>
      <c r="K1683" s="36">
        <f t="shared" si="294"/>
        <v>30003.599999999999</v>
      </c>
      <c r="L1683" s="36">
        <v>3000</v>
      </c>
      <c r="M1683" s="9">
        <f t="shared" si="295"/>
        <v>9.9988001439827223E-2</v>
      </c>
      <c r="N1683" s="5">
        <v>1</v>
      </c>
      <c r="O1683" s="10">
        <f t="shared" si="296"/>
        <v>9.9988001439827223E-2</v>
      </c>
    </row>
    <row r="1684" spans="1:15" ht="13.5" customHeight="1">
      <c r="A1684" s="1" t="s">
        <v>1017</v>
      </c>
      <c r="B1684" s="33">
        <f t="shared" si="297"/>
        <v>31</v>
      </c>
      <c r="C1684" s="35"/>
      <c r="D1684" s="35"/>
      <c r="F1684" s="30" t="s">
        <v>32</v>
      </c>
      <c r="G1684" s="36">
        <f t="shared" si="303"/>
        <v>14400</v>
      </c>
      <c r="H1684" s="36">
        <f t="shared" si="303"/>
        <v>5583.6</v>
      </c>
      <c r="I1684" s="36">
        <f t="shared" si="303"/>
        <v>7720</v>
      </c>
      <c r="J1684" s="36">
        <f t="shared" si="303"/>
        <v>2300</v>
      </c>
      <c r="K1684" s="36">
        <v>17403</v>
      </c>
      <c r="L1684" s="36">
        <v>3000</v>
      </c>
      <c r="M1684" s="9">
        <f t="shared" si="295"/>
        <v>0.17238407171177383</v>
      </c>
      <c r="N1684" s="5">
        <v>1</v>
      </c>
      <c r="O1684" s="10">
        <f t="shared" si="296"/>
        <v>0.17238407171177383</v>
      </c>
    </row>
    <row r="1685" spans="1:15" ht="13.5" customHeight="1">
      <c r="A1685" s="1" t="s">
        <v>1018</v>
      </c>
      <c r="B1685" s="33">
        <f t="shared" si="297"/>
        <v>32</v>
      </c>
      <c r="C1685" s="35"/>
      <c r="D1685" s="35"/>
      <c r="F1685" s="30" t="s">
        <v>32</v>
      </c>
      <c r="G1685" s="36">
        <f t="shared" si="303"/>
        <v>14400</v>
      </c>
      <c r="H1685" s="36">
        <f t="shared" si="303"/>
        <v>5583.6</v>
      </c>
      <c r="I1685" s="36">
        <f t="shared" si="303"/>
        <v>7720</v>
      </c>
      <c r="J1685" s="36">
        <f t="shared" si="303"/>
        <v>2300</v>
      </c>
      <c r="K1685" s="36">
        <v>5003.6000000000004</v>
      </c>
      <c r="L1685" s="36">
        <v>3000</v>
      </c>
      <c r="M1685" s="9">
        <f t="shared" si="295"/>
        <v>0.59956831081621231</v>
      </c>
      <c r="N1685" s="5">
        <v>1</v>
      </c>
      <c r="O1685" s="10">
        <f t="shared" si="296"/>
        <v>0.59956831081621231</v>
      </c>
    </row>
    <row r="1686" spans="1:15" ht="13.5" customHeight="1">
      <c r="A1686" s="1" t="s">
        <v>1017</v>
      </c>
      <c r="B1686" s="33">
        <f t="shared" si="297"/>
        <v>33</v>
      </c>
      <c r="C1686" s="35"/>
      <c r="D1686" s="35"/>
      <c r="F1686" s="30" t="s">
        <v>32</v>
      </c>
      <c r="G1686" s="36">
        <f t="shared" si="303"/>
        <v>14400</v>
      </c>
      <c r="H1686" s="36">
        <f t="shared" si="303"/>
        <v>5583.6</v>
      </c>
      <c r="I1686" s="36">
        <f t="shared" si="303"/>
        <v>7720</v>
      </c>
      <c r="J1686" s="36">
        <f t="shared" si="303"/>
        <v>2300</v>
      </c>
      <c r="K1686" s="36">
        <v>17403</v>
      </c>
      <c r="L1686" s="36">
        <v>3000</v>
      </c>
      <c r="M1686" s="9">
        <f t="shared" si="295"/>
        <v>0.17238407171177383</v>
      </c>
      <c r="N1686" s="5">
        <v>1</v>
      </c>
      <c r="O1686" s="10">
        <f t="shared" si="296"/>
        <v>0.17238407171177383</v>
      </c>
    </row>
    <row r="1687" spans="1:15" ht="13.5" customHeight="1">
      <c r="B1687" s="33">
        <f t="shared" si="297"/>
        <v>34</v>
      </c>
      <c r="C1687" s="35"/>
      <c r="D1687" s="35"/>
      <c r="F1687" s="30" t="s">
        <v>43</v>
      </c>
      <c r="G1687" s="36">
        <f t="shared" ref="G1687:J1692" si="304">+G1646+G1594+G1542</f>
        <v>18981</v>
      </c>
      <c r="H1687" s="36">
        <f t="shared" si="304"/>
        <v>5583.6</v>
      </c>
      <c r="I1687" s="36">
        <f t="shared" si="304"/>
        <v>7720</v>
      </c>
      <c r="J1687" s="36">
        <f t="shared" si="304"/>
        <v>1500</v>
      </c>
      <c r="K1687" s="36">
        <f t="shared" si="294"/>
        <v>33784.6</v>
      </c>
      <c r="L1687" s="36">
        <v>3000</v>
      </c>
      <c r="M1687" s="9">
        <f t="shared" si="295"/>
        <v>8.8797854643831803E-2</v>
      </c>
      <c r="N1687" s="5">
        <v>1</v>
      </c>
      <c r="O1687" s="10">
        <f t="shared" si="296"/>
        <v>8.8797854643831803E-2</v>
      </c>
    </row>
    <row r="1688" spans="1:15" ht="13.5" customHeight="1">
      <c r="B1688" s="33">
        <f t="shared" si="297"/>
        <v>35</v>
      </c>
      <c r="C1688" s="35"/>
      <c r="D1688" s="35"/>
      <c r="F1688" s="30" t="s">
        <v>43</v>
      </c>
      <c r="G1688" s="36">
        <f t="shared" si="304"/>
        <v>18981</v>
      </c>
      <c r="H1688" s="36">
        <f t="shared" si="304"/>
        <v>5583.6</v>
      </c>
      <c r="I1688" s="36">
        <f t="shared" si="304"/>
        <v>7720</v>
      </c>
      <c r="J1688" s="36">
        <f t="shared" si="304"/>
        <v>1500</v>
      </c>
      <c r="K1688" s="36">
        <f t="shared" si="294"/>
        <v>33784.6</v>
      </c>
      <c r="L1688" s="36">
        <v>3000</v>
      </c>
      <c r="M1688" s="9">
        <f t="shared" si="295"/>
        <v>8.8797854643831803E-2</v>
      </c>
      <c r="N1688" s="5">
        <v>1</v>
      </c>
      <c r="O1688" s="10">
        <f t="shared" si="296"/>
        <v>8.8797854643831803E-2</v>
      </c>
    </row>
    <row r="1689" spans="1:15" ht="13.5" customHeight="1">
      <c r="A1689" s="1" t="s">
        <v>1017</v>
      </c>
      <c r="B1689" s="33">
        <f t="shared" si="297"/>
        <v>36</v>
      </c>
      <c r="C1689" s="35"/>
      <c r="D1689" s="35"/>
      <c r="F1689" s="30" t="s">
        <v>27</v>
      </c>
      <c r="G1689" s="36">
        <f t="shared" si="304"/>
        <v>15651</v>
      </c>
      <c r="H1689" s="36">
        <f t="shared" si="304"/>
        <v>5583.6</v>
      </c>
      <c r="I1689" s="36">
        <f t="shared" si="304"/>
        <v>7720</v>
      </c>
      <c r="J1689" s="36">
        <f t="shared" si="304"/>
        <v>1500</v>
      </c>
      <c r="K1689" s="36">
        <v>17454</v>
      </c>
      <c r="L1689" s="36">
        <v>3000</v>
      </c>
      <c r="M1689" s="9">
        <f t="shared" si="295"/>
        <v>0.17188037126160194</v>
      </c>
      <c r="N1689" s="5">
        <v>1</v>
      </c>
      <c r="O1689" s="10">
        <f t="shared" si="296"/>
        <v>0.17188037126160194</v>
      </c>
    </row>
    <row r="1690" spans="1:15" ht="13.5" customHeight="1">
      <c r="A1690" s="1" t="s">
        <v>1017</v>
      </c>
      <c r="B1690" s="33">
        <f t="shared" si="297"/>
        <v>37</v>
      </c>
      <c r="C1690" s="35"/>
      <c r="D1690" s="35"/>
      <c r="F1690" s="30" t="s">
        <v>27</v>
      </c>
      <c r="G1690" s="36">
        <f t="shared" si="304"/>
        <v>13653</v>
      </c>
      <c r="H1690" s="36">
        <f t="shared" si="304"/>
        <v>5583.6</v>
      </c>
      <c r="I1690" s="36">
        <f t="shared" si="304"/>
        <v>7720</v>
      </c>
      <c r="J1690" s="36">
        <f t="shared" si="304"/>
        <v>1500</v>
      </c>
      <c r="K1690" s="36">
        <v>23185</v>
      </c>
      <c r="L1690" s="36">
        <v>3000</v>
      </c>
      <c r="M1690" s="9">
        <f t="shared" si="295"/>
        <v>0.12939400474444684</v>
      </c>
      <c r="N1690" s="5">
        <v>1</v>
      </c>
      <c r="O1690" s="10">
        <f t="shared" si="296"/>
        <v>0.12939400474444684</v>
      </c>
    </row>
    <row r="1691" spans="1:15" ht="13.5" customHeight="1">
      <c r="B1691" s="33">
        <f t="shared" si="297"/>
        <v>38</v>
      </c>
      <c r="C1691" s="35"/>
      <c r="D1691" s="35"/>
      <c r="F1691" s="30" t="s">
        <v>30</v>
      </c>
      <c r="G1691" s="36">
        <f t="shared" si="304"/>
        <v>18300</v>
      </c>
      <c r="H1691" s="36">
        <f t="shared" si="304"/>
        <v>5583.6</v>
      </c>
      <c r="I1691" s="36">
        <f t="shared" si="304"/>
        <v>7720</v>
      </c>
      <c r="J1691" s="36">
        <f t="shared" si="304"/>
        <v>1500</v>
      </c>
      <c r="K1691" s="36">
        <f t="shared" si="294"/>
        <v>33103.599999999999</v>
      </c>
      <c r="L1691" s="36">
        <v>3000</v>
      </c>
      <c r="M1691" s="9">
        <f t="shared" si="295"/>
        <v>9.0624584637320413E-2</v>
      </c>
      <c r="N1691" s="5">
        <v>1</v>
      </c>
      <c r="O1691" s="10">
        <f t="shared" si="296"/>
        <v>9.0624584637320413E-2</v>
      </c>
    </row>
    <row r="1692" spans="1:15" ht="13.5" customHeight="1">
      <c r="B1692" s="33">
        <f t="shared" si="297"/>
        <v>39</v>
      </c>
      <c r="C1692" s="35"/>
      <c r="D1692" s="35"/>
      <c r="F1692" s="30" t="s">
        <v>30</v>
      </c>
      <c r="G1692" s="36">
        <f t="shared" si="304"/>
        <v>18300</v>
      </c>
      <c r="H1692" s="36">
        <f t="shared" si="304"/>
        <v>5583.6</v>
      </c>
      <c r="I1692" s="36">
        <f t="shared" si="304"/>
        <v>7720</v>
      </c>
      <c r="J1692" s="36">
        <f t="shared" si="304"/>
        <v>1500</v>
      </c>
      <c r="K1692" s="36">
        <f t="shared" si="294"/>
        <v>33103.599999999999</v>
      </c>
      <c r="L1692" s="36">
        <v>3000</v>
      </c>
      <c r="M1692" s="9">
        <f t="shared" si="295"/>
        <v>9.0624584637320413E-2</v>
      </c>
      <c r="N1692" s="5">
        <v>1</v>
      </c>
      <c r="O1692" s="10">
        <f t="shared" si="296"/>
        <v>9.0624584637320413E-2</v>
      </c>
    </row>
    <row r="1693" spans="1:15" ht="13.5" customHeight="1">
      <c r="C1693" s="35"/>
      <c r="D1693" s="35"/>
      <c r="F1693" s="30"/>
      <c r="G1693" s="36"/>
      <c r="H1693" s="36"/>
      <c r="I1693" s="36"/>
      <c r="J1693" s="36"/>
      <c r="K1693" s="36"/>
      <c r="M1693" s="9"/>
      <c r="N1693" s="5"/>
      <c r="O1693" s="10"/>
    </row>
    <row r="1694" spans="1:15" ht="13.5" customHeight="1">
      <c r="A1694" s="1" t="s">
        <v>1021</v>
      </c>
      <c r="B1694" s="33">
        <f>B1673+1</f>
        <v>21</v>
      </c>
      <c r="C1694" s="35"/>
      <c r="D1694" s="35"/>
      <c r="F1694" s="30" t="s">
        <v>33</v>
      </c>
      <c r="G1694" s="36">
        <f>+G1626+G1574+G1522</f>
        <v>18814.5</v>
      </c>
      <c r="H1694" s="36">
        <f>+H1626+H1574+H1522</f>
        <v>5583.6</v>
      </c>
      <c r="I1694" s="36">
        <f>+I1626+I1574+I1522</f>
        <v>7720</v>
      </c>
      <c r="J1694" s="36">
        <f>+J1626+J1574+J1522</f>
        <v>2000</v>
      </c>
      <c r="K1694" s="36">
        <f>SUM(G1694:J1694)</f>
        <v>34118.1</v>
      </c>
      <c r="L1694" s="36">
        <v>3000</v>
      </c>
      <c r="M1694" s="9">
        <f t="shared" ref="M1694:M1704" si="305">L1694/K1694</f>
        <v>8.7929867137970755E-2</v>
      </c>
      <c r="N1694" s="5">
        <v>1</v>
      </c>
      <c r="O1694" s="10">
        <f t="shared" ref="O1694:O1704" si="306">N1694*M1694</f>
        <v>8.7929867137970755E-2</v>
      </c>
    </row>
    <row r="1695" spans="1:15" ht="13.5" customHeight="1">
      <c r="A1695" s="1" t="s">
        <v>422</v>
      </c>
      <c r="B1695" s="33">
        <v>1</v>
      </c>
      <c r="C1695" s="35"/>
      <c r="D1695" s="35"/>
      <c r="F1695" s="30" t="s">
        <v>140</v>
      </c>
      <c r="G1695" s="36">
        <f>+G1602+G1550+G1498</f>
        <v>9396</v>
      </c>
      <c r="H1695" s="36">
        <f>+H1602+H1550+H1498</f>
        <v>5583.6</v>
      </c>
      <c r="I1695" s="36">
        <f>+I1602+I1550+I1498</f>
        <v>7720</v>
      </c>
      <c r="J1695" s="36">
        <f>+J1602+J1550+J1498</f>
        <v>500</v>
      </c>
      <c r="K1695" s="36">
        <f t="shared" ref="K1695" si="307">SUM(G1695:J1695)</f>
        <v>23199.599999999999</v>
      </c>
      <c r="L1695" s="36">
        <v>3000</v>
      </c>
      <c r="M1695" s="9">
        <f t="shared" si="305"/>
        <v>0.12931257435473026</v>
      </c>
      <c r="N1695" s="5">
        <v>1</v>
      </c>
      <c r="O1695" s="10">
        <f t="shared" si="306"/>
        <v>0.12931257435473026</v>
      </c>
    </row>
    <row r="1696" spans="1:15" ht="13.5" customHeight="1">
      <c r="A1696" s="1" t="s">
        <v>16</v>
      </c>
      <c r="B1696" s="33">
        <f>B1681+1</f>
        <v>29</v>
      </c>
      <c r="C1696" s="35"/>
      <c r="D1696" s="35"/>
      <c r="F1696" s="30" t="s">
        <v>333</v>
      </c>
      <c r="G1696" s="36">
        <f>+G1638+G1586+G1534</f>
        <v>19980</v>
      </c>
      <c r="H1696" s="36">
        <f>+H1638+H1586+H1534</f>
        <v>5583.6</v>
      </c>
      <c r="I1696" s="36">
        <f>+I1638+I1586+I1534</f>
        <v>7720</v>
      </c>
      <c r="J1696" s="36">
        <f>+J1638+J1586+J1534</f>
        <v>4100</v>
      </c>
      <c r="K1696" s="36">
        <f t="shared" ref="K1696:K1704" si="308">SUM(G1696:J1696)</f>
        <v>37383.599999999999</v>
      </c>
      <c r="L1696" s="36">
        <v>3000</v>
      </c>
      <c r="M1696" s="9">
        <f t="shared" si="305"/>
        <v>8.0249093185247006E-2</v>
      </c>
      <c r="N1696" s="5">
        <v>1</v>
      </c>
      <c r="O1696" s="10">
        <f t="shared" si="306"/>
        <v>8.0249093185247006E-2</v>
      </c>
    </row>
    <row r="1697" spans="1:15" ht="13.5" customHeight="1">
      <c r="A1697" s="1" t="s">
        <v>16</v>
      </c>
      <c r="B1697" s="33">
        <f>B1675+1</f>
        <v>23</v>
      </c>
      <c r="C1697" s="35"/>
      <c r="D1697" s="35"/>
      <c r="F1697" s="30" t="s">
        <v>44</v>
      </c>
      <c r="G1697" s="36">
        <f>+G1629+G1577+G1525</f>
        <v>15651</v>
      </c>
      <c r="H1697" s="36">
        <f>+H1629+H1577+H1525</f>
        <v>5583.6</v>
      </c>
      <c r="I1697" s="36">
        <f>+I1629+I1577+I1525</f>
        <v>7720</v>
      </c>
      <c r="J1697" s="36">
        <f>+J1629+J1577+J1525</f>
        <v>2000</v>
      </c>
      <c r="K1697" s="36">
        <f t="shared" si="308"/>
        <v>30954.6</v>
      </c>
      <c r="L1697" s="36">
        <v>3000</v>
      </c>
      <c r="M1697" s="9">
        <f t="shared" si="305"/>
        <v>9.6916128782151931E-2</v>
      </c>
      <c r="N1697" s="5">
        <v>1</v>
      </c>
      <c r="O1697" s="10">
        <f t="shared" si="306"/>
        <v>9.6916128782151931E-2</v>
      </c>
    </row>
    <row r="1698" spans="1:15" ht="13.5" customHeight="1">
      <c r="A1698" s="1" t="s">
        <v>16</v>
      </c>
      <c r="B1698" s="33">
        <f>B1666+1</f>
        <v>14</v>
      </c>
      <c r="C1698" s="35"/>
      <c r="D1698" s="35"/>
      <c r="F1698" s="30" t="s">
        <v>159</v>
      </c>
      <c r="G1698" s="36">
        <f>+G1618+G1566+G1514</f>
        <v>18648</v>
      </c>
      <c r="H1698" s="36">
        <f>+H1618+H1566+H1514</f>
        <v>5583.6</v>
      </c>
      <c r="I1698" s="36">
        <f>+I1618+I1566+I1514</f>
        <v>7720</v>
      </c>
      <c r="J1698" s="36">
        <f>+J1618+J1566+J1514</f>
        <v>2300</v>
      </c>
      <c r="K1698" s="36">
        <f t="shared" si="308"/>
        <v>34251.599999999999</v>
      </c>
      <c r="L1698" s="36">
        <v>3000</v>
      </c>
      <c r="M1698" s="9">
        <f t="shared" si="305"/>
        <v>8.75871492134674E-2</v>
      </c>
      <c r="N1698" s="5">
        <v>1</v>
      </c>
      <c r="O1698" s="10">
        <f t="shared" si="306"/>
        <v>8.75871492134674E-2</v>
      </c>
    </row>
    <row r="1699" spans="1:15" ht="13.5" customHeight="1">
      <c r="A1699" s="1" t="s">
        <v>423</v>
      </c>
      <c r="B1699" s="33">
        <v>1</v>
      </c>
      <c r="C1699" s="35"/>
      <c r="D1699" s="35"/>
      <c r="F1699" s="30" t="s">
        <v>26</v>
      </c>
      <c r="G1699" s="36">
        <f>+G1634+G1582+G1530</f>
        <v>19980</v>
      </c>
      <c r="H1699" s="36">
        <f>+H1634+H1582+H1530</f>
        <v>5583.6</v>
      </c>
      <c r="I1699" s="36">
        <f>+I1634+I1582+I1530</f>
        <v>7720</v>
      </c>
      <c r="J1699" s="36">
        <f>+J1634+J1582+J1530</f>
        <v>4100</v>
      </c>
      <c r="K1699" s="36">
        <f t="shared" si="308"/>
        <v>37383.599999999999</v>
      </c>
      <c r="L1699" s="36">
        <v>3000</v>
      </c>
      <c r="M1699" s="9">
        <f t="shared" si="305"/>
        <v>8.0249093185247006E-2</v>
      </c>
      <c r="N1699" s="5">
        <v>1</v>
      </c>
      <c r="O1699" s="10">
        <f t="shared" si="306"/>
        <v>8.0249093185247006E-2</v>
      </c>
    </row>
    <row r="1700" spans="1:15" ht="13.5" customHeight="1">
      <c r="A1700" s="1" t="s">
        <v>1014</v>
      </c>
      <c r="B1700" s="33">
        <v>2</v>
      </c>
      <c r="C1700" s="35"/>
      <c r="D1700" s="35"/>
      <c r="F1700" s="30" t="s">
        <v>159</v>
      </c>
      <c r="G1700" s="36">
        <f>+G1616+G1564+G1512</f>
        <v>18648</v>
      </c>
      <c r="H1700" s="36">
        <f>+H1616+H1564+H1512</f>
        <v>5583.6</v>
      </c>
      <c r="I1700" s="36">
        <f>+I1616+I1564+I1512</f>
        <v>7720</v>
      </c>
      <c r="J1700" s="36">
        <f>+J1616+J1564+J1512</f>
        <v>2300</v>
      </c>
      <c r="K1700" s="36">
        <f t="shared" si="308"/>
        <v>34251.599999999999</v>
      </c>
      <c r="L1700" s="36">
        <v>3000</v>
      </c>
      <c r="M1700" s="9">
        <f t="shared" si="305"/>
        <v>8.75871492134674E-2</v>
      </c>
      <c r="N1700" s="5">
        <v>1</v>
      </c>
      <c r="O1700" s="10">
        <f t="shared" si="306"/>
        <v>8.75871492134674E-2</v>
      </c>
    </row>
    <row r="1701" spans="1:15" ht="13.5" customHeight="1">
      <c r="A1701" s="1" t="s">
        <v>425</v>
      </c>
      <c r="B1701" s="33">
        <v>3</v>
      </c>
      <c r="C1701" s="35"/>
      <c r="D1701" s="35"/>
      <c r="F1701" s="30" t="s">
        <v>31</v>
      </c>
      <c r="G1701" s="36">
        <f>+G1631+G1579+G1527</f>
        <v>20979</v>
      </c>
      <c r="H1701" s="36">
        <f>+H1631+H1579+H1527</f>
        <v>5583.6</v>
      </c>
      <c r="I1701" s="36">
        <f>+I1631+I1579+I1527</f>
        <v>7720</v>
      </c>
      <c r="J1701" s="36">
        <f>+J1631+J1579+J1527</f>
        <v>2300</v>
      </c>
      <c r="K1701" s="36">
        <f t="shared" si="308"/>
        <v>36582.6</v>
      </c>
      <c r="L1701" s="36">
        <v>3000</v>
      </c>
      <c r="M1701" s="9">
        <f t="shared" si="305"/>
        <v>8.2006199668694962E-2</v>
      </c>
      <c r="N1701" s="5">
        <v>1</v>
      </c>
      <c r="O1701" s="10">
        <f t="shared" si="306"/>
        <v>8.2006199668694962E-2</v>
      </c>
    </row>
    <row r="1702" spans="1:15" ht="13.5" customHeight="1">
      <c r="A1702" s="1" t="s">
        <v>1013</v>
      </c>
      <c r="B1702" s="33">
        <v>4</v>
      </c>
      <c r="C1702" s="35"/>
      <c r="D1702" s="35"/>
      <c r="F1702" s="30" t="s">
        <v>24</v>
      </c>
      <c r="G1702" s="36">
        <f>+G1645+G1593+G1541</f>
        <v>3324</v>
      </c>
      <c r="H1702" s="36">
        <f>+H1645+H1593+H1541</f>
        <v>3722.6</v>
      </c>
      <c r="I1702" s="36">
        <f>+I1645+I1593+I1541</f>
        <v>15780</v>
      </c>
      <c r="J1702" s="36">
        <f>+J1645+J1593+J1541</f>
        <v>0</v>
      </c>
      <c r="K1702" s="36">
        <f t="shared" si="308"/>
        <v>22826.6</v>
      </c>
      <c r="L1702" s="36">
        <v>3000</v>
      </c>
      <c r="M1702" s="9">
        <f t="shared" si="305"/>
        <v>0.13142561748135947</v>
      </c>
      <c r="N1702" s="5">
        <v>1</v>
      </c>
      <c r="O1702" s="10">
        <f t="shared" si="306"/>
        <v>0.13142561748135947</v>
      </c>
    </row>
    <row r="1703" spans="1:15" ht="13.5" customHeight="1">
      <c r="A1703" s="1" t="s">
        <v>423</v>
      </c>
      <c r="B1703" s="33">
        <v>5</v>
      </c>
      <c r="C1703" s="35"/>
      <c r="D1703" s="35"/>
      <c r="F1703" s="30" t="s">
        <v>32</v>
      </c>
      <c r="G1703" s="36">
        <f>+G1639+G1587+G1535</f>
        <v>14400</v>
      </c>
      <c r="H1703" s="36">
        <f>+H1639+H1587+H1535</f>
        <v>5583.6</v>
      </c>
      <c r="I1703" s="36">
        <f>+I1639+I1587+I1535</f>
        <v>7720</v>
      </c>
      <c r="J1703" s="36">
        <f>+J1639+J1587+J1535</f>
        <v>2300</v>
      </c>
      <c r="K1703" s="36">
        <f t="shared" si="308"/>
        <v>30003.599999999999</v>
      </c>
      <c r="L1703" s="36">
        <v>3000</v>
      </c>
      <c r="M1703" s="9">
        <f t="shared" si="305"/>
        <v>9.9988001439827223E-2</v>
      </c>
      <c r="N1703" s="5">
        <v>1</v>
      </c>
      <c r="O1703" s="10">
        <f t="shared" si="306"/>
        <v>9.9988001439827223E-2</v>
      </c>
    </row>
    <row r="1704" spans="1:15" ht="13.5" customHeight="1">
      <c r="A1704" s="1" t="s">
        <v>16</v>
      </c>
      <c r="B1704" s="33">
        <v>6</v>
      </c>
      <c r="C1704" s="35"/>
      <c r="D1704" s="35"/>
      <c r="F1704" s="30" t="s">
        <v>42</v>
      </c>
      <c r="G1704" s="36">
        <f>+G1609+G1557+G1505</f>
        <v>20646</v>
      </c>
      <c r="H1704" s="36">
        <f>+H1609+H1557+H1505</f>
        <v>5583.6</v>
      </c>
      <c r="I1704" s="36">
        <f>+I1609+I1557+I1505</f>
        <v>7720</v>
      </c>
      <c r="J1704" s="36">
        <f>+J1609+J1557+J1505</f>
        <v>1500</v>
      </c>
      <c r="K1704" s="36">
        <f t="shared" si="308"/>
        <v>35449.599999999999</v>
      </c>
      <c r="L1704" s="36">
        <v>3000</v>
      </c>
      <c r="M1704" s="9">
        <f t="shared" si="305"/>
        <v>8.4627189023289404E-2</v>
      </c>
      <c r="N1704" s="5">
        <v>1</v>
      </c>
      <c r="O1704" s="10">
        <f t="shared" si="306"/>
        <v>8.4627189023289404E-2</v>
      </c>
    </row>
    <row r="1705" spans="1:15" ht="16.5" customHeight="1">
      <c r="A1705" s="66" t="s">
        <v>45</v>
      </c>
      <c r="B1705" s="66"/>
      <c r="C1705" s="66"/>
      <c r="D1705" s="66"/>
      <c r="E1705" s="66"/>
      <c r="F1705" s="66"/>
      <c r="G1705" s="66"/>
      <c r="H1705" s="66"/>
      <c r="I1705" s="66"/>
      <c r="J1705" s="66"/>
      <c r="K1705" s="66"/>
      <c r="L1705" s="66"/>
      <c r="M1705" s="66"/>
      <c r="N1705" s="22">
        <f>SUM(N1654:N1692)</f>
        <v>39</v>
      </c>
      <c r="O1705" s="23">
        <f>SUM(O1654:O1692)</f>
        <v>5.2045179697848107</v>
      </c>
    </row>
    <row r="1706" spans="1:15" s="46" customFormat="1" ht="25.5" customHeight="1">
      <c r="A1706" s="67" t="s">
        <v>415</v>
      </c>
      <c r="B1706" s="67"/>
      <c r="C1706" s="67"/>
      <c r="D1706" s="67"/>
      <c r="E1706" s="67"/>
      <c r="F1706" s="45"/>
      <c r="G1706" s="45"/>
      <c r="H1706" s="45"/>
      <c r="I1706" s="45"/>
      <c r="J1706" s="45"/>
      <c r="K1706" s="45"/>
      <c r="L1706" s="45"/>
      <c r="M1706" s="45"/>
      <c r="N1706" s="45"/>
      <c r="O1706" s="45"/>
    </row>
    <row r="1707" spans="1:15" ht="13.5" hidden="1" customHeight="1">
      <c r="A1707" s="44" t="s">
        <v>416</v>
      </c>
      <c r="B1707" s="44"/>
      <c r="C1707" s="44"/>
      <c r="D1707" s="44"/>
      <c r="E1707" s="44"/>
      <c r="F1707" s="44"/>
      <c r="G1707" s="44"/>
      <c r="H1707" s="44"/>
      <c r="I1707" s="44"/>
      <c r="J1707" s="44"/>
      <c r="K1707" s="44"/>
      <c r="L1707" s="44"/>
      <c r="M1707" s="44"/>
      <c r="N1707" s="44"/>
      <c r="O1707" s="44"/>
    </row>
    <row r="1708" spans="1:15" ht="13.5" hidden="1" customHeight="1">
      <c r="B1708" s="33">
        <v>1</v>
      </c>
      <c r="C1708" s="58" t="s">
        <v>81</v>
      </c>
      <c r="D1708" s="58" t="s">
        <v>419</v>
      </c>
      <c r="F1708" s="30" t="s">
        <v>417</v>
      </c>
      <c r="G1708" s="36">
        <f>277*3</f>
        <v>831</v>
      </c>
      <c r="H1708" s="36">
        <v>1861.6</v>
      </c>
      <c r="I1708" s="36">
        <v>7890</v>
      </c>
      <c r="J1708" s="36">
        <v>500</v>
      </c>
      <c r="K1708" s="36">
        <f t="shared" ref="K1708:K1709" si="309">SUM(G1708:J1708)</f>
        <v>11082.6</v>
      </c>
      <c r="L1708" s="36">
        <v>30000</v>
      </c>
      <c r="M1708" s="9">
        <f t="shared" ref="M1708:M1709" si="310">L1708/K1708</f>
        <v>2.7069460234962914</v>
      </c>
      <c r="N1708" s="5">
        <v>1</v>
      </c>
      <c r="O1708" s="10">
        <f t="shared" ref="O1708:O1709" si="311">N1708*M1708</f>
        <v>2.7069460234962914</v>
      </c>
    </row>
    <row r="1709" spans="1:15" ht="13.5" hidden="1" customHeight="1">
      <c r="B1709" s="33">
        <v>2</v>
      </c>
      <c r="C1709" s="58" t="s">
        <v>421</v>
      </c>
      <c r="D1709" s="58" t="s">
        <v>420</v>
      </c>
      <c r="F1709" s="30" t="s">
        <v>418</v>
      </c>
      <c r="G1709" s="36">
        <f>300*4</f>
        <v>1200</v>
      </c>
      <c r="H1709" s="36">
        <v>1861</v>
      </c>
      <c r="I1709" s="36">
        <v>3240</v>
      </c>
      <c r="J1709" s="36">
        <v>500</v>
      </c>
      <c r="K1709" s="36">
        <f t="shared" si="309"/>
        <v>6801</v>
      </c>
      <c r="L1709" s="36">
        <v>30000</v>
      </c>
      <c r="M1709" s="9">
        <f t="shared" si="310"/>
        <v>4.4111160123511253</v>
      </c>
      <c r="N1709" s="5">
        <v>1</v>
      </c>
      <c r="O1709" s="10">
        <f t="shared" si="311"/>
        <v>4.4111160123511253</v>
      </c>
    </row>
    <row r="1710" spans="1:15" ht="16.5" hidden="1" customHeight="1">
      <c r="A1710" s="66" t="s">
        <v>45</v>
      </c>
      <c r="B1710" s="66"/>
      <c r="C1710" s="66"/>
      <c r="D1710" s="66"/>
      <c r="E1710" s="66"/>
      <c r="F1710" s="66"/>
      <c r="G1710" s="66"/>
      <c r="H1710" s="66"/>
      <c r="I1710" s="66"/>
      <c r="J1710" s="66"/>
      <c r="K1710" s="66"/>
      <c r="L1710" s="66"/>
      <c r="M1710" s="66"/>
      <c r="N1710" s="22">
        <f>SUM(N1708:N1709)</f>
        <v>2</v>
      </c>
      <c r="O1710" s="23">
        <f>SUM(O1708:O1709)</f>
        <v>7.1180620358474167</v>
      </c>
    </row>
    <row r="1711" spans="1:15" ht="13.5" hidden="1" customHeight="1">
      <c r="A1711" s="44" t="s">
        <v>426</v>
      </c>
      <c r="B1711" s="44"/>
      <c r="C1711" s="44"/>
      <c r="D1711" s="44"/>
      <c r="E1711" s="44"/>
      <c r="F1711" s="44"/>
      <c r="G1711" s="44"/>
      <c r="H1711" s="44"/>
      <c r="I1711" s="44"/>
      <c r="J1711" s="44"/>
      <c r="K1711" s="44"/>
      <c r="L1711" s="44"/>
      <c r="M1711" s="44"/>
      <c r="N1711" s="44"/>
      <c r="O1711" s="44"/>
    </row>
    <row r="1712" spans="1:15" ht="13.5" hidden="1" customHeight="1">
      <c r="B1712" s="33">
        <v>1</v>
      </c>
      <c r="C1712" s="58" t="s">
        <v>421</v>
      </c>
      <c r="D1712" s="58" t="s">
        <v>420</v>
      </c>
      <c r="F1712" s="30" t="s">
        <v>418</v>
      </c>
      <c r="G1712" s="36">
        <f>300*6</f>
        <v>1800</v>
      </c>
      <c r="H1712" s="36">
        <v>1861</v>
      </c>
      <c r="I1712" s="36">
        <v>3240</v>
      </c>
      <c r="J1712" s="36">
        <v>500</v>
      </c>
      <c r="K1712" s="36">
        <f t="shared" ref="K1712" si="312">SUM(G1712:J1712)</f>
        <v>7401</v>
      </c>
      <c r="L1712" s="36">
        <v>30000</v>
      </c>
      <c r="M1712" s="9">
        <f t="shared" ref="M1712" si="313">L1712/K1712</f>
        <v>4.0535062829347384</v>
      </c>
      <c r="N1712" s="5">
        <v>1</v>
      </c>
      <c r="O1712" s="10">
        <f t="shared" ref="O1712" si="314">N1712*M1712</f>
        <v>4.0535062829347384</v>
      </c>
    </row>
    <row r="1713" spans="1:15" ht="13.5" hidden="1" customHeight="1">
      <c r="A1713" s="44" t="s">
        <v>505</v>
      </c>
      <c r="B1713" s="44"/>
      <c r="C1713" s="44"/>
      <c r="D1713" s="44"/>
      <c r="E1713" s="44"/>
      <c r="F1713" s="44"/>
      <c r="G1713" s="44"/>
      <c r="H1713" s="44"/>
      <c r="I1713" s="44"/>
      <c r="J1713" s="44"/>
      <c r="K1713" s="44"/>
      <c r="L1713" s="44"/>
      <c r="M1713" s="44"/>
      <c r="N1713" s="44"/>
      <c r="O1713" s="44"/>
    </row>
    <row r="1714" spans="1:15" ht="13.5" hidden="1" customHeight="1">
      <c r="B1714" s="33">
        <v>1</v>
      </c>
      <c r="C1714" s="58" t="s">
        <v>421</v>
      </c>
      <c r="D1714" s="58" t="s">
        <v>420</v>
      </c>
      <c r="F1714" s="30" t="s">
        <v>418</v>
      </c>
      <c r="G1714" s="36">
        <f>300*19</f>
        <v>5700</v>
      </c>
      <c r="H1714" s="36">
        <v>1861</v>
      </c>
      <c r="I1714" s="36">
        <v>3240</v>
      </c>
      <c r="J1714" s="36">
        <v>500</v>
      </c>
      <c r="K1714" s="36">
        <f t="shared" ref="K1714" si="315">SUM(G1714:J1714)</f>
        <v>11301</v>
      </c>
      <c r="L1714" s="36">
        <v>30000</v>
      </c>
      <c r="M1714" s="9">
        <f t="shared" ref="M1714" si="316">L1714/K1714</f>
        <v>2.6546323334218211</v>
      </c>
      <c r="N1714" s="5">
        <v>1</v>
      </c>
      <c r="O1714" s="10">
        <f t="shared" ref="O1714" si="317">N1714*M1714</f>
        <v>2.6546323334218211</v>
      </c>
    </row>
    <row r="1715" spans="1:15" ht="13.5" customHeight="1">
      <c r="A1715" s="44" t="s">
        <v>504</v>
      </c>
      <c r="B1715" s="44"/>
      <c r="C1715" s="44"/>
      <c r="D1715" s="44"/>
      <c r="E1715" s="44"/>
      <c r="F1715" s="44"/>
      <c r="G1715" s="44"/>
      <c r="H1715" s="44"/>
      <c r="I1715" s="44"/>
      <c r="J1715" s="44"/>
      <c r="K1715" s="44"/>
      <c r="L1715" s="44"/>
      <c r="M1715" s="44"/>
      <c r="N1715" s="44"/>
      <c r="O1715" s="44"/>
    </row>
    <row r="1716" spans="1:15" ht="13.5" customHeight="1">
      <c r="B1716" s="33">
        <v>1</v>
      </c>
      <c r="C1716" s="58"/>
      <c r="D1716" s="58"/>
      <c r="F1716" s="30" t="s">
        <v>417</v>
      </c>
      <c r="G1716" s="36">
        <f>277*3</f>
        <v>831</v>
      </c>
      <c r="H1716" s="36">
        <v>1861.6</v>
      </c>
      <c r="I1716" s="36">
        <v>7890</v>
      </c>
      <c r="J1716" s="36">
        <v>500</v>
      </c>
      <c r="K1716" s="36">
        <f t="shared" ref="K1716:K1717" si="318">SUM(G1716:J1716)</f>
        <v>11082.6</v>
      </c>
      <c r="L1716" s="36">
        <v>60000</v>
      </c>
      <c r="M1716" s="9">
        <f t="shared" ref="M1716:M1717" si="319">L1716/K1716</f>
        <v>5.4138920469925829</v>
      </c>
      <c r="N1716" s="5">
        <v>1</v>
      </c>
      <c r="O1716" s="10">
        <f t="shared" ref="O1716:O1717" si="320">N1716*M1716</f>
        <v>5.4138920469925829</v>
      </c>
    </row>
    <row r="1717" spans="1:15" ht="13.5" customHeight="1">
      <c r="B1717" s="33">
        <v>2</v>
      </c>
      <c r="C1717" s="58"/>
      <c r="D1717" s="58"/>
      <c r="F1717" s="30" t="s">
        <v>418</v>
      </c>
      <c r="G1717" s="36">
        <f>+G1712+G1709+G1714</f>
        <v>8700</v>
      </c>
      <c r="H1717" s="36">
        <f t="shared" ref="H1717:J1717" si="321">+H1712+H1709+H1714</f>
        <v>5583</v>
      </c>
      <c r="I1717" s="36">
        <f t="shared" si="321"/>
        <v>9720</v>
      </c>
      <c r="J1717" s="36">
        <f t="shared" si="321"/>
        <v>1500</v>
      </c>
      <c r="K1717" s="36">
        <f t="shared" si="318"/>
        <v>25503</v>
      </c>
      <c r="L1717" s="36">
        <v>60000</v>
      </c>
      <c r="M1717" s="9">
        <f t="shared" si="319"/>
        <v>2.3526643924244208</v>
      </c>
      <c r="N1717" s="5">
        <v>1</v>
      </c>
      <c r="O1717" s="10">
        <f t="shared" si="320"/>
        <v>2.3526643924244208</v>
      </c>
    </row>
    <row r="1718" spans="1:15" ht="16.5" customHeight="1">
      <c r="A1718" s="66" t="s">
        <v>45</v>
      </c>
      <c r="B1718" s="66"/>
      <c r="C1718" s="66"/>
      <c r="D1718" s="66"/>
      <c r="E1718" s="66"/>
      <c r="F1718" s="66"/>
      <c r="G1718" s="66"/>
      <c r="H1718" s="66"/>
      <c r="I1718" s="66"/>
      <c r="J1718" s="66"/>
      <c r="K1718" s="66"/>
      <c r="L1718" s="66"/>
      <c r="M1718" s="66"/>
      <c r="N1718" s="22">
        <f>SUM(N1716:N1717)</f>
        <v>2</v>
      </c>
      <c r="O1718" s="23">
        <f>SUM(O1716:O1717)</f>
        <v>7.7665564394170037</v>
      </c>
    </row>
    <row r="1719" spans="1:15" ht="13.5" hidden="1" customHeight="1">
      <c r="A1719" s="44" t="s">
        <v>427</v>
      </c>
      <c r="B1719" s="44"/>
      <c r="C1719" s="44"/>
      <c r="D1719" s="44"/>
      <c r="E1719" s="44"/>
      <c r="F1719" s="44"/>
      <c r="G1719" s="44"/>
      <c r="H1719" s="44"/>
      <c r="I1719" s="44"/>
      <c r="J1719" s="44"/>
      <c r="K1719" s="44"/>
      <c r="L1719" s="44"/>
      <c r="M1719" s="44"/>
      <c r="N1719" s="44"/>
      <c r="O1719" s="44"/>
    </row>
    <row r="1720" spans="1:15" ht="13.5" hidden="1" customHeight="1">
      <c r="B1720" s="33">
        <v>1</v>
      </c>
      <c r="C1720" s="35" t="s">
        <v>432</v>
      </c>
      <c r="D1720" s="35" t="s">
        <v>439</v>
      </c>
      <c r="F1720" s="30" t="s">
        <v>428</v>
      </c>
      <c r="G1720" s="36">
        <f>277*6</f>
        <v>1662</v>
      </c>
      <c r="H1720" s="36">
        <v>1861</v>
      </c>
      <c r="I1720" s="36">
        <v>7890</v>
      </c>
      <c r="J1720" s="36">
        <v>500</v>
      </c>
      <c r="K1720" s="36">
        <f t="shared" ref="K1720:K1727" si="322">SUM(G1720:J1720)</f>
        <v>11913</v>
      </c>
      <c r="L1720" s="36">
        <v>13500</v>
      </c>
      <c r="M1720" s="9">
        <f t="shared" ref="M1720:M1727" si="323">L1720/K1720</f>
        <v>1.1332158146562579</v>
      </c>
      <c r="N1720" s="5">
        <v>1</v>
      </c>
      <c r="O1720" s="10">
        <f t="shared" ref="O1720:O1727" si="324">N1720*M1720</f>
        <v>1.1332158146562579</v>
      </c>
    </row>
    <row r="1721" spans="1:15" ht="13.5" hidden="1" customHeight="1">
      <c r="B1721" s="33">
        <v>2</v>
      </c>
      <c r="C1721" s="35" t="s">
        <v>433</v>
      </c>
      <c r="D1721" s="35" t="s">
        <v>440</v>
      </c>
      <c r="F1721" s="30" t="s">
        <v>428</v>
      </c>
      <c r="G1721" s="36">
        <f>277*6</f>
        <v>1662</v>
      </c>
      <c r="H1721" s="36">
        <v>1861</v>
      </c>
      <c r="I1721" s="36">
        <v>7890</v>
      </c>
      <c r="J1721" s="36">
        <v>500</v>
      </c>
      <c r="K1721" s="36">
        <f t="shared" si="322"/>
        <v>11913</v>
      </c>
      <c r="L1721" s="36">
        <v>13500</v>
      </c>
      <c r="M1721" s="9">
        <f t="shared" si="323"/>
        <v>1.1332158146562579</v>
      </c>
      <c r="N1721" s="5">
        <v>1</v>
      </c>
      <c r="O1721" s="10">
        <f t="shared" si="324"/>
        <v>1.1332158146562579</v>
      </c>
    </row>
    <row r="1722" spans="1:15" ht="13.5" hidden="1" customHeight="1">
      <c r="B1722" s="33">
        <v>3</v>
      </c>
      <c r="C1722" s="35" t="s">
        <v>165</v>
      </c>
      <c r="D1722" s="35" t="s">
        <v>436</v>
      </c>
      <c r="F1722" s="30" t="s">
        <v>42</v>
      </c>
      <c r="G1722" s="36">
        <f>333*20</f>
        <v>6660</v>
      </c>
      <c r="H1722" s="36">
        <v>1861</v>
      </c>
      <c r="I1722" s="36">
        <v>3240</v>
      </c>
      <c r="J1722" s="36">
        <v>500</v>
      </c>
      <c r="K1722" s="36">
        <f t="shared" si="322"/>
        <v>12261</v>
      </c>
      <c r="L1722" s="36">
        <v>13500</v>
      </c>
      <c r="M1722" s="9">
        <f t="shared" si="323"/>
        <v>1.1010521164668461</v>
      </c>
      <c r="N1722" s="5">
        <v>1</v>
      </c>
      <c r="O1722" s="10">
        <f t="shared" si="324"/>
        <v>1.1010521164668461</v>
      </c>
    </row>
    <row r="1723" spans="1:15" ht="13.5" hidden="1" customHeight="1">
      <c r="B1723" s="33">
        <v>4</v>
      </c>
      <c r="C1723" s="35" t="s">
        <v>431</v>
      </c>
      <c r="D1723" s="35" t="s">
        <v>437</v>
      </c>
      <c r="F1723" s="30" t="s">
        <v>25</v>
      </c>
      <c r="G1723" s="36">
        <f>300*12</f>
        <v>3600</v>
      </c>
      <c r="H1723" s="36">
        <v>1861</v>
      </c>
      <c r="I1723" s="36">
        <v>3240</v>
      </c>
      <c r="J1723" s="36">
        <v>500</v>
      </c>
      <c r="K1723" s="36">
        <f t="shared" si="322"/>
        <v>9201</v>
      </c>
      <c r="L1723" s="36">
        <v>13500</v>
      </c>
      <c r="M1723" s="9">
        <f t="shared" si="323"/>
        <v>1.4672318226279752</v>
      </c>
      <c r="N1723" s="5">
        <v>1</v>
      </c>
      <c r="O1723" s="10">
        <f t="shared" si="324"/>
        <v>1.4672318226279752</v>
      </c>
    </row>
    <row r="1724" spans="1:15" ht="13.5" hidden="1" customHeight="1">
      <c r="B1724" s="33">
        <v>5</v>
      </c>
      <c r="C1724" s="35" t="s">
        <v>430</v>
      </c>
      <c r="D1724" s="35" t="s">
        <v>435</v>
      </c>
      <c r="F1724" s="30" t="s">
        <v>417</v>
      </c>
      <c r="G1724" s="36">
        <f>277*12</f>
        <v>3324</v>
      </c>
      <c r="H1724" s="36">
        <v>1861</v>
      </c>
      <c r="I1724" s="36">
        <v>7890</v>
      </c>
      <c r="J1724" s="36">
        <v>500</v>
      </c>
      <c r="K1724" s="36">
        <f t="shared" si="322"/>
        <v>13575</v>
      </c>
      <c r="L1724" s="36">
        <v>13500</v>
      </c>
      <c r="M1724" s="9">
        <f t="shared" si="323"/>
        <v>0.99447513812154698</v>
      </c>
      <c r="N1724" s="5">
        <v>1</v>
      </c>
      <c r="O1724" s="10">
        <f t="shared" si="324"/>
        <v>0.99447513812154698</v>
      </c>
    </row>
    <row r="1725" spans="1:15" ht="13.5" hidden="1" customHeight="1">
      <c r="B1725" s="33">
        <v>6</v>
      </c>
      <c r="C1725" s="35" t="s">
        <v>243</v>
      </c>
      <c r="D1725" s="35" t="s">
        <v>438</v>
      </c>
      <c r="F1725" s="30" t="s">
        <v>417</v>
      </c>
      <c r="G1725" s="36">
        <f>277*3</f>
        <v>831</v>
      </c>
      <c r="H1725" s="36">
        <v>1861</v>
      </c>
      <c r="I1725" s="36">
        <v>7890</v>
      </c>
      <c r="J1725" s="36">
        <v>500</v>
      </c>
      <c r="K1725" s="36">
        <f t="shared" si="322"/>
        <v>11082</v>
      </c>
      <c r="L1725" s="36">
        <v>13500</v>
      </c>
      <c r="M1725" s="9">
        <f t="shared" si="323"/>
        <v>1.2181916621548456</v>
      </c>
      <c r="N1725" s="5">
        <v>1</v>
      </c>
      <c r="O1725" s="10">
        <f t="shared" si="324"/>
        <v>1.2181916621548456</v>
      </c>
    </row>
    <row r="1726" spans="1:15" ht="13.5" hidden="1" customHeight="1">
      <c r="B1726" s="33">
        <v>7</v>
      </c>
      <c r="C1726" s="35" t="s">
        <v>334</v>
      </c>
      <c r="D1726" s="35" t="s">
        <v>434</v>
      </c>
      <c r="F1726" s="30" t="s">
        <v>24</v>
      </c>
      <c r="G1726" s="36">
        <f>277*6</f>
        <v>1662</v>
      </c>
      <c r="H1726" s="36">
        <v>1861</v>
      </c>
      <c r="I1726" s="36">
        <v>7890</v>
      </c>
      <c r="J1726" s="36">
        <v>0</v>
      </c>
      <c r="K1726" s="36">
        <f t="shared" si="322"/>
        <v>11413</v>
      </c>
      <c r="L1726" s="36">
        <v>13500</v>
      </c>
      <c r="M1726" s="9">
        <f t="shared" si="323"/>
        <v>1.1828616489967581</v>
      </c>
      <c r="N1726" s="5">
        <v>1</v>
      </c>
      <c r="O1726" s="10">
        <f t="shared" si="324"/>
        <v>1.1828616489967581</v>
      </c>
    </row>
    <row r="1727" spans="1:15" ht="13.5" hidden="1" customHeight="1">
      <c r="B1727" s="33">
        <v>8</v>
      </c>
      <c r="C1727" s="35" t="s">
        <v>72</v>
      </c>
      <c r="D1727" s="35" t="s">
        <v>441</v>
      </c>
      <c r="F1727" s="30" t="s">
        <v>429</v>
      </c>
      <c r="G1727" s="36">
        <f>277*4</f>
        <v>1108</v>
      </c>
      <c r="H1727" s="36">
        <v>1861</v>
      </c>
      <c r="I1727" s="36">
        <v>7890</v>
      </c>
      <c r="J1727" s="36">
        <v>500</v>
      </c>
      <c r="K1727" s="36">
        <f t="shared" si="322"/>
        <v>11359</v>
      </c>
      <c r="L1727" s="36">
        <v>13500</v>
      </c>
      <c r="M1727" s="9">
        <f t="shared" si="323"/>
        <v>1.1884849018399506</v>
      </c>
      <c r="N1727" s="5">
        <v>1</v>
      </c>
      <c r="O1727" s="10">
        <f t="shared" si="324"/>
        <v>1.1884849018399506</v>
      </c>
    </row>
    <row r="1728" spans="1:15" ht="16.5" hidden="1" customHeight="1">
      <c r="A1728" s="66" t="s">
        <v>45</v>
      </c>
      <c r="B1728" s="66"/>
      <c r="C1728" s="66"/>
      <c r="D1728" s="66"/>
      <c r="E1728" s="66"/>
      <c r="F1728" s="66"/>
      <c r="G1728" s="66"/>
      <c r="H1728" s="66"/>
      <c r="I1728" s="66"/>
      <c r="J1728" s="66"/>
      <c r="K1728" s="66"/>
      <c r="L1728" s="66"/>
      <c r="M1728" s="66"/>
      <c r="N1728" s="22">
        <f>SUM(N1720:N1727)</f>
        <v>8</v>
      </c>
      <c r="O1728" s="23">
        <f>SUM(O1720:O1727)</f>
        <v>9.4187289195204382</v>
      </c>
    </row>
    <row r="1729" spans="1:15" ht="13.5" hidden="1" customHeight="1">
      <c r="A1729" s="44" t="s">
        <v>442</v>
      </c>
      <c r="B1729" s="44"/>
      <c r="C1729" s="44"/>
      <c r="D1729" s="44"/>
      <c r="E1729" s="44"/>
      <c r="F1729" s="44"/>
      <c r="G1729" s="44"/>
      <c r="H1729" s="44"/>
      <c r="I1729" s="44"/>
      <c r="J1729" s="44"/>
      <c r="K1729" s="44"/>
      <c r="L1729" s="44"/>
      <c r="M1729" s="44"/>
      <c r="N1729" s="44"/>
      <c r="O1729" s="44"/>
    </row>
    <row r="1730" spans="1:15" ht="13.5" hidden="1" customHeight="1">
      <c r="B1730" s="33">
        <v>1</v>
      </c>
      <c r="C1730" s="35" t="s">
        <v>165</v>
      </c>
      <c r="D1730" s="35" t="s">
        <v>436</v>
      </c>
      <c r="F1730" s="30" t="s">
        <v>42</v>
      </c>
      <c r="G1730" s="36">
        <f>333*21</f>
        <v>6993</v>
      </c>
      <c r="H1730" s="36">
        <v>1861</v>
      </c>
      <c r="I1730" s="36">
        <v>3240</v>
      </c>
      <c r="J1730" s="36">
        <v>500</v>
      </c>
      <c r="K1730" s="36">
        <f t="shared" ref="K1730:K1732" si="325">SUM(G1730:J1730)</f>
        <v>12594</v>
      </c>
      <c r="L1730" s="36">
        <v>13500</v>
      </c>
      <c r="M1730" s="9">
        <f t="shared" ref="M1730:M1732" si="326">L1730/K1730</f>
        <v>1.0719390185802764</v>
      </c>
      <c r="N1730" s="5">
        <v>1</v>
      </c>
      <c r="O1730" s="10">
        <f t="shared" ref="O1730:O1732" si="327">N1730*M1730</f>
        <v>1.0719390185802764</v>
      </c>
    </row>
    <row r="1731" spans="1:15" ht="13.5" hidden="1" customHeight="1">
      <c r="B1731" s="33">
        <v>2</v>
      </c>
      <c r="C1731" s="35" t="s">
        <v>431</v>
      </c>
      <c r="D1731" s="35" t="s">
        <v>437</v>
      </c>
      <c r="F1731" s="30" t="s">
        <v>25</v>
      </c>
      <c r="G1731" s="36">
        <f>300*12</f>
        <v>3600</v>
      </c>
      <c r="H1731" s="36">
        <v>1861</v>
      </c>
      <c r="I1731" s="36">
        <v>3240</v>
      </c>
      <c r="J1731" s="36">
        <v>500</v>
      </c>
      <c r="K1731" s="36">
        <f>SUM(G1731:J1731)</f>
        <v>9201</v>
      </c>
      <c r="L1731" s="36">
        <v>13500</v>
      </c>
      <c r="M1731" s="9">
        <f t="shared" si="326"/>
        <v>1.4672318226279752</v>
      </c>
      <c r="N1731" s="5">
        <v>1</v>
      </c>
      <c r="O1731" s="10">
        <f t="shared" si="327"/>
        <v>1.4672318226279752</v>
      </c>
    </row>
    <row r="1732" spans="1:15" ht="13.5" hidden="1" customHeight="1">
      <c r="B1732" s="33">
        <v>3</v>
      </c>
      <c r="C1732" s="35" t="s">
        <v>430</v>
      </c>
      <c r="D1732" s="35" t="s">
        <v>435</v>
      </c>
      <c r="F1732" s="30" t="s">
        <v>417</v>
      </c>
      <c r="G1732" s="36">
        <f>277*6</f>
        <v>1662</v>
      </c>
      <c r="H1732" s="36">
        <v>1861</v>
      </c>
      <c r="I1732" s="36">
        <v>7890</v>
      </c>
      <c r="J1732" s="36">
        <v>500</v>
      </c>
      <c r="K1732" s="36">
        <f t="shared" si="325"/>
        <v>11913</v>
      </c>
      <c r="L1732" s="36">
        <v>13500</v>
      </c>
      <c r="M1732" s="9">
        <f t="shared" si="326"/>
        <v>1.1332158146562579</v>
      </c>
      <c r="N1732" s="5">
        <v>1</v>
      </c>
      <c r="O1732" s="10">
        <f t="shared" si="327"/>
        <v>1.1332158146562579</v>
      </c>
    </row>
    <row r="1733" spans="1:15" ht="17.25" hidden="1" customHeight="1">
      <c r="A1733" s="66" t="s">
        <v>45</v>
      </c>
      <c r="B1733" s="66"/>
      <c r="C1733" s="66"/>
      <c r="D1733" s="66"/>
      <c r="E1733" s="66"/>
      <c r="F1733" s="66"/>
      <c r="G1733" s="66"/>
      <c r="H1733" s="66"/>
      <c r="I1733" s="66"/>
      <c r="J1733" s="66"/>
      <c r="K1733" s="66"/>
      <c r="L1733" s="66"/>
      <c r="M1733" s="66"/>
      <c r="N1733" s="22">
        <f>SUM(N1730:N1732)</f>
        <v>3</v>
      </c>
      <c r="O1733" s="23">
        <f>SUM(O1730:O1732)</f>
        <v>3.6723866558645097</v>
      </c>
    </row>
    <row r="1734" spans="1:15" ht="13.5" hidden="1" customHeight="1">
      <c r="A1734" s="44" t="s">
        <v>506</v>
      </c>
      <c r="B1734" s="44"/>
      <c r="C1734" s="44"/>
      <c r="D1734" s="44"/>
      <c r="E1734" s="44"/>
      <c r="F1734" s="44"/>
      <c r="G1734" s="44"/>
      <c r="H1734" s="44"/>
      <c r="I1734" s="44"/>
      <c r="J1734" s="44"/>
      <c r="K1734" s="44"/>
      <c r="L1734" s="44"/>
      <c r="M1734" s="44"/>
      <c r="N1734" s="44"/>
      <c r="O1734" s="44"/>
    </row>
    <row r="1735" spans="1:15" ht="13.5" hidden="1" customHeight="1">
      <c r="B1735" s="33">
        <v>1</v>
      </c>
      <c r="C1735" s="35" t="s">
        <v>165</v>
      </c>
      <c r="D1735" s="35" t="s">
        <v>436</v>
      </c>
      <c r="F1735" s="30" t="s">
        <v>42</v>
      </c>
      <c r="G1735" s="36">
        <f>333*21</f>
        <v>6993</v>
      </c>
      <c r="H1735" s="36">
        <v>1861</v>
      </c>
      <c r="I1735" s="36">
        <v>3240</v>
      </c>
      <c r="J1735" s="36">
        <v>500</v>
      </c>
      <c r="K1735" s="36">
        <f t="shared" ref="K1735" si="328">SUM(G1735:J1735)</f>
        <v>12594</v>
      </c>
      <c r="L1735" s="36">
        <v>13500</v>
      </c>
      <c r="M1735" s="9">
        <f t="shared" ref="M1735:M1737" si="329">L1735/K1735</f>
        <v>1.0719390185802764</v>
      </c>
      <c r="N1735" s="5">
        <v>1</v>
      </c>
      <c r="O1735" s="10">
        <f t="shared" ref="O1735:O1737" si="330">N1735*M1735</f>
        <v>1.0719390185802764</v>
      </c>
    </row>
    <row r="1736" spans="1:15" ht="13.5" hidden="1" customHeight="1">
      <c r="B1736" s="33">
        <v>2</v>
      </c>
      <c r="C1736" s="35" t="s">
        <v>431</v>
      </c>
      <c r="D1736" s="35" t="s">
        <v>437</v>
      </c>
      <c r="F1736" s="30" t="s">
        <v>25</v>
      </c>
      <c r="G1736" s="36">
        <f>300*12</f>
        <v>3600</v>
      </c>
      <c r="H1736" s="36">
        <v>1861</v>
      </c>
      <c r="I1736" s="36">
        <v>3240</v>
      </c>
      <c r="J1736" s="36">
        <v>500</v>
      </c>
      <c r="K1736" s="36">
        <f>SUM(G1736:J1736)</f>
        <v>9201</v>
      </c>
      <c r="L1736" s="36">
        <v>13500</v>
      </c>
      <c r="M1736" s="9">
        <f t="shared" si="329"/>
        <v>1.4672318226279752</v>
      </c>
      <c r="N1736" s="5">
        <v>1</v>
      </c>
      <c r="O1736" s="10">
        <f t="shared" si="330"/>
        <v>1.4672318226279752</v>
      </c>
    </row>
    <row r="1737" spans="1:15" ht="13.5" hidden="1" customHeight="1">
      <c r="B1737" s="33">
        <v>3</v>
      </c>
      <c r="C1737" s="35" t="s">
        <v>430</v>
      </c>
      <c r="D1737" s="35" t="s">
        <v>435</v>
      </c>
      <c r="F1737" s="30" t="s">
        <v>417</v>
      </c>
      <c r="G1737" s="36">
        <f>277*5</f>
        <v>1385</v>
      </c>
      <c r="H1737" s="36">
        <v>1861</v>
      </c>
      <c r="I1737" s="36">
        <v>7890</v>
      </c>
      <c r="J1737" s="36">
        <v>500</v>
      </c>
      <c r="K1737" s="36">
        <f t="shared" ref="K1737" si="331">SUM(G1737:J1737)</f>
        <v>11636</v>
      </c>
      <c r="L1737" s="36">
        <v>13500</v>
      </c>
      <c r="M1737" s="9">
        <f t="shared" si="329"/>
        <v>1.1601925060158129</v>
      </c>
      <c r="N1737" s="5">
        <v>1</v>
      </c>
      <c r="O1737" s="10">
        <f t="shared" si="330"/>
        <v>1.1601925060158129</v>
      </c>
    </row>
    <row r="1738" spans="1:15" ht="17.25" hidden="1" customHeight="1">
      <c r="A1738" s="66" t="s">
        <v>45</v>
      </c>
      <c r="B1738" s="66"/>
      <c r="C1738" s="66"/>
      <c r="D1738" s="66"/>
      <c r="E1738" s="66"/>
      <c r="F1738" s="66"/>
      <c r="G1738" s="66"/>
      <c r="H1738" s="66"/>
      <c r="I1738" s="66"/>
      <c r="J1738" s="66"/>
      <c r="K1738" s="66"/>
      <c r="L1738" s="66"/>
      <c r="M1738" s="66"/>
      <c r="N1738" s="22">
        <f>SUM(N1735:N1737)</f>
        <v>3</v>
      </c>
      <c r="O1738" s="23">
        <f>SUM(O1735:O1737)</f>
        <v>3.6993633472240646</v>
      </c>
    </row>
    <row r="1739" spans="1:15" ht="13.5" customHeight="1">
      <c r="A1739" s="44" t="s">
        <v>1020</v>
      </c>
      <c r="B1739" s="44"/>
      <c r="C1739" s="44"/>
      <c r="D1739" s="44"/>
      <c r="E1739" s="44"/>
      <c r="F1739" s="44"/>
      <c r="G1739" s="44"/>
      <c r="H1739" s="44"/>
      <c r="I1739" s="44"/>
      <c r="J1739" s="44"/>
      <c r="K1739" s="44"/>
      <c r="L1739" s="44"/>
      <c r="M1739" s="44"/>
      <c r="N1739" s="44"/>
      <c r="O1739" s="44"/>
    </row>
    <row r="1740" spans="1:15" ht="13.5" customHeight="1">
      <c r="B1740" s="33">
        <v>1</v>
      </c>
      <c r="C1740" s="35"/>
      <c r="D1740" s="35"/>
      <c r="F1740" s="30" t="s">
        <v>428</v>
      </c>
      <c r="G1740" s="36">
        <f>277*6</f>
        <v>1662</v>
      </c>
      <c r="H1740" s="36">
        <v>1861</v>
      </c>
      <c r="I1740" s="36">
        <v>7890</v>
      </c>
      <c r="J1740" s="36">
        <v>500</v>
      </c>
      <c r="K1740" s="36">
        <f t="shared" ref="K1740:K1746" si="332">SUM(G1740:J1740)</f>
        <v>11913</v>
      </c>
      <c r="L1740" s="36">
        <v>27000</v>
      </c>
      <c r="M1740" s="9">
        <f t="shared" ref="M1740:M1746" si="333">L1740/K1740</f>
        <v>2.2664316293125157</v>
      </c>
      <c r="N1740" s="5">
        <v>1</v>
      </c>
      <c r="O1740" s="10">
        <f t="shared" ref="O1740:O1746" si="334">IF(M1740&gt;1,1,M1740)</f>
        <v>1</v>
      </c>
    </row>
    <row r="1741" spans="1:15" ht="13.5" customHeight="1">
      <c r="B1741" s="33">
        <f>+B1740+1</f>
        <v>2</v>
      </c>
      <c r="C1741" s="35"/>
      <c r="D1741" s="35"/>
      <c r="F1741" s="30" t="s">
        <v>428</v>
      </c>
      <c r="G1741" s="36">
        <f>277*6</f>
        <v>1662</v>
      </c>
      <c r="H1741" s="36">
        <v>1861</v>
      </c>
      <c r="I1741" s="36">
        <v>7890</v>
      </c>
      <c r="J1741" s="36">
        <v>500</v>
      </c>
      <c r="K1741" s="36">
        <f t="shared" si="332"/>
        <v>11913</v>
      </c>
      <c r="L1741" s="36">
        <v>27000</v>
      </c>
      <c r="M1741" s="9">
        <f t="shared" si="333"/>
        <v>2.2664316293125157</v>
      </c>
      <c r="N1741" s="5">
        <v>1</v>
      </c>
      <c r="O1741" s="10">
        <f t="shared" si="334"/>
        <v>1</v>
      </c>
    </row>
    <row r="1742" spans="1:15" ht="13.5" customHeight="1">
      <c r="B1742" s="33">
        <f t="shared" ref="B1742:B1746" si="335">+B1741+1</f>
        <v>3</v>
      </c>
      <c r="C1742" s="35"/>
      <c r="D1742" s="35"/>
      <c r="F1742" s="30" t="s">
        <v>25</v>
      </c>
      <c r="G1742" s="36">
        <f t="shared" ref="G1742:J1743" si="336">+G1723+G1731+G1736</f>
        <v>10800</v>
      </c>
      <c r="H1742" s="36">
        <f t="shared" si="336"/>
        <v>5583</v>
      </c>
      <c r="I1742" s="36">
        <f t="shared" si="336"/>
        <v>9720</v>
      </c>
      <c r="J1742" s="36">
        <f t="shared" si="336"/>
        <v>1500</v>
      </c>
      <c r="K1742" s="36">
        <f t="shared" si="332"/>
        <v>27603</v>
      </c>
      <c r="L1742" s="36">
        <v>27000</v>
      </c>
      <c r="M1742" s="9">
        <f t="shared" si="333"/>
        <v>0.97815454841865013</v>
      </c>
      <c r="N1742" s="5">
        <v>1</v>
      </c>
      <c r="O1742" s="10">
        <f t="shared" si="334"/>
        <v>0.97815454841865013</v>
      </c>
    </row>
    <row r="1743" spans="1:15" ht="13.5" customHeight="1">
      <c r="B1743" s="33">
        <f t="shared" si="335"/>
        <v>4</v>
      </c>
      <c r="C1743" s="35"/>
      <c r="D1743" s="35"/>
      <c r="F1743" s="30" t="s">
        <v>417</v>
      </c>
      <c r="G1743" s="36">
        <f t="shared" si="336"/>
        <v>6371</v>
      </c>
      <c r="H1743" s="36">
        <f t="shared" si="336"/>
        <v>5583</v>
      </c>
      <c r="I1743" s="36">
        <f t="shared" si="336"/>
        <v>23670</v>
      </c>
      <c r="J1743" s="36">
        <f t="shared" si="336"/>
        <v>1500</v>
      </c>
      <c r="K1743" s="36">
        <f t="shared" si="332"/>
        <v>37124</v>
      </c>
      <c r="L1743" s="36">
        <v>27000</v>
      </c>
      <c r="M1743" s="9">
        <f t="shared" si="333"/>
        <v>0.72729231763818558</v>
      </c>
      <c r="N1743" s="5">
        <v>1</v>
      </c>
      <c r="O1743" s="10">
        <f t="shared" si="334"/>
        <v>0.72729231763818558</v>
      </c>
    </row>
    <row r="1744" spans="1:15" ht="13.5" customHeight="1">
      <c r="B1744" s="33">
        <f t="shared" si="335"/>
        <v>5</v>
      </c>
      <c r="C1744" s="35"/>
      <c r="D1744" s="35"/>
      <c r="F1744" s="30" t="s">
        <v>417</v>
      </c>
      <c r="G1744" s="36">
        <f>277*3</f>
        <v>831</v>
      </c>
      <c r="H1744" s="36">
        <v>1861</v>
      </c>
      <c r="I1744" s="36">
        <v>7890</v>
      </c>
      <c r="J1744" s="36">
        <v>500</v>
      </c>
      <c r="K1744" s="36">
        <f t="shared" si="332"/>
        <v>11082</v>
      </c>
      <c r="L1744" s="36">
        <v>27000</v>
      </c>
      <c r="M1744" s="9">
        <f t="shared" si="333"/>
        <v>2.4363833243096913</v>
      </c>
      <c r="N1744" s="5">
        <v>1</v>
      </c>
      <c r="O1744" s="10">
        <f t="shared" si="334"/>
        <v>1</v>
      </c>
    </row>
    <row r="1745" spans="1:15" ht="13.5" customHeight="1">
      <c r="B1745" s="33">
        <f t="shared" si="335"/>
        <v>6</v>
      </c>
      <c r="C1745" s="35"/>
      <c r="D1745" s="35"/>
      <c r="F1745" s="30" t="s">
        <v>24</v>
      </c>
      <c r="G1745" s="36">
        <f>277*6</f>
        <v>1662</v>
      </c>
      <c r="H1745" s="36">
        <v>1861</v>
      </c>
      <c r="I1745" s="36">
        <v>7890</v>
      </c>
      <c r="J1745" s="36">
        <v>0</v>
      </c>
      <c r="K1745" s="36">
        <f t="shared" si="332"/>
        <v>11413</v>
      </c>
      <c r="L1745" s="36">
        <v>27000</v>
      </c>
      <c r="M1745" s="9">
        <f t="shared" si="333"/>
        <v>2.3657232979935161</v>
      </c>
      <c r="N1745" s="5">
        <v>1</v>
      </c>
      <c r="O1745" s="10">
        <f t="shared" si="334"/>
        <v>1</v>
      </c>
    </row>
    <row r="1746" spans="1:15" ht="13.5" customHeight="1">
      <c r="B1746" s="33">
        <f t="shared" si="335"/>
        <v>7</v>
      </c>
      <c r="C1746" s="35"/>
      <c r="D1746" s="35"/>
      <c r="F1746" s="30" t="s">
        <v>429</v>
      </c>
      <c r="G1746" s="36">
        <f>277*4</f>
        <v>1108</v>
      </c>
      <c r="H1746" s="36">
        <v>1861</v>
      </c>
      <c r="I1746" s="36">
        <v>7890</v>
      </c>
      <c r="J1746" s="36">
        <v>500</v>
      </c>
      <c r="K1746" s="36">
        <f t="shared" si="332"/>
        <v>11359</v>
      </c>
      <c r="L1746" s="36">
        <v>27000</v>
      </c>
      <c r="M1746" s="9">
        <f t="shared" si="333"/>
        <v>2.3769698036799012</v>
      </c>
      <c r="N1746" s="5">
        <v>1</v>
      </c>
      <c r="O1746" s="10">
        <f t="shared" si="334"/>
        <v>1</v>
      </c>
    </row>
    <row r="1747" spans="1:15" ht="13.5" customHeight="1">
      <c r="C1747" s="35"/>
      <c r="D1747" s="35"/>
      <c r="F1747" s="30"/>
      <c r="G1747" s="36"/>
      <c r="H1747" s="36"/>
      <c r="I1747" s="36"/>
      <c r="J1747" s="36"/>
      <c r="K1747" s="36"/>
      <c r="M1747" s="9"/>
      <c r="N1747" s="5"/>
      <c r="O1747" s="10"/>
    </row>
    <row r="1748" spans="1:15" ht="13.5" customHeight="1">
      <c r="A1748" s="1" t="s">
        <v>16</v>
      </c>
      <c r="B1748" s="33">
        <v>3</v>
      </c>
      <c r="C1748" s="35"/>
      <c r="D1748" s="35"/>
      <c r="F1748" s="30" t="s">
        <v>42</v>
      </c>
      <c r="G1748" s="36">
        <f>+G1722+G1730+G1735</f>
        <v>20646</v>
      </c>
      <c r="H1748" s="36">
        <f>+H1722+H1730+H1735</f>
        <v>5583</v>
      </c>
      <c r="I1748" s="36">
        <f>+I1722+I1730+I1735</f>
        <v>9720</v>
      </c>
      <c r="J1748" s="36">
        <f>+J1722+J1730+J1735</f>
        <v>1500</v>
      </c>
      <c r="K1748" s="36">
        <f>SUM(G1748:J1748)</f>
        <v>37449</v>
      </c>
      <c r="L1748" s="36">
        <v>27000</v>
      </c>
      <c r="M1748" s="9">
        <f>L1748/K1748</f>
        <v>0.72098053352559477</v>
      </c>
      <c r="N1748" s="5">
        <v>1</v>
      </c>
      <c r="O1748" s="10">
        <f>N1748*M1748</f>
        <v>0.72098053352559477</v>
      </c>
    </row>
    <row r="1749" spans="1:15" ht="17.25" customHeight="1">
      <c r="A1749" s="66" t="s">
        <v>45</v>
      </c>
      <c r="B1749" s="66"/>
      <c r="C1749" s="66"/>
      <c r="D1749" s="66"/>
      <c r="E1749" s="66"/>
      <c r="F1749" s="66"/>
      <c r="G1749" s="66"/>
      <c r="H1749" s="66"/>
      <c r="I1749" s="66"/>
      <c r="J1749" s="66"/>
      <c r="K1749" s="66"/>
      <c r="L1749" s="66"/>
      <c r="M1749" s="66"/>
      <c r="N1749" s="22">
        <f>SUM(N1740:N1746)</f>
        <v>7</v>
      </c>
      <c r="O1749" s="23">
        <f>SUM(O1740:O1746)</f>
        <v>6.7054468660568354</v>
      </c>
    </row>
    <row r="1750" spans="1:15" ht="13.5" hidden="1" customHeight="1">
      <c r="A1750" s="44" t="s">
        <v>443</v>
      </c>
      <c r="B1750" s="44"/>
      <c r="C1750" s="44"/>
      <c r="D1750" s="44"/>
      <c r="E1750" s="44"/>
      <c r="F1750" s="44"/>
      <c r="G1750" s="44"/>
      <c r="H1750" s="44"/>
      <c r="I1750" s="44"/>
      <c r="J1750" s="44"/>
      <c r="K1750" s="44"/>
      <c r="L1750" s="44"/>
      <c r="M1750" s="44"/>
      <c r="N1750" s="44"/>
      <c r="O1750" s="44"/>
    </row>
    <row r="1751" spans="1:15" ht="13.5" hidden="1" customHeight="1">
      <c r="B1751" s="33">
        <v>1</v>
      </c>
      <c r="C1751" s="25" t="s">
        <v>486</v>
      </c>
      <c r="D1751" s="25" t="s">
        <v>457</v>
      </c>
      <c r="F1751" s="30" t="s">
        <v>38</v>
      </c>
      <c r="G1751" s="36">
        <f>333*20</f>
        <v>6660</v>
      </c>
      <c r="H1751" s="36">
        <v>1861.6</v>
      </c>
      <c r="I1751" s="36">
        <v>3240</v>
      </c>
      <c r="J1751" s="36">
        <v>500</v>
      </c>
      <c r="K1751" s="36">
        <f>SUM(G1751:J1751)</f>
        <v>12261.6</v>
      </c>
      <c r="L1751" s="36">
        <v>13500</v>
      </c>
      <c r="M1751" s="9">
        <f t="shared" ref="M1751" si="337">L1751/K1751</f>
        <v>1.1009982384028185</v>
      </c>
      <c r="N1751" s="5">
        <v>1</v>
      </c>
      <c r="O1751" s="10">
        <f t="shared" ref="O1751" si="338">N1751*M1751</f>
        <v>1.1009982384028185</v>
      </c>
    </row>
    <row r="1752" spans="1:15" ht="13.5" hidden="1" customHeight="1">
      <c r="B1752" s="33">
        <f>+B1751+1</f>
        <v>2</v>
      </c>
      <c r="C1752" s="25" t="s">
        <v>146</v>
      </c>
      <c r="D1752" s="25" t="s">
        <v>156</v>
      </c>
      <c r="F1752" s="30" t="s">
        <v>140</v>
      </c>
      <c r="G1752" s="36">
        <f>300*15</f>
        <v>4500</v>
      </c>
      <c r="H1752" s="36">
        <v>1861.6</v>
      </c>
      <c r="I1752" s="36">
        <v>3240</v>
      </c>
      <c r="J1752" s="36">
        <v>500</v>
      </c>
      <c r="K1752" s="36">
        <f t="shared" ref="K1752:K1784" si="339">SUM(G1752:J1752)</f>
        <v>10101.6</v>
      </c>
      <c r="L1752" s="36">
        <v>13500</v>
      </c>
      <c r="M1752" s="9">
        <f t="shared" ref="M1752:M1784" si="340">L1752/K1752</f>
        <v>1.3364219529579473</v>
      </c>
      <c r="N1752" s="5">
        <v>1</v>
      </c>
      <c r="O1752" s="10">
        <f t="shared" ref="O1752:O1784" si="341">N1752*M1752</f>
        <v>1.3364219529579473</v>
      </c>
    </row>
    <row r="1753" spans="1:15" ht="13.5" hidden="1" customHeight="1">
      <c r="B1753" s="33">
        <f t="shared" ref="B1753:B1784" si="342">+B1752+1</f>
        <v>3</v>
      </c>
      <c r="C1753" s="25" t="s">
        <v>482</v>
      </c>
      <c r="D1753" s="25" t="s">
        <v>451</v>
      </c>
      <c r="F1753" s="30" t="s">
        <v>428</v>
      </c>
      <c r="G1753" s="36">
        <f>277*6</f>
        <v>1662</v>
      </c>
      <c r="H1753" s="36">
        <v>1861.6</v>
      </c>
      <c r="I1753" s="36">
        <v>7890</v>
      </c>
      <c r="J1753" s="36">
        <v>500</v>
      </c>
      <c r="K1753" s="36">
        <f t="shared" si="339"/>
        <v>11913.6</v>
      </c>
      <c r="L1753" s="36">
        <v>13500</v>
      </c>
      <c r="M1753" s="9">
        <f t="shared" si="340"/>
        <v>1.1331587429492345</v>
      </c>
      <c r="N1753" s="5">
        <v>1</v>
      </c>
      <c r="O1753" s="10">
        <f t="shared" si="341"/>
        <v>1.1331587429492345</v>
      </c>
    </row>
    <row r="1754" spans="1:15" ht="13.5" hidden="1" customHeight="1">
      <c r="B1754" s="33">
        <f t="shared" si="342"/>
        <v>4</v>
      </c>
      <c r="C1754" s="25" t="s">
        <v>489</v>
      </c>
      <c r="D1754" s="25" t="s">
        <v>462</v>
      </c>
      <c r="F1754" s="30" t="s">
        <v>428</v>
      </c>
      <c r="G1754" s="36">
        <f t="shared" ref="G1754:G1755" si="343">277*6</f>
        <v>1662</v>
      </c>
      <c r="H1754" s="36">
        <v>1861.6</v>
      </c>
      <c r="I1754" s="36">
        <v>7890</v>
      </c>
      <c r="J1754" s="36">
        <v>500</v>
      </c>
      <c r="K1754" s="36">
        <f t="shared" si="339"/>
        <v>11913.6</v>
      </c>
      <c r="L1754" s="36">
        <v>13500</v>
      </c>
      <c r="M1754" s="9">
        <f t="shared" si="340"/>
        <v>1.1331587429492345</v>
      </c>
      <c r="N1754" s="5">
        <v>1</v>
      </c>
      <c r="O1754" s="10">
        <f t="shared" si="341"/>
        <v>1.1331587429492345</v>
      </c>
    </row>
    <row r="1755" spans="1:15" ht="13.5" hidden="1" customHeight="1">
      <c r="B1755" s="33">
        <f t="shared" si="342"/>
        <v>5</v>
      </c>
      <c r="C1755" s="25" t="s">
        <v>91</v>
      </c>
      <c r="D1755" s="25" t="s">
        <v>478</v>
      </c>
      <c r="F1755" s="30" t="s">
        <v>428</v>
      </c>
      <c r="G1755" s="36">
        <f t="shared" si="343"/>
        <v>1662</v>
      </c>
      <c r="H1755" s="36">
        <v>1861.6</v>
      </c>
      <c r="I1755" s="36">
        <v>7890</v>
      </c>
      <c r="J1755" s="36">
        <v>500</v>
      </c>
      <c r="K1755" s="36">
        <f t="shared" si="339"/>
        <v>11913.6</v>
      </c>
      <c r="L1755" s="36">
        <v>13500</v>
      </c>
      <c r="M1755" s="9">
        <f t="shared" si="340"/>
        <v>1.1331587429492345</v>
      </c>
      <c r="N1755" s="5">
        <v>1</v>
      </c>
      <c r="O1755" s="10">
        <f t="shared" si="341"/>
        <v>1.1331587429492345</v>
      </c>
    </row>
    <row r="1756" spans="1:15" ht="13.5" hidden="1" customHeight="1">
      <c r="B1756" s="33">
        <f t="shared" si="342"/>
        <v>6</v>
      </c>
      <c r="C1756" s="25" t="s">
        <v>485</v>
      </c>
      <c r="D1756" s="25" t="s">
        <v>454</v>
      </c>
      <c r="F1756" s="30" t="s">
        <v>25</v>
      </c>
      <c r="G1756" s="36">
        <f>300*21</f>
        <v>6300</v>
      </c>
      <c r="H1756" s="36">
        <v>1861.6</v>
      </c>
      <c r="I1756" s="36">
        <v>3240</v>
      </c>
      <c r="J1756" s="36">
        <v>500</v>
      </c>
      <c r="K1756" s="36">
        <f t="shared" si="339"/>
        <v>11901.6</v>
      </c>
      <c r="L1756" s="36">
        <v>13500</v>
      </c>
      <c r="M1756" s="9">
        <f t="shared" si="340"/>
        <v>1.1343012704174229</v>
      </c>
      <c r="N1756" s="5">
        <v>1</v>
      </c>
      <c r="O1756" s="10">
        <f t="shared" si="341"/>
        <v>1.1343012704174229</v>
      </c>
    </row>
    <row r="1757" spans="1:15" ht="13.5" hidden="1" customHeight="1">
      <c r="B1757" s="33">
        <f t="shared" si="342"/>
        <v>7</v>
      </c>
      <c r="C1757" s="25" t="s">
        <v>487</v>
      </c>
      <c r="D1757" s="25" t="s">
        <v>458</v>
      </c>
      <c r="F1757" s="30" t="s">
        <v>25</v>
      </c>
      <c r="G1757" s="36">
        <f>300*3</f>
        <v>900</v>
      </c>
      <c r="H1757" s="36">
        <v>1861.6</v>
      </c>
      <c r="I1757" s="36">
        <v>3240</v>
      </c>
      <c r="J1757" s="36">
        <v>500</v>
      </c>
      <c r="K1757" s="36">
        <f t="shared" si="339"/>
        <v>6501.6</v>
      </c>
      <c r="L1757" s="36">
        <v>13500</v>
      </c>
      <c r="M1757" s="9">
        <f t="shared" si="340"/>
        <v>2.0764119601328903</v>
      </c>
      <c r="N1757" s="5">
        <v>1</v>
      </c>
      <c r="O1757" s="10">
        <f t="shared" si="341"/>
        <v>2.0764119601328903</v>
      </c>
    </row>
    <row r="1758" spans="1:15" ht="13.5" hidden="1" customHeight="1">
      <c r="B1758" s="33">
        <f t="shared" si="342"/>
        <v>8</v>
      </c>
      <c r="C1758" s="25" t="s">
        <v>494</v>
      </c>
      <c r="D1758" s="25" t="s">
        <v>471</v>
      </c>
      <c r="F1758" s="30" t="s">
        <v>25</v>
      </c>
      <c r="G1758" s="36">
        <f>300*21</f>
        <v>6300</v>
      </c>
      <c r="H1758" s="36">
        <v>1861.6</v>
      </c>
      <c r="I1758" s="36">
        <v>3240</v>
      </c>
      <c r="J1758" s="36">
        <v>500</v>
      </c>
      <c r="K1758" s="36">
        <f t="shared" si="339"/>
        <v>11901.6</v>
      </c>
      <c r="L1758" s="36">
        <v>13500</v>
      </c>
      <c r="M1758" s="9">
        <f t="shared" si="340"/>
        <v>1.1343012704174229</v>
      </c>
      <c r="N1758" s="5">
        <v>1</v>
      </c>
      <c r="O1758" s="10">
        <f t="shared" si="341"/>
        <v>1.1343012704174229</v>
      </c>
    </row>
    <row r="1759" spans="1:15" ht="13.5" hidden="1" customHeight="1">
      <c r="B1759" s="33">
        <f t="shared" si="342"/>
        <v>9</v>
      </c>
      <c r="C1759" s="25" t="s">
        <v>494</v>
      </c>
      <c r="D1759" s="25" t="s">
        <v>472</v>
      </c>
      <c r="F1759" s="30" t="s">
        <v>25</v>
      </c>
      <c r="G1759" s="36">
        <f>300*18</f>
        <v>5400</v>
      </c>
      <c r="H1759" s="36">
        <v>1861.6</v>
      </c>
      <c r="I1759" s="36">
        <v>3240</v>
      </c>
      <c r="J1759" s="36">
        <v>500</v>
      </c>
      <c r="K1759" s="36">
        <f t="shared" si="339"/>
        <v>11001.6</v>
      </c>
      <c r="L1759" s="36">
        <v>13500</v>
      </c>
      <c r="M1759" s="9">
        <f t="shared" si="340"/>
        <v>1.2270942408376964</v>
      </c>
      <c r="N1759" s="5">
        <v>1</v>
      </c>
      <c r="O1759" s="10">
        <f t="shared" si="341"/>
        <v>1.2270942408376964</v>
      </c>
    </row>
    <row r="1760" spans="1:15" ht="13.5" hidden="1" customHeight="1">
      <c r="B1760" s="33">
        <f t="shared" si="342"/>
        <v>10</v>
      </c>
      <c r="C1760" s="25" t="s">
        <v>496</v>
      </c>
      <c r="D1760" s="25" t="s">
        <v>475</v>
      </c>
      <c r="F1760" s="30" t="s">
        <v>25</v>
      </c>
      <c r="G1760" s="36">
        <f>300*6</f>
        <v>1800</v>
      </c>
      <c r="H1760" s="36">
        <v>1861.6</v>
      </c>
      <c r="I1760" s="36">
        <v>3240</v>
      </c>
      <c r="J1760" s="36">
        <v>500</v>
      </c>
      <c r="K1760" s="36">
        <f t="shared" si="339"/>
        <v>7401.6</v>
      </c>
      <c r="L1760" s="36">
        <v>13500</v>
      </c>
      <c r="M1760" s="9">
        <f t="shared" si="340"/>
        <v>1.8239299610894941</v>
      </c>
      <c r="N1760" s="5">
        <v>1</v>
      </c>
      <c r="O1760" s="10">
        <f t="shared" si="341"/>
        <v>1.8239299610894941</v>
      </c>
    </row>
    <row r="1761" spans="2:15" ht="13.5" hidden="1" customHeight="1">
      <c r="B1761" s="33">
        <f t="shared" si="342"/>
        <v>11</v>
      </c>
      <c r="C1761" s="25" t="s">
        <v>498</v>
      </c>
      <c r="D1761" s="25" t="s">
        <v>477</v>
      </c>
      <c r="F1761" s="30" t="s">
        <v>25</v>
      </c>
      <c r="G1761" s="36">
        <f>300*21</f>
        <v>6300</v>
      </c>
      <c r="H1761" s="36">
        <v>1861.6</v>
      </c>
      <c r="I1761" s="36">
        <v>3240</v>
      </c>
      <c r="J1761" s="36">
        <v>500</v>
      </c>
      <c r="K1761" s="36">
        <f t="shared" si="339"/>
        <v>11901.6</v>
      </c>
      <c r="L1761" s="36">
        <v>13500</v>
      </c>
      <c r="M1761" s="9">
        <f t="shared" si="340"/>
        <v>1.1343012704174229</v>
      </c>
      <c r="N1761" s="5">
        <v>1</v>
      </c>
      <c r="O1761" s="10">
        <f t="shared" si="341"/>
        <v>1.1343012704174229</v>
      </c>
    </row>
    <row r="1762" spans="2:15" ht="13.5" hidden="1" customHeight="1">
      <c r="B1762" s="33">
        <f t="shared" si="342"/>
        <v>12</v>
      </c>
      <c r="C1762" s="25" t="s">
        <v>484</v>
      </c>
      <c r="D1762" s="25" t="s">
        <v>453</v>
      </c>
      <c r="F1762" s="30" t="s">
        <v>217</v>
      </c>
      <c r="G1762" s="36">
        <f>400*12</f>
        <v>4800</v>
      </c>
      <c r="H1762" s="36">
        <v>1861.6</v>
      </c>
      <c r="I1762" s="36">
        <v>7890</v>
      </c>
      <c r="J1762" s="36">
        <v>500</v>
      </c>
      <c r="K1762" s="36">
        <f t="shared" si="339"/>
        <v>15051.6</v>
      </c>
      <c r="L1762" s="36">
        <v>13500</v>
      </c>
      <c r="M1762" s="9">
        <f t="shared" si="340"/>
        <v>0.89691461372877301</v>
      </c>
      <c r="N1762" s="5">
        <v>1</v>
      </c>
      <c r="O1762" s="10">
        <f t="shared" si="341"/>
        <v>0.89691461372877301</v>
      </c>
    </row>
    <row r="1763" spans="2:15" ht="13.5" hidden="1" customHeight="1">
      <c r="B1763" s="33">
        <f t="shared" si="342"/>
        <v>13</v>
      </c>
      <c r="C1763" s="25" t="s">
        <v>236</v>
      </c>
      <c r="D1763" s="25" t="s">
        <v>459</v>
      </c>
      <c r="F1763" s="30" t="s">
        <v>217</v>
      </c>
      <c r="G1763" s="36">
        <f>400*12</f>
        <v>4800</v>
      </c>
      <c r="H1763" s="36">
        <v>1861.6</v>
      </c>
      <c r="I1763" s="36">
        <v>7890</v>
      </c>
      <c r="J1763" s="36">
        <v>500</v>
      </c>
      <c r="K1763" s="36">
        <f t="shared" si="339"/>
        <v>15051.6</v>
      </c>
      <c r="L1763" s="36">
        <v>13500</v>
      </c>
      <c r="M1763" s="9">
        <f t="shared" si="340"/>
        <v>0.89691461372877301</v>
      </c>
      <c r="N1763" s="5">
        <v>1</v>
      </c>
      <c r="O1763" s="10">
        <f t="shared" si="341"/>
        <v>0.89691461372877301</v>
      </c>
    </row>
    <row r="1764" spans="2:15" ht="13.5" hidden="1" customHeight="1">
      <c r="B1764" s="33">
        <f t="shared" si="342"/>
        <v>14</v>
      </c>
      <c r="C1764" s="25" t="s">
        <v>493</v>
      </c>
      <c r="D1764" s="25" t="s">
        <v>468</v>
      </c>
      <c r="F1764" s="30" t="s">
        <v>417</v>
      </c>
      <c r="G1764" s="36">
        <f>277*3</f>
        <v>831</v>
      </c>
      <c r="H1764" s="36">
        <v>1861.6</v>
      </c>
      <c r="I1764" s="36">
        <v>7890</v>
      </c>
      <c r="J1764" s="36">
        <v>500</v>
      </c>
      <c r="K1764" s="36">
        <f t="shared" si="339"/>
        <v>11082.6</v>
      </c>
      <c r="L1764" s="36">
        <v>13500</v>
      </c>
      <c r="M1764" s="9">
        <f t="shared" si="340"/>
        <v>1.2181257105733312</v>
      </c>
      <c r="N1764" s="5">
        <v>1</v>
      </c>
      <c r="O1764" s="10">
        <f t="shared" si="341"/>
        <v>1.2181257105733312</v>
      </c>
    </row>
    <row r="1765" spans="2:15" ht="13.5" hidden="1" customHeight="1">
      <c r="B1765" s="33">
        <f t="shared" si="342"/>
        <v>15</v>
      </c>
      <c r="C1765" s="25" t="s">
        <v>495</v>
      </c>
      <c r="D1765" s="25" t="s">
        <v>473</v>
      </c>
      <c r="F1765" s="30" t="s">
        <v>417</v>
      </c>
      <c r="G1765" s="36">
        <f t="shared" ref="G1765:G1766" si="344">277*3</f>
        <v>831</v>
      </c>
      <c r="H1765" s="36">
        <v>1861.6</v>
      </c>
      <c r="I1765" s="36">
        <v>7890</v>
      </c>
      <c r="J1765" s="36">
        <v>500</v>
      </c>
      <c r="K1765" s="36">
        <f t="shared" si="339"/>
        <v>11082.6</v>
      </c>
      <c r="L1765" s="36">
        <v>13500</v>
      </c>
      <c r="M1765" s="9">
        <f t="shared" si="340"/>
        <v>1.2181257105733312</v>
      </c>
      <c r="N1765" s="5">
        <v>1</v>
      </c>
      <c r="O1765" s="10">
        <f t="shared" si="341"/>
        <v>1.2181257105733312</v>
      </c>
    </row>
    <row r="1766" spans="2:15" ht="13.5" hidden="1" customHeight="1">
      <c r="B1766" s="33">
        <f t="shared" si="342"/>
        <v>16</v>
      </c>
      <c r="C1766" s="25" t="s">
        <v>497</v>
      </c>
      <c r="D1766" s="25" t="s">
        <v>476</v>
      </c>
      <c r="F1766" s="30" t="s">
        <v>417</v>
      </c>
      <c r="G1766" s="36">
        <f t="shared" si="344"/>
        <v>831</v>
      </c>
      <c r="H1766" s="36">
        <v>1861.6</v>
      </c>
      <c r="I1766" s="36">
        <v>7890</v>
      </c>
      <c r="J1766" s="36">
        <v>500</v>
      </c>
      <c r="K1766" s="36">
        <f t="shared" si="339"/>
        <v>11082.6</v>
      </c>
      <c r="L1766" s="36">
        <v>13500</v>
      </c>
      <c r="M1766" s="9">
        <f t="shared" si="340"/>
        <v>1.2181257105733312</v>
      </c>
      <c r="N1766" s="5">
        <v>1</v>
      </c>
      <c r="O1766" s="10">
        <f t="shared" si="341"/>
        <v>1.2181257105733312</v>
      </c>
    </row>
    <row r="1767" spans="2:15" ht="13.5" hidden="1" customHeight="1">
      <c r="B1767" s="33">
        <f t="shared" si="342"/>
        <v>17</v>
      </c>
      <c r="C1767" s="25" t="s">
        <v>253</v>
      </c>
      <c r="D1767" s="25" t="s">
        <v>469</v>
      </c>
      <c r="F1767" s="30" t="s">
        <v>216</v>
      </c>
      <c r="G1767" s="36">
        <f>300*18</f>
        <v>5400</v>
      </c>
      <c r="H1767" s="36">
        <v>1861.6</v>
      </c>
      <c r="I1767" s="36">
        <v>3240</v>
      </c>
      <c r="J1767" s="36">
        <v>500</v>
      </c>
      <c r="K1767" s="36">
        <f t="shared" si="339"/>
        <v>11001.6</v>
      </c>
      <c r="L1767" s="36">
        <v>13500</v>
      </c>
      <c r="M1767" s="9">
        <f t="shared" si="340"/>
        <v>1.2270942408376964</v>
      </c>
      <c r="N1767" s="5">
        <v>1</v>
      </c>
      <c r="O1767" s="10">
        <f t="shared" si="341"/>
        <v>1.2270942408376964</v>
      </c>
    </row>
    <row r="1768" spans="2:15" ht="13.5" hidden="1" customHeight="1">
      <c r="B1768" s="33">
        <f t="shared" si="342"/>
        <v>18</v>
      </c>
      <c r="C1768" s="25" t="s">
        <v>99</v>
      </c>
      <c r="D1768" s="25" t="s">
        <v>470</v>
      </c>
      <c r="F1768" s="30" t="s">
        <v>216</v>
      </c>
      <c r="G1768" s="36">
        <f>300*18</f>
        <v>5400</v>
      </c>
      <c r="H1768" s="36">
        <v>1861.6</v>
      </c>
      <c r="I1768" s="36">
        <v>3240</v>
      </c>
      <c r="J1768" s="36">
        <v>500</v>
      </c>
      <c r="K1768" s="36">
        <f t="shared" si="339"/>
        <v>11001.6</v>
      </c>
      <c r="L1768" s="36">
        <v>13500</v>
      </c>
      <c r="M1768" s="9">
        <f t="shared" si="340"/>
        <v>1.2270942408376964</v>
      </c>
      <c r="N1768" s="5">
        <v>1</v>
      </c>
      <c r="O1768" s="10">
        <f t="shared" si="341"/>
        <v>1.2270942408376964</v>
      </c>
    </row>
    <row r="1769" spans="2:15" ht="13.5" hidden="1" customHeight="1">
      <c r="B1769" s="33">
        <f t="shared" si="342"/>
        <v>19</v>
      </c>
      <c r="C1769" s="25" t="s">
        <v>492</v>
      </c>
      <c r="D1769" s="25" t="s">
        <v>467</v>
      </c>
      <c r="F1769" s="30" t="s">
        <v>445</v>
      </c>
      <c r="G1769" s="36">
        <f>333*17</f>
        <v>5661</v>
      </c>
      <c r="H1769" s="36">
        <v>1861.6</v>
      </c>
      <c r="I1769" s="36">
        <v>7890</v>
      </c>
      <c r="J1769" s="36">
        <v>500</v>
      </c>
      <c r="K1769" s="36">
        <f t="shared" si="339"/>
        <v>15912.6</v>
      </c>
      <c r="L1769" s="36">
        <v>13500</v>
      </c>
      <c r="M1769" s="9">
        <f t="shared" si="340"/>
        <v>0.84838429923456882</v>
      </c>
      <c r="N1769" s="5">
        <v>1</v>
      </c>
      <c r="O1769" s="10">
        <f t="shared" si="341"/>
        <v>0.84838429923456882</v>
      </c>
    </row>
    <row r="1770" spans="2:15" ht="13.5" hidden="1" customHeight="1">
      <c r="B1770" s="33">
        <f t="shared" si="342"/>
        <v>20</v>
      </c>
      <c r="C1770" s="25" t="s">
        <v>483</v>
      </c>
      <c r="D1770" s="25" t="s">
        <v>452</v>
      </c>
      <c r="F1770" s="30" t="s">
        <v>444</v>
      </c>
      <c r="G1770" s="36">
        <f>277*4</f>
        <v>1108</v>
      </c>
      <c r="H1770" s="36">
        <v>1861.6</v>
      </c>
      <c r="I1770" s="36">
        <v>7890</v>
      </c>
      <c r="J1770" s="36">
        <v>500</v>
      </c>
      <c r="K1770" s="36">
        <f t="shared" si="339"/>
        <v>11359.6</v>
      </c>
      <c r="L1770" s="36">
        <v>13500</v>
      </c>
      <c r="M1770" s="9">
        <f t="shared" si="340"/>
        <v>1.188422127539702</v>
      </c>
      <c r="N1770" s="5">
        <v>1</v>
      </c>
      <c r="O1770" s="10">
        <f t="shared" si="341"/>
        <v>1.188422127539702</v>
      </c>
    </row>
    <row r="1771" spans="2:15" ht="13.5" hidden="1" customHeight="1">
      <c r="B1771" s="33">
        <f t="shared" si="342"/>
        <v>21</v>
      </c>
      <c r="C1771" s="25" t="s">
        <v>78</v>
      </c>
      <c r="D1771" s="25" t="s">
        <v>456</v>
      </c>
      <c r="F1771" s="30" t="s">
        <v>444</v>
      </c>
      <c r="G1771" s="36">
        <f t="shared" ref="G1771:G1773" si="345">277*4</f>
        <v>1108</v>
      </c>
      <c r="H1771" s="36">
        <v>1861.6</v>
      </c>
      <c r="I1771" s="36">
        <v>7890</v>
      </c>
      <c r="J1771" s="36">
        <v>500</v>
      </c>
      <c r="K1771" s="36">
        <f t="shared" si="339"/>
        <v>11359.6</v>
      </c>
      <c r="L1771" s="36">
        <v>13500</v>
      </c>
      <c r="M1771" s="9">
        <f t="shared" si="340"/>
        <v>1.188422127539702</v>
      </c>
      <c r="N1771" s="5">
        <v>1</v>
      </c>
      <c r="O1771" s="10">
        <f t="shared" si="341"/>
        <v>1.188422127539702</v>
      </c>
    </row>
    <row r="1772" spans="2:15" ht="13.5" hidden="1" customHeight="1">
      <c r="B1772" s="33">
        <f t="shared" si="342"/>
        <v>22</v>
      </c>
      <c r="C1772" s="25" t="s">
        <v>490</v>
      </c>
      <c r="D1772" s="25" t="s">
        <v>465</v>
      </c>
      <c r="F1772" s="30" t="s">
        <v>444</v>
      </c>
      <c r="G1772" s="36">
        <f t="shared" si="345"/>
        <v>1108</v>
      </c>
      <c r="H1772" s="36">
        <v>1861.6</v>
      </c>
      <c r="I1772" s="36">
        <v>7890</v>
      </c>
      <c r="J1772" s="36">
        <v>500</v>
      </c>
      <c r="K1772" s="36">
        <f t="shared" si="339"/>
        <v>11359.6</v>
      </c>
      <c r="L1772" s="36">
        <v>13500</v>
      </c>
      <c r="M1772" s="9">
        <f t="shared" si="340"/>
        <v>1.188422127539702</v>
      </c>
      <c r="N1772" s="5">
        <v>1</v>
      </c>
      <c r="O1772" s="10">
        <f t="shared" si="341"/>
        <v>1.188422127539702</v>
      </c>
    </row>
    <row r="1773" spans="2:15" ht="13.5" hidden="1" customHeight="1">
      <c r="B1773" s="33">
        <f t="shared" si="342"/>
        <v>23</v>
      </c>
      <c r="C1773" s="25" t="s">
        <v>491</v>
      </c>
      <c r="D1773" s="25" t="s">
        <v>466</v>
      </c>
      <c r="F1773" s="30" t="s">
        <v>444</v>
      </c>
      <c r="G1773" s="36">
        <f t="shared" si="345"/>
        <v>1108</v>
      </c>
      <c r="H1773" s="36">
        <v>1861.6</v>
      </c>
      <c r="I1773" s="36">
        <v>7890</v>
      </c>
      <c r="J1773" s="36">
        <v>500</v>
      </c>
      <c r="K1773" s="36">
        <f t="shared" si="339"/>
        <v>11359.6</v>
      </c>
      <c r="L1773" s="36">
        <v>13500</v>
      </c>
      <c r="M1773" s="9">
        <f t="shared" si="340"/>
        <v>1.188422127539702</v>
      </c>
      <c r="N1773" s="5">
        <v>1</v>
      </c>
      <c r="O1773" s="10">
        <f t="shared" si="341"/>
        <v>1.188422127539702</v>
      </c>
    </row>
    <row r="1774" spans="2:15" ht="13.5" hidden="1" customHeight="1">
      <c r="B1774" s="33">
        <f t="shared" si="342"/>
        <v>24</v>
      </c>
      <c r="C1774" s="25" t="s">
        <v>338</v>
      </c>
      <c r="D1774" s="25" t="s">
        <v>446</v>
      </c>
      <c r="F1774" s="30" t="s">
        <v>32</v>
      </c>
      <c r="G1774" s="36">
        <f>300*17</f>
        <v>5100</v>
      </c>
      <c r="H1774" s="36">
        <v>1861.6</v>
      </c>
      <c r="I1774" s="36">
        <v>3240</v>
      </c>
      <c r="J1774" s="36">
        <v>500</v>
      </c>
      <c r="K1774" s="36">
        <f t="shared" si="339"/>
        <v>10701.6</v>
      </c>
      <c r="L1774" s="36">
        <v>13500</v>
      </c>
      <c r="M1774" s="9">
        <f t="shared" si="340"/>
        <v>1.261493608432384</v>
      </c>
      <c r="N1774" s="5">
        <v>1</v>
      </c>
      <c r="O1774" s="10">
        <f t="shared" si="341"/>
        <v>1.261493608432384</v>
      </c>
    </row>
    <row r="1775" spans="2:15" ht="13.5" hidden="1" customHeight="1">
      <c r="B1775" s="33">
        <f t="shared" si="342"/>
        <v>25</v>
      </c>
      <c r="C1775" s="25" t="s">
        <v>350</v>
      </c>
      <c r="D1775" s="25" t="s">
        <v>460</v>
      </c>
      <c r="F1775" s="30" t="s">
        <v>32</v>
      </c>
      <c r="G1775" s="36">
        <f t="shared" ref="G1775:G1777" si="346">300*17</f>
        <v>5100</v>
      </c>
      <c r="H1775" s="36">
        <v>1861.6</v>
      </c>
      <c r="I1775" s="36">
        <v>3240</v>
      </c>
      <c r="J1775" s="36">
        <v>500</v>
      </c>
      <c r="K1775" s="36">
        <f t="shared" si="339"/>
        <v>10701.6</v>
      </c>
      <c r="L1775" s="36">
        <v>13500</v>
      </c>
      <c r="M1775" s="9">
        <f t="shared" si="340"/>
        <v>1.261493608432384</v>
      </c>
      <c r="N1775" s="5">
        <v>1</v>
      </c>
      <c r="O1775" s="10">
        <f t="shared" si="341"/>
        <v>1.261493608432384</v>
      </c>
    </row>
    <row r="1776" spans="2:15" ht="13.5" hidden="1" customHeight="1">
      <c r="B1776" s="33">
        <f t="shared" si="342"/>
        <v>26</v>
      </c>
      <c r="C1776" s="25" t="s">
        <v>488</v>
      </c>
      <c r="D1776" s="25" t="s">
        <v>461</v>
      </c>
      <c r="F1776" s="30" t="s">
        <v>32</v>
      </c>
      <c r="G1776" s="36">
        <f t="shared" si="346"/>
        <v>5100</v>
      </c>
      <c r="H1776" s="36">
        <v>1861.6</v>
      </c>
      <c r="I1776" s="36">
        <v>3240</v>
      </c>
      <c r="J1776" s="36">
        <v>500</v>
      </c>
      <c r="K1776" s="36">
        <f t="shared" si="339"/>
        <v>10701.6</v>
      </c>
      <c r="L1776" s="36">
        <v>13500</v>
      </c>
      <c r="M1776" s="9">
        <f t="shared" si="340"/>
        <v>1.261493608432384</v>
      </c>
      <c r="N1776" s="5">
        <v>1</v>
      </c>
      <c r="O1776" s="10">
        <f t="shared" si="341"/>
        <v>1.261493608432384</v>
      </c>
    </row>
    <row r="1777" spans="1:15" ht="13.5" hidden="1" customHeight="1">
      <c r="B1777" s="33">
        <f t="shared" si="342"/>
        <v>27</v>
      </c>
      <c r="C1777" s="25" t="s">
        <v>359</v>
      </c>
      <c r="D1777" s="25" t="s">
        <v>474</v>
      </c>
      <c r="F1777" s="30" t="s">
        <v>32</v>
      </c>
      <c r="G1777" s="36">
        <f t="shared" si="346"/>
        <v>5100</v>
      </c>
      <c r="H1777" s="36">
        <v>1861.6</v>
      </c>
      <c r="I1777" s="36">
        <v>3240</v>
      </c>
      <c r="J1777" s="36">
        <v>500</v>
      </c>
      <c r="K1777" s="36">
        <f t="shared" si="339"/>
        <v>10701.6</v>
      </c>
      <c r="L1777" s="36">
        <v>13500</v>
      </c>
      <c r="M1777" s="9">
        <f t="shared" si="340"/>
        <v>1.261493608432384</v>
      </c>
      <c r="N1777" s="5">
        <v>1</v>
      </c>
      <c r="O1777" s="10">
        <f t="shared" si="341"/>
        <v>1.261493608432384</v>
      </c>
    </row>
    <row r="1778" spans="1:15" ht="13.5" hidden="1" customHeight="1">
      <c r="B1778" s="33">
        <f t="shared" si="342"/>
        <v>28</v>
      </c>
      <c r="C1778" s="25" t="s">
        <v>78</v>
      </c>
      <c r="D1778" s="25" t="s">
        <v>455</v>
      </c>
      <c r="F1778" s="30" t="s">
        <v>27</v>
      </c>
      <c r="G1778" s="36">
        <f>333*20</f>
        <v>6660</v>
      </c>
      <c r="H1778" s="36">
        <v>1861.6</v>
      </c>
      <c r="I1778" s="36">
        <v>3240</v>
      </c>
      <c r="J1778" s="36">
        <v>500</v>
      </c>
      <c r="K1778" s="36">
        <f t="shared" si="339"/>
        <v>12261.6</v>
      </c>
      <c r="L1778" s="36">
        <v>13500</v>
      </c>
      <c r="M1778" s="9">
        <f t="shared" si="340"/>
        <v>1.1009982384028185</v>
      </c>
      <c r="N1778" s="5">
        <v>1</v>
      </c>
      <c r="O1778" s="10">
        <f t="shared" si="341"/>
        <v>1.1009982384028185</v>
      </c>
    </row>
    <row r="1779" spans="1:15" ht="13.5" hidden="1" customHeight="1">
      <c r="B1779" s="33">
        <f t="shared" si="342"/>
        <v>29</v>
      </c>
      <c r="C1779" s="25" t="s">
        <v>220</v>
      </c>
      <c r="D1779" s="25" t="s">
        <v>447</v>
      </c>
      <c r="F1779" s="30" t="s">
        <v>30</v>
      </c>
      <c r="G1779" s="36">
        <f>300*21</f>
        <v>6300</v>
      </c>
      <c r="H1779" s="36">
        <v>1861.6</v>
      </c>
      <c r="I1779" s="36">
        <v>3240</v>
      </c>
      <c r="J1779" s="36">
        <v>500</v>
      </c>
      <c r="K1779" s="36">
        <f t="shared" si="339"/>
        <v>11901.6</v>
      </c>
      <c r="L1779" s="36">
        <v>13500</v>
      </c>
      <c r="M1779" s="9">
        <f t="shared" si="340"/>
        <v>1.1343012704174229</v>
      </c>
      <c r="N1779" s="5">
        <v>1</v>
      </c>
      <c r="O1779" s="10">
        <f t="shared" si="341"/>
        <v>1.1343012704174229</v>
      </c>
    </row>
    <row r="1780" spans="1:15" ht="13.5" hidden="1" customHeight="1">
      <c r="B1780" s="33">
        <f t="shared" si="342"/>
        <v>30</v>
      </c>
      <c r="C1780" s="25" t="s">
        <v>480</v>
      </c>
      <c r="D1780" s="25" t="s">
        <v>449</v>
      </c>
      <c r="F1780" s="30" t="s">
        <v>30</v>
      </c>
      <c r="G1780" s="36">
        <f t="shared" ref="G1780:G1781" si="347">300*21</f>
        <v>6300</v>
      </c>
      <c r="H1780" s="36">
        <v>1861.6</v>
      </c>
      <c r="I1780" s="36">
        <v>3240</v>
      </c>
      <c r="J1780" s="36">
        <v>500</v>
      </c>
      <c r="K1780" s="36">
        <f t="shared" si="339"/>
        <v>11901.6</v>
      </c>
      <c r="L1780" s="36">
        <v>13500</v>
      </c>
      <c r="M1780" s="9">
        <f t="shared" si="340"/>
        <v>1.1343012704174229</v>
      </c>
      <c r="N1780" s="5">
        <v>1</v>
      </c>
      <c r="O1780" s="10">
        <f t="shared" si="341"/>
        <v>1.1343012704174229</v>
      </c>
    </row>
    <row r="1781" spans="1:15" ht="13.5" hidden="1" customHeight="1">
      <c r="B1781" s="33">
        <f t="shared" si="342"/>
        <v>31</v>
      </c>
      <c r="C1781" s="25" t="s">
        <v>481</v>
      </c>
      <c r="D1781" s="25" t="s">
        <v>450</v>
      </c>
      <c r="F1781" s="30" t="s">
        <v>30</v>
      </c>
      <c r="G1781" s="36">
        <f t="shared" si="347"/>
        <v>6300</v>
      </c>
      <c r="H1781" s="36">
        <v>1861.6</v>
      </c>
      <c r="I1781" s="36">
        <v>3240</v>
      </c>
      <c r="J1781" s="36">
        <v>500</v>
      </c>
      <c r="K1781" s="36">
        <f t="shared" si="339"/>
        <v>11901.6</v>
      </c>
      <c r="L1781" s="36">
        <v>13500</v>
      </c>
      <c r="M1781" s="9">
        <f t="shared" si="340"/>
        <v>1.1343012704174229</v>
      </c>
      <c r="N1781" s="5">
        <v>1</v>
      </c>
      <c r="O1781" s="10">
        <f t="shared" si="341"/>
        <v>1.1343012704174229</v>
      </c>
    </row>
    <row r="1782" spans="1:15" ht="13.5" hidden="1" customHeight="1">
      <c r="B1782" s="33">
        <f t="shared" si="342"/>
        <v>32</v>
      </c>
      <c r="C1782" s="25" t="s">
        <v>244</v>
      </c>
      <c r="D1782" s="25" t="s">
        <v>464</v>
      </c>
      <c r="F1782" s="30" t="s">
        <v>30</v>
      </c>
      <c r="G1782" s="36">
        <f>300*15</f>
        <v>4500</v>
      </c>
      <c r="H1782" s="36">
        <v>1861.6</v>
      </c>
      <c r="I1782" s="36">
        <v>3240</v>
      </c>
      <c r="J1782" s="36">
        <v>500</v>
      </c>
      <c r="K1782" s="36">
        <f t="shared" si="339"/>
        <v>10101.6</v>
      </c>
      <c r="L1782" s="36">
        <v>13500</v>
      </c>
      <c r="M1782" s="9">
        <f t="shared" si="340"/>
        <v>1.3364219529579473</v>
      </c>
      <c r="N1782" s="5">
        <v>1</v>
      </c>
      <c r="O1782" s="10">
        <f t="shared" si="341"/>
        <v>1.3364219529579473</v>
      </c>
    </row>
    <row r="1783" spans="1:15" ht="13.5" hidden="1" customHeight="1">
      <c r="B1783" s="33">
        <f t="shared" si="342"/>
        <v>33</v>
      </c>
      <c r="C1783" s="25" t="s">
        <v>479</v>
      </c>
      <c r="D1783" s="25" t="s">
        <v>448</v>
      </c>
      <c r="F1783" s="30" t="s">
        <v>429</v>
      </c>
      <c r="G1783" s="36">
        <f>277*4</f>
        <v>1108</v>
      </c>
      <c r="H1783" s="36">
        <v>1861.6</v>
      </c>
      <c r="I1783" s="36">
        <v>7890</v>
      </c>
      <c r="J1783" s="36">
        <v>500</v>
      </c>
      <c r="K1783" s="36">
        <f t="shared" si="339"/>
        <v>11359.6</v>
      </c>
      <c r="L1783" s="36">
        <v>13500</v>
      </c>
      <c r="M1783" s="9">
        <f t="shared" si="340"/>
        <v>1.188422127539702</v>
      </c>
      <c r="N1783" s="5">
        <v>1</v>
      </c>
      <c r="O1783" s="10">
        <f t="shared" si="341"/>
        <v>1.188422127539702</v>
      </c>
    </row>
    <row r="1784" spans="1:15" ht="13.5" hidden="1" customHeight="1">
      <c r="B1784" s="33">
        <f t="shared" si="342"/>
        <v>34</v>
      </c>
      <c r="C1784" s="25" t="s">
        <v>104</v>
      </c>
      <c r="D1784" s="25" t="s">
        <v>463</v>
      </c>
      <c r="F1784" s="30" t="s">
        <v>429</v>
      </c>
      <c r="G1784" s="36">
        <f>277*4</f>
        <v>1108</v>
      </c>
      <c r="H1784" s="36">
        <v>1861.6</v>
      </c>
      <c r="I1784" s="36">
        <v>7890</v>
      </c>
      <c r="J1784" s="36">
        <v>500</v>
      </c>
      <c r="K1784" s="36">
        <f t="shared" si="339"/>
        <v>11359.6</v>
      </c>
      <c r="L1784" s="36">
        <v>13500</v>
      </c>
      <c r="M1784" s="9">
        <f t="shared" si="340"/>
        <v>1.188422127539702</v>
      </c>
      <c r="N1784" s="5">
        <v>1</v>
      </c>
      <c r="O1784" s="10">
        <f t="shared" si="341"/>
        <v>1.188422127539702</v>
      </c>
    </row>
    <row r="1785" spans="1:15" ht="17.25" hidden="1" customHeight="1">
      <c r="A1785" s="66" t="s">
        <v>45</v>
      </c>
      <c r="B1785" s="66"/>
      <c r="C1785" s="66"/>
      <c r="D1785" s="66"/>
      <c r="E1785" s="66"/>
      <c r="F1785" s="66"/>
      <c r="G1785" s="66"/>
      <c r="H1785" s="66"/>
      <c r="I1785" s="66"/>
      <c r="J1785" s="66"/>
      <c r="K1785" s="66"/>
      <c r="L1785" s="66"/>
      <c r="M1785" s="66"/>
      <c r="N1785" s="22">
        <f>SUM(N1751:N1784)</f>
        <v>34</v>
      </c>
      <c r="O1785" s="23">
        <f>SUM(O1751:O1784)</f>
        <v>41.134846735189114</v>
      </c>
    </row>
    <row r="1786" spans="1:15" ht="13.5" hidden="1" customHeight="1">
      <c r="A1786" s="44" t="s">
        <v>507</v>
      </c>
      <c r="B1786" s="44"/>
      <c r="C1786" s="44"/>
      <c r="D1786" s="44"/>
      <c r="E1786" s="44"/>
      <c r="F1786" s="44"/>
      <c r="G1786" s="44"/>
      <c r="H1786" s="44"/>
      <c r="I1786" s="44"/>
      <c r="J1786" s="44"/>
      <c r="K1786" s="44"/>
      <c r="L1786" s="44"/>
      <c r="M1786" s="44"/>
      <c r="N1786" s="44"/>
      <c r="O1786" s="44"/>
    </row>
    <row r="1787" spans="1:15" ht="13.5" hidden="1" customHeight="1">
      <c r="B1787" s="33">
        <v>1</v>
      </c>
      <c r="C1787" s="25" t="s">
        <v>486</v>
      </c>
      <c r="D1787" s="25" t="s">
        <v>457</v>
      </c>
      <c r="F1787" s="30" t="s">
        <v>38</v>
      </c>
      <c r="G1787" s="36">
        <f>333*15</f>
        <v>4995</v>
      </c>
      <c r="H1787" s="36">
        <v>1861</v>
      </c>
      <c r="I1787" s="36">
        <v>3240</v>
      </c>
      <c r="J1787" s="36">
        <v>0</v>
      </c>
      <c r="K1787" s="36">
        <f>SUM(G1787:J1787)</f>
        <v>10096</v>
      </c>
      <c r="L1787" s="36">
        <v>13500</v>
      </c>
      <c r="M1787" s="9">
        <f t="shared" ref="M1787:M1820" si="348">L1787/K1787</f>
        <v>1.3371632329635499</v>
      </c>
      <c r="N1787" s="5">
        <v>1</v>
      </c>
      <c r="O1787" s="10">
        <f t="shared" ref="O1787:O1820" si="349">N1787*M1787</f>
        <v>1.3371632329635499</v>
      </c>
    </row>
    <row r="1788" spans="1:15" ht="13.5" hidden="1" customHeight="1">
      <c r="B1788" s="33">
        <f>+B1787+1</f>
        <v>2</v>
      </c>
      <c r="C1788" s="25" t="s">
        <v>146</v>
      </c>
      <c r="D1788" s="25" t="s">
        <v>156</v>
      </c>
      <c r="F1788" s="30" t="s">
        <v>140</v>
      </c>
      <c r="G1788" s="36">
        <f>300*8</f>
        <v>2400</v>
      </c>
      <c r="H1788" s="36">
        <v>1861</v>
      </c>
      <c r="I1788" s="36">
        <v>3240</v>
      </c>
      <c r="J1788" s="36">
        <v>0</v>
      </c>
      <c r="K1788" s="36">
        <f t="shared" ref="K1788:K1820" si="350">SUM(G1788:J1788)</f>
        <v>7501</v>
      </c>
      <c r="L1788" s="36">
        <v>13500</v>
      </c>
      <c r="M1788" s="9">
        <f t="shared" si="348"/>
        <v>1.7997600319957339</v>
      </c>
      <c r="N1788" s="5">
        <v>1</v>
      </c>
      <c r="O1788" s="10">
        <f t="shared" si="349"/>
        <v>1.7997600319957339</v>
      </c>
    </row>
    <row r="1789" spans="1:15" ht="13.5" hidden="1" customHeight="1">
      <c r="B1789" s="33">
        <f t="shared" ref="B1789:B1820" si="351">+B1788+1</f>
        <v>3</v>
      </c>
      <c r="C1789" s="25" t="s">
        <v>482</v>
      </c>
      <c r="D1789" s="25" t="s">
        <v>451</v>
      </c>
      <c r="F1789" s="30" t="s">
        <v>428</v>
      </c>
      <c r="G1789" s="36">
        <v>0</v>
      </c>
      <c r="H1789" s="36">
        <v>0</v>
      </c>
      <c r="I1789" s="36">
        <v>0</v>
      </c>
      <c r="J1789" s="36">
        <v>0</v>
      </c>
      <c r="K1789" s="36">
        <f t="shared" si="350"/>
        <v>0</v>
      </c>
      <c r="L1789" s="36">
        <v>13500</v>
      </c>
      <c r="M1789" s="9" t="e">
        <f t="shared" si="348"/>
        <v>#DIV/0!</v>
      </c>
      <c r="N1789" s="5">
        <v>1</v>
      </c>
      <c r="O1789" s="10" t="e">
        <f t="shared" si="349"/>
        <v>#DIV/0!</v>
      </c>
    </row>
    <row r="1790" spans="1:15" ht="13.5" hidden="1" customHeight="1">
      <c r="B1790" s="33">
        <f t="shared" si="351"/>
        <v>4</v>
      </c>
      <c r="C1790" s="25" t="s">
        <v>489</v>
      </c>
      <c r="D1790" s="25" t="s">
        <v>462</v>
      </c>
      <c r="F1790" s="30" t="s">
        <v>428</v>
      </c>
      <c r="G1790" s="36">
        <v>0</v>
      </c>
      <c r="H1790" s="36">
        <v>0</v>
      </c>
      <c r="I1790" s="36">
        <v>0</v>
      </c>
      <c r="J1790" s="36">
        <v>0</v>
      </c>
      <c r="K1790" s="36">
        <f t="shared" si="350"/>
        <v>0</v>
      </c>
      <c r="L1790" s="36">
        <v>13500</v>
      </c>
      <c r="M1790" s="9" t="e">
        <f t="shared" si="348"/>
        <v>#DIV/0!</v>
      </c>
      <c r="N1790" s="5">
        <v>1</v>
      </c>
      <c r="O1790" s="10" t="e">
        <f t="shared" si="349"/>
        <v>#DIV/0!</v>
      </c>
    </row>
    <row r="1791" spans="1:15" ht="13.5" hidden="1" customHeight="1">
      <c r="B1791" s="33">
        <f t="shared" si="351"/>
        <v>5</v>
      </c>
      <c r="C1791" s="25" t="s">
        <v>91</v>
      </c>
      <c r="D1791" s="25" t="s">
        <v>478</v>
      </c>
      <c r="F1791" s="30" t="s">
        <v>428</v>
      </c>
      <c r="G1791" s="36">
        <v>0</v>
      </c>
      <c r="H1791" s="36">
        <v>0</v>
      </c>
      <c r="I1791" s="36">
        <v>0</v>
      </c>
      <c r="J1791" s="36">
        <v>0</v>
      </c>
      <c r="K1791" s="36">
        <f t="shared" si="350"/>
        <v>0</v>
      </c>
      <c r="L1791" s="36">
        <v>13500</v>
      </c>
      <c r="M1791" s="9" t="e">
        <f t="shared" si="348"/>
        <v>#DIV/0!</v>
      </c>
      <c r="N1791" s="5">
        <v>1</v>
      </c>
      <c r="O1791" s="10" t="e">
        <f t="shared" si="349"/>
        <v>#DIV/0!</v>
      </c>
    </row>
    <row r="1792" spans="1:15" ht="13.5" hidden="1" customHeight="1">
      <c r="B1792" s="33">
        <f t="shared" si="351"/>
        <v>6</v>
      </c>
      <c r="C1792" s="25" t="s">
        <v>485</v>
      </c>
      <c r="D1792" s="25" t="s">
        <v>454</v>
      </c>
      <c r="F1792" s="30" t="s">
        <v>25</v>
      </c>
      <c r="G1792" s="36">
        <f>300*18</f>
        <v>5400</v>
      </c>
      <c r="H1792" s="36">
        <v>1861</v>
      </c>
      <c r="I1792" s="36">
        <v>3240</v>
      </c>
      <c r="J1792" s="36">
        <v>500</v>
      </c>
      <c r="K1792" s="36">
        <f t="shared" si="350"/>
        <v>11001</v>
      </c>
      <c r="L1792" s="36">
        <v>13500</v>
      </c>
      <c r="M1792" s="9">
        <f t="shared" si="348"/>
        <v>1.2271611671666212</v>
      </c>
      <c r="N1792" s="5">
        <v>1</v>
      </c>
      <c r="O1792" s="10">
        <f t="shared" si="349"/>
        <v>1.2271611671666212</v>
      </c>
    </row>
    <row r="1793" spans="2:15" ht="13.5" hidden="1" customHeight="1">
      <c r="B1793" s="33">
        <f t="shared" si="351"/>
        <v>7</v>
      </c>
      <c r="C1793" s="25" t="s">
        <v>487</v>
      </c>
      <c r="D1793" s="25" t="s">
        <v>458</v>
      </c>
      <c r="F1793" s="30" t="s">
        <v>25</v>
      </c>
      <c r="G1793" s="36">
        <f>300*6</f>
        <v>1800</v>
      </c>
      <c r="H1793" s="36">
        <v>1861</v>
      </c>
      <c r="I1793" s="36">
        <v>3240</v>
      </c>
      <c r="J1793" s="36">
        <v>500</v>
      </c>
      <c r="K1793" s="36">
        <f t="shared" si="350"/>
        <v>7401</v>
      </c>
      <c r="L1793" s="36">
        <v>13500</v>
      </c>
      <c r="M1793" s="9">
        <f t="shared" si="348"/>
        <v>1.8240778273206324</v>
      </c>
      <c r="N1793" s="5">
        <v>1</v>
      </c>
      <c r="O1793" s="10">
        <f t="shared" si="349"/>
        <v>1.8240778273206324</v>
      </c>
    </row>
    <row r="1794" spans="2:15" ht="13.5" hidden="1" customHeight="1">
      <c r="B1794" s="33">
        <f t="shared" si="351"/>
        <v>8</v>
      </c>
      <c r="C1794" s="25" t="s">
        <v>494</v>
      </c>
      <c r="D1794" s="25" t="s">
        <v>471</v>
      </c>
      <c r="F1794" s="30" t="s">
        <v>25</v>
      </c>
      <c r="G1794" s="36">
        <f>300*18</f>
        <v>5400</v>
      </c>
      <c r="H1794" s="36">
        <v>1861</v>
      </c>
      <c r="I1794" s="36">
        <v>3240</v>
      </c>
      <c r="J1794" s="36">
        <v>500</v>
      </c>
      <c r="K1794" s="36">
        <f t="shared" si="350"/>
        <v>11001</v>
      </c>
      <c r="L1794" s="36">
        <v>13500</v>
      </c>
      <c r="M1794" s="9">
        <f t="shared" si="348"/>
        <v>1.2271611671666212</v>
      </c>
      <c r="N1794" s="5">
        <v>1</v>
      </c>
      <c r="O1794" s="10">
        <f t="shared" si="349"/>
        <v>1.2271611671666212</v>
      </c>
    </row>
    <row r="1795" spans="2:15" ht="13.5" hidden="1" customHeight="1">
      <c r="B1795" s="33">
        <f t="shared" si="351"/>
        <v>9</v>
      </c>
      <c r="C1795" s="25" t="s">
        <v>494</v>
      </c>
      <c r="D1795" s="25" t="s">
        <v>472</v>
      </c>
      <c r="F1795" s="30" t="s">
        <v>25</v>
      </c>
      <c r="G1795" s="36">
        <f>300*18</f>
        <v>5400</v>
      </c>
      <c r="H1795" s="36">
        <v>1861</v>
      </c>
      <c r="I1795" s="36">
        <v>3240</v>
      </c>
      <c r="J1795" s="36">
        <v>500</v>
      </c>
      <c r="K1795" s="36">
        <f t="shared" si="350"/>
        <v>11001</v>
      </c>
      <c r="L1795" s="36">
        <v>13500</v>
      </c>
      <c r="M1795" s="9">
        <f t="shared" si="348"/>
        <v>1.2271611671666212</v>
      </c>
      <c r="N1795" s="5">
        <v>1</v>
      </c>
      <c r="O1795" s="10">
        <f t="shared" si="349"/>
        <v>1.2271611671666212</v>
      </c>
    </row>
    <row r="1796" spans="2:15" ht="13.5" hidden="1" customHeight="1">
      <c r="B1796" s="33">
        <f t="shared" si="351"/>
        <v>10</v>
      </c>
      <c r="C1796" s="25" t="s">
        <v>496</v>
      </c>
      <c r="D1796" s="25" t="s">
        <v>475</v>
      </c>
      <c r="F1796" s="30" t="s">
        <v>25</v>
      </c>
      <c r="G1796" s="36">
        <f>300*6</f>
        <v>1800</v>
      </c>
      <c r="H1796" s="36">
        <v>1861</v>
      </c>
      <c r="I1796" s="36">
        <v>3240</v>
      </c>
      <c r="J1796" s="36">
        <v>500</v>
      </c>
      <c r="K1796" s="36">
        <f t="shared" si="350"/>
        <v>7401</v>
      </c>
      <c r="L1796" s="36">
        <v>13500</v>
      </c>
      <c r="M1796" s="9">
        <f t="shared" si="348"/>
        <v>1.8240778273206324</v>
      </c>
      <c r="N1796" s="5">
        <v>1</v>
      </c>
      <c r="O1796" s="10">
        <f t="shared" si="349"/>
        <v>1.8240778273206324</v>
      </c>
    </row>
    <row r="1797" spans="2:15" ht="13.5" hidden="1" customHeight="1">
      <c r="B1797" s="33">
        <f t="shared" si="351"/>
        <v>11</v>
      </c>
      <c r="C1797" s="25" t="s">
        <v>498</v>
      </c>
      <c r="D1797" s="25" t="s">
        <v>477</v>
      </c>
      <c r="F1797" s="30" t="s">
        <v>25</v>
      </c>
      <c r="G1797" s="36">
        <f>300*18</f>
        <v>5400</v>
      </c>
      <c r="H1797" s="36">
        <v>1861</v>
      </c>
      <c r="I1797" s="36">
        <v>3240</v>
      </c>
      <c r="J1797" s="36">
        <v>500</v>
      </c>
      <c r="K1797" s="36">
        <f t="shared" si="350"/>
        <v>11001</v>
      </c>
      <c r="L1797" s="36">
        <v>13500</v>
      </c>
      <c r="M1797" s="9">
        <f t="shared" si="348"/>
        <v>1.2271611671666212</v>
      </c>
      <c r="N1797" s="5">
        <v>1</v>
      </c>
      <c r="O1797" s="10">
        <f t="shared" si="349"/>
        <v>1.2271611671666212</v>
      </c>
    </row>
    <row r="1798" spans="2:15" ht="13.5" hidden="1" customHeight="1">
      <c r="B1798" s="33">
        <f t="shared" si="351"/>
        <v>12</v>
      </c>
      <c r="C1798" s="25" t="s">
        <v>484</v>
      </c>
      <c r="D1798" s="25" t="s">
        <v>453</v>
      </c>
      <c r="F1798" s="30" t="s">
        <v>217</v>
      </c>
      <c r="G1798" s="36">
        <f>400*6</f>
        <v>2400</v>
      </c>
      <c r="H1798" s="36">
        <v>1861</v>
      </c>
      <c r="I1798" s="36">
        <v>3240</v>
      </c>
      <c r="J1798" s="36">
        <v>500</v>
      </c>
      <c r="K1798" s="36">
        <f t="shared" si="350"/>
        <v>8001</v>
      </c>
      <c r="L1798" s="36">
        <v>13500</v>
      </c>
      <c r="M1798" s="9">
        <f t="shared" si="348"/>
        <v>1.6872890888638921</v>
      </c>
      <c r="N1798" s="5">
        <v>1</v>
      </c>
      <c r="O1798" s="10">
        <f t="shared" si="349"/>
        <v>1.6872890888638921</v>
      </c>
    </row>
    <row r="1799" spans="2:15" ht="13.5" hidden="1" customHeight="1">
      <c r="B1799" s="33">
        <f t="shared" si="351"/>
        <v>13</v>
      </c>
      <c r="C1799" s="25" t="s">
        <v>236</v>
      </c>
      <c r="D1799" s="25" t="s">
        <v>459</v>
      </c>
      <c r="F1799" s="30" t="s">
        <v>217</v>
      </c>
      <c r="G1799" s="36">
        <f>400*6</f>
        <v>2400</v>
      </c>
      <c r="H1799" s="36">
        <v>1861</v>
      </c>
      <c r="I1799" s="36">
        <v>3240</v>
      </c>
      <c r="J1799" s="36">
        <v>500</v>
      </c>
      <c r="K1799" s="36">
        <f t="shared" si="350"/>
        <v>8001</v>
      </c>
      <c r="L1799" s="36">
        <v>13500</v>
      </c>
      <c r="M1799" s="9">
        <f t="shared" si="348"/>
        <v>1.6872890888638921</v>
      </c>
      <c r="N1799" s="5">
        <v>1</v>
      </c>
      <c r="O1799" s="10">
        <f t="shared" si="349"/>
        <v>1.6872890888638921</v>
      </c>
    </row>
    <row r="1800" spans="2:15" ht="13.5" hidden="1" customHeight="1">
      <c r="B1800" s="33">
        <f t="shared" si="351"/>
        <v>14</v>
      </c>
      <c r="C1800" s="25" t="s">
        <v>493</v>
      </c>
      <c r="D1800" s="25" t="s">
        <v>468</v>
      </c>
      <c r="F1800" s="30" t="s">
        <v>417</v>
      </c>
      <c r="G1800" s="36">
        <v>0</v>
      </c>
      <c r="H1800" s="36">
        <v>0</v>
      </c>
      <c r="I1800" s="36">
        <v>0</v>
      </c>
      <c r="J1800" s="36">
        <v>0</v>
      </c>
      <c r="K1800" s="36">
        <f t="shared" si="350"/>
        <v>0</v>
      </c>
      <c r="L1800" s="36">
        <v>13500</v>
      </c>
      <c r="M1800" s="9" t="e">
        <f t="shared" si="348"/>
        <v>#DIV/0!</v>
      </c>
      <c r="N1800" s="5">
        <v>1</v>
      </c>
      <c r="O1800" s="10" t="e">
        <f t="shared" si="349"/>
        <v>#DIV/0!</v>
      </c>
    </row>
    <row r="1801" spans="2:15" ht="13.5" hidden="1" customHeight="1">
      <c r="B1801" s="33">
        <f t="shared" si="351"/>
        <v>15</v>
      </c>
      <c r="C1801" s="25" t="s">
        <v>495</v>
      </c>
      <c r="D1801" s="25" t="s">
        <v>473</v>
      </c>
      <c r="F1801" s="30" t="s">
        <v>417</v>
      </c>
      <c r="G1801" s="36">
        <v>0</v>
      </c>
      <c r="H1801" s="36">
        <v>0</v>
      </c>
      <c r="I1801" s="36">
        <v>0</v>
      </c>
      <c r="J1801" s="36">
        <v>0</v>
      </c>
      <c r="K1801" s="36">
        <f t="shared" si="350"/>
        <v>0</v>
      </c>
      <c r="L1801" s="36">
        <v>13500</v>
      </c>
      <c r="M1801" s="9" t="e">
        <f t="shared" si="348"/>
        <v>#DIV/0!</v>
      </c>
      <c r="N1801" s="5">
        <v>1</v>
      </c>
      <c r="O1801" s="10" t="e">
        <f t="shared" si="349"/>
        <v>#DIV/0!</v>
      </c>
    </row>
    <row r="1802" spans="2:15" ht="13.5" hidden="1" customHeight="1">
      <c r="B1802" s="33">
        <f t="shared" si="351"/>
        <v>16</v>
      </c>
      <c r="C1802" s="25" t="s">
        <v>497</v>
      </c>
      <c r="D1802" s="25" t="s">
        <v>476</v>
      </c>
      <c r="F1802" s="30" t="s">
        <v>417</v>
      </c>
      <c r="G1802" s="36">
        <v>0</v>
      </c>
      <c r="H1802" s="36">
        <v>0</v>
      </c>
      <c r="I1802" s="36">
        <v>0</v>
      </c>
      <c r="J1802" s="36">
        <v>0</v>
      </c>
      <c r="K1802" s="36">
        <f t="shared" si="350"/>
        <v>0</v>
      </c>
      <c r="L1802" s="36">
        <v>13500</v>
      </c>
      <c r="M1802" s="9" t="e">
        <f t="shared" si="348"/>
        <v>#DIV/0!</v>
      </c>
      <c r="N1802" s="5">
        <v>1</v>
      </c>
      <c r="O1802" s="10" t="e">
        <f t="shared" si="349"/>
        <v>#DIV/0!</v>
      </c>
    </row>
    <row r="1803" spans="2:15" ht="13.5" hidden="1" customHeight="1">
      <c r="B1803" s="33">
        <f t="shared" si="351"/>
        <v>17</v>
      </c>
      <c r="C1803" s="25" t="s">
        <v>253</v>
      </c>
      <c r="D1803" s="25" t="s">
        <v>469</v>
      </c>
      <c r="F1803" s="30" t="s">
        <v>216</v>
      </c>
      <c r="G1803" s="36">
        <f>300*15</f>
        <v>4500</v>
      </c>
      <c r="H1803" s="36">
        <v>1861</v>
      </c>
      <c r="I1803" s="36">
        <v>3240</v>
      </c>
      <c r="J1803" s="36">
        <v>0</v>
      </c>
      <c r="K1803" s="36">
        <f t="shared" si="350"/>
        <v>9601</v>
      </c>
      <c r="L1803" s="36">
        <v>13500</v>
      </c>
      <c r="M1803" s="9">
        <f t="shared" si="348"/>
        <v>1.4061035308821999</v>
      </c>
      <c r="N1803" s="5">
        <v>1</v>
      </c>
      <c r="O1803" s="10">
        <f t="shared" si="349"/>
        <v>1.4061035308821999</v>
      </c>
    </row>
    <row r="1804" spans="2:15" ht="13.5" hidden="1" customHeight="1">
      <c r="B1804" s="33">
        <f t="shared" si="351"/>
        <v>18</v>
      </c>
      <c r="C1804" s="25" t="s">
        <v>99</v>
      </c>
      <c r="D1804" s="25" t="s">
        <v>470</v>
      </c>
      <c r="F1804" s="30" t="s">
        <v>216</v>
      </c>
      <c r="G1804" s="36">
        <f>300*12</f>
        <v>3600</v>
      </c>
      <c r="H1804" s="36">
        <v>1861</v>
      </c>
      <c r="I1804" s="36">
        <v>3240</v>
      </c>
      <c r="J1804" s="36">
        <v>0</v>
      </c>
      <c r="K1804" s="36">
        <f t="shared" si="350"/>
        <v>8701</v>
      </c>
      <c r="L1804" s="36">
        <v>13500</v>
      </c>
      <c r="M1804" s="9">
        <f t="shared" si="348"/>
        <v>1.5515457993334099</v>
      </c>
      <c r="N1804" s="5">
        <v>1</v>
      </c>
      <c r="O1804" s="10">
        <f t="shared" si="349"/>
        <v>1.5515457993334099</v>
      </c>
    </row>
    <row r="1805" spans="2:15" ht="13.5" hidden="1" customHeight="1">
      <c r="B1805" s="33">
        <f t="shared" si="351"/>
        <v>19</v>
      </c>
      <c r="C1805" s="25" t="s">
        <v>492</v>
      </c>
      <c r="D1805" s="25" t="s">
        <v>467</v>
      </c>
      <c r="F1805" s="30" t="s">
        <v>445</v>
      </c>
      <c r="G1805" s="36">
        <f>333*15</f>
        <v>4995</v>
      </c>
      <c r="H1805" s="36">
        <v>1861</v>
      </c>
      <c r="I1805" s="36">
        <v>3240</v>
      </c>
      <c r="J1805" s="36">
        <v>750</v>
      </c>
      <c r="K1805" s="36">
        <f t="shared" si="350"/>
        <v>10846</v>
      </c>
      <c r="L1805" s="36">
        <v>13500</v>
      </c>
      <c r="M1805" s="9">
        <f t="shared" si="348"/>
        <v>1.2446985063617924</v>
      </c>
      <c r="N1805" s="5">
        <v>1</v>
      </c>
      <c r="O1805" s="10">
        <f t="shared" si="349"/>
        <v>1.2446985063617924</v>
      </c>
    </row>
    <row r="1806" spans="2:15" ht="13.5" hidden="1" customHeight="1">
      <c r="B1806" s="33">
        <f t="shared" si="351"/>
        <v>20</v>
      </c>
      <c r="C1806" s="25" t="s">
        <v>483</v>
      </c>
      <c r="D1806" s="25" t="s">
        <v>452</v>
      </c>
      <c r="F1806" s="30" t="s">
        <v>444</v>
      </c>
      <c r="G1806" s="36">
        <v>0</v>
      </c>
      <c r="H1806" s="36">
        <v>0</v>
      </c>
      <c r="I1806" s="36">
        <v>0</v>
      </c>
      <c r="J1806" s="36">
        <v>0</v>
      </c>
      <c r="K1806" s="36">
        <f t="shared" si="350"/>
        <v>0</v>
      </c>
      <c r="L1806" s="36">
        <v>13500</v>
      </c>
      <c r="M1806" s="9" t="e">
        <f t="shared" si="348"/>
        <v>#DIV/0!</v>
      </c>
      <c r="N1806" s="5">
        <v>1</v>
      </c>
      <c r="O1806" s="10" t="e">
        <f t="shared" si="349"/>
        <v>#DIV/0!</v>
      </c>
    </row>
    <row r="1807" spans="2:15" ht="13.5" hidden="1" customHeight="1">
      <c r="B1807" s="33">
        <f t="shared" si="351"/>
        <v>21</v>
      </c>
      <c r="C1807" s="25" t="s">
        <v>78</v>
      </c>
      <c r="D1807" s="25" t="s">
        <v>456</v>
      </c>
      <c r="F1807" s="30" t="s">
        <v>444</v>
      </c>
      <c r="G1807" s="36">
        <v>0</v>
      </c>
      <c r="H1807" s="36">
        <v>0</v>
      </c>
      <c r="I1807" s="36">
        <v>0</v>
      </c>
      <c r="J1807" s="36">
        <v>0</v>
      </c>
      <c r="K1807" s="36">
        <f t="shared" si="350"/>
        <v>0</v>
      </c>
      <c r="L1807" s="36">
        <v>13500</v>
      </c>
      <c r="M1807" s="9" t="e">
        <f t="shared" si="348"/>
        <v>#DIV/0!</v>
      </c>
      <c r="N1807" s="5">
        <v>1</v>
      </c>
      <c r="O1807" s="10" t="e">
        <f t="shared" si="349"/>
        <v>#DIV/0!</v>
      </c>
    </row>
    <row r="1808" spans="2:15" ht="13.5" hidden="1" customHeight="1">
      <c r="B1808" s="33">
        <f t="shared" si="351"/>
        <v>22</v>
      </c>
      <c r="C1808" s="25" t="s">
        <v>490</v>
      </c>
      <c r="D1808" s="25" t="s">
        <v>465</v>
      </c>
      <c r="F1808" s="30" t="s">
        <v>444</v>
      </c>
      <c r="G1808" s="36">
        <v>0</v>
      </c>
      <c r="H1808" s="36">
        <v>0</v>
      </c>
      <c r="I1808" s="36">
        <v>0</v>
      </c>
      <c r="J1808" s="36">
        <v>0</v>
      </c>
      <c r="K1808" s="36">
        <f t="shared" si="350"/>
        <v>0</v>
      </c>
      <c r="L1808" s="36">
        <v>13500</v>
      </c>
      <c r="M1808" s="9" t="e">
        <f t="shared" si="348"/>
        <v>#DIV/0!</v>
      </c>
      <c r="N1808" s="5">
        <v>1</v>
      </c>
      <c r="O1808" s="10" t="e">
        <f t="shared" si="349"/>
        <v>#DIV/0!</v>
      </c>
    </row>
    <row r="1809" spans="1:15" ht="13.5" hidden="1" customHeight="1">
      <c r="B1809" s="33">
        <f t="shared" si="351"/>
        <v>23</v>
      </c>
      <c r="C1809" s="25" t="s">
        <v>491</v>
      </c>
      <c r="D1809" s="25" t="s">
        <v>466</v>
      </c>
      <c r="F1809" s="30" t="s">
        <v>444</v>
      </c>
      <c r="G1809" s="36">
        <v>0</v>
      </c>
      <c r="H1809" s="36">
        <v>0</v>
      </c>
      <c r="I1809" s="36">
        <v>0</v>
      </c>
      <c r="J1809" s="36">
        <v>0</v>
      </c>
      <c r="K1809" s="36">
        <f t="shared" si="350"/>
        <v>0</v>
      </c>
      <c r="L1809" s="36">
        <v>13500</v>
      </c>
      <c r="M1809" s="9" t="e">
        <f t="shared" si="348"/>
        <v>#DIV/0!</v>
      </c>
      <c r="N1809" s="5">
        <v>1</v>
      </c>
      <c r="O1809" s="10" t="e">
        <f t="shared" si="349"/>
        <v>#DIV/0!</v>
      </c>
    </row>
    <row r="1810" spans="1:15" ht="13.5" hidden="1" customHeight="1">
      <c r="B1810" s="33">
        <f t="shared" si="351"/>
        <v>24</v>
      </c>
      <c r="C1810" s="25" t="s">
        <v>338</v>
      </c>
      <c r="D1810" s="25" t="s">
        <v>446</v>
      </c>
      <c r="F1810" s="30" t="s">
        <v>32</v>
      </c>
      <c r="G1810" s="36">
        <f>300*17</f>
        <v>5100</v>
      </c>
      <c r="H1810" s="36">
        <v>1861</v>
      </c>
      <c r="I1810" s="36">
        <v>3240</v>
      </c>
      <c r="J1810" s="36">
        <v>900</v>
      </c>
      <c r="K1810" s="36">
        <f t="shared" si="350"/>
        <v>11101</v>
      </c>
      <c r="L1810" s="36">
        <v>13500</v>
      </c>
      <c r="M1810" s="9">
        <f t="shared" si="348"/>
        <v>1.2161066570579226</v>
      </c>
      <c r="N1810" s="5">
        <v>1</v>
      </c>
      <c r="O1810" s="10">
        <f t="shared" si="349"/>
        <v>1.2161066570579226</v>
      </c>
    </row>
    <row r="1811" spans="1:15" ht="13.5" hidden="1" customHeight="1">
      <c r="B1811" s="33">
        <f t="shared" si="351"/>
        <v>25</v>
      </c>
      <c r="C1811" s="25" t="s">
        <v>350</v>
      </c>
      <c r="D1811" s="25" t="s">
        <v>460</v>
      </c>
      <c r="F1811" s="30" t="s">
        <v>32</v>
      </c>
      <c r="G1811" s="36">
        <f t="shared" ref="G1811:G1813" si="352">300*17</f>
        <v>5100</v>
      </c>
      <c r="H1811" s="36">
        <v>1861</v>
      </c>
      <c r="I1811" s="36">
        <v>3240</v>
      </c>
      <c r="J1811" s="36">
        <v>900</v>
      </c>
      <c r="K1811" s="36">
        <f t="shared" si="350"/>
        <v>11101</v>
      </c>
      <c r="L1811" s="36">
        <v>13500</v>
      </c>
      <c r="M1811" s="9">
        <f t="shared" si="348"/>
        <v>1.2161066570579226</v>
      </c>
      <c r="N1811" s="5">
        <v>1</v>
      </c>
      <c r="O1811" s="10">
        <f t="shared" si="349"/>
        <v>1.2161066570579226</v>
      </c>
    </row>
    <row r="1812" spans="1:15" ht="13.5" hidden="1" customHeight="1">
      <c r="B1812" s="33">
        <f t="shared" si="351"/>
        <v>26</v>
      </c>
      <c r="C1812" s="25" t="s">
        <v>488</v>
      </c>
      <c r="D1812" s="25" t="s">
        <v>461</v>
      </c>
      <c r="F1812" s="30" t="s">
        <v>32</v>
      </c>
      <c r="G1812" s="36">
        <f t="shared" si="352"/>
        <v>5100</v>
      </c>
      <c r="H1812" s="36">
        <v>1861</v>
      </c>
      <c r="I1812" s="36">
        <v>3240</v>
      </c>
      <c r="J1812" s="36">
        <v>900</v>
      </c>
      <c r="K1812" s="36">
        <f t="shared" si="350"/>
        <v>11101</v>
      </c>
      <c r="L1812" s="36">
        <v>13500</v>
      </c>
      <c r="M1812" s="9">
        <f t="shared" si="348"/>
        <v>1.2161066570579226</v>
      </c>
      <c r="N1812" s="5">
        <v>1</v>
      </c>
      <c r="O1812" s="10">
        <f t="shared" si="349"/>
        <v>1.2161066570579226</v>
      </c>
    </row>
    <row r="1813" spans="1:15" ht="13.5" hidden="1" customHeight="1">
      <c r="B1813" s="33">
        <f t="shared" si="351"/>
        <v>27</v>
      </c>
      <c r="C1813" s="25" t="s">
        <v>359</v>
      </c>
      <c r="D1813" s="25" t="s">
        <v>474</v>
      </c>
      <c r="F1813" s="30" t="s">
        <v>32</v>
      </c>
      <c r="G1813" s="36">
        <f t="shared" si="352"/>
        <v>5100</v>
      </c>
      <c r="H1813" s="36">
        <v>1861</v>
      </c>
      <c r="I1813" s="36">
        <v>3240</v>
      </c>
      <c r="J1813" s="36">
        <v>900</v>
      </c>
      <c r="K1813" s="36">
        <f t="shared" si="350"/>
        <v>11101</v>
      </c>
      <c r="L1813" s="36">
        <v>13500</v>
      </c>
      <c r="M1813" s="9">
        <f t="shared" si="348"/>
        <v>1.2161066570579226</v>
      </c>
      <c r="N1813" s="5">
        <v>1</v>
      </c>
      <c r="O1813" s="10">
        <f t="shared" si="349"/>
        <v>1.2161066570579226</v>
      </c>
    </row>
    <row r="1814" spans="1:15" ht="13.5" hidden="1" customHeight="1">
      <c r="B1814" s="33">
        <f t="shared" si="351"/>
        <v>28</v>
      </c>
      <c r="C1814" s="25" t="s">
        <v>78</v>
      </c>
      <c r="D1814" s="25" t="s">
        <v>455</v>
      </c>
      <c r="F1814" s="30" t="s">
        <v>27</v>
      </c>
      <c r="G1814" s="36">
        <f>333*12</f>
        <v>3996</v>
      </c>
      <c r="H1814" s="36">
        <v>1861</v>
      </c>
      <c r="I1814" s="36">
        <v>3240</v>
      </c>
      <c r="J1814" s="36">
        <v>500</v>
      </c>
      <c r="K1814" s="36">
        <f t="shared" si="350"/>
        <v>9597</v>
      </c>
      <c r="L1814" s="36">
        <v>13500</v>
      </c>
      <c r="M1814" s="9">
        <f t="shared" si="348"/>
        <v>1.4066895904970302</v>
      </c>
      <c r="N1814" s="5">
        <v>1</v>
      </c>
      <c r="O1814" s="10">
        <f t="shared" si="349"/>
        <v>1.4066895904970302</v>
      </c>
    </row>
    <row r="1815" spans="1:15" ht="13.5" hidden="1" customHeight="1">
      <c r="B1815" s="33">
        <f t="shared" si="351"/>
        <v>29</v>
      </c>
      <c r="C1815" s="25" t="s">
        <v>220</v>
      </c>
      <c r="D1815" s="25" t="s">
        <v>447</v>
      </c>
      <c r="F1815" s="30" t="s">
        <v>30</v>
      </c>
      <c r="G1815" s="36">
        <f>333*21</f>
        <v>6993</v>
      </c>
      <c r="H1815" s="36">
        <v>1861</v>
      </c>
      <c r="I1815" s="36">
        <v>3240</v>
      </c>
      <c r="J1815" s="36">
        <v>500</v>
      </c>
      <c r="K1815" s="36">
        <f t="shared" si="350"/>
        <v>12594</v>
      </c>
      <c r="L1815" s="36">
        <v>13500</v>
      </c>
      <c r="M1815" s="9">
        <f t="shared" si="348"/>
        <v>1.0719390185802764</v>
      </c>
      <c r="N1815" s="5">
        <v>1</v>
      </c>
      <c r="O1815" s="10">
        <f t="shared" si="349"/>
        <v>1.0719390185802764</v>
      </c>
    </row>
    <row r="1816" spans="1:15" ht="13.5" hidden="1" customHeight="1">
      <c r="B1816" s="33">
        <f t="shared" si="351"/>
        <v>30</v>
      </c>
      <c r="C1816" s="25" t="s">
        <v>480</v>
      </c>
      <c r="D1816" s="25" t="s">
        <v>449</v>
      </c>
      <c r="F1816" s="30" t="s">
        <v>30</v>
      </c>
      <c r="G1816" s="36">
        <f t="shared" ref="G1816:G1817" si="353">333*21</f>
        <v>6993</v>
      </c>
      <c r="H1816" s="36">
        <v>1861</v>
      </c>
      <c r="I1816" s="36">
        <v>3240</v>
      </c>
      <c r="J1816" s="36">
        <v>500</v>
      </c>
      <c r="K1816" s="36">
        <f t="shared" si="350"/>
        <v>12594</v>
      </c>
      <c r="L1816" s="36">
        <v>13500</v>
      </c>
      <c r="M1816" s="9">
        <f t="shared" si="348"/>
        <v>1.0719390185802764</v>
      </c>
      <c r="N1816" s="5">
        <v>1</v>
      </c>
      <c r="O1816" s="10">
        <f t="shared" si="349"/>
        <v>1.0719390185802764</v>
      </c>
    </row>
    <row r="1817" spans="1:15" ht="13.5" hidden="1" customHeight="1">
      <c r="B1817" s="33">
        <f t="shared" si="351"/>
        <v>31</v>
      </c>
      <c r="C1817" s="25" t="s">
        <v>481</v>
      </c>
      <c r="D1817" s="25" t="s">
        <v>450</v>
      </c>
      <c r="F1817" s="30" t="s">
        <v>30</v>
      </c>
      <c r="G1817" s="36">
        <f t="shared" si="353"/>
        <v>6993</v>
      </c>
      <c r="H1817" s="36">
        <v>1861</v>
      </c>
      <c r="I1817" s="36">
        <v>3240</v>
      </c>
      <c r="J1817" s="36">
        <v>500</v>
      </c>
      <c r="K1817" s="36">
        <f t="shared" si="350"/>
        <v>12594</v>
      </c>
      <c r="L1817" s="36">
        <v>13500</v>
      </c>
      <c r="M1817" s="9">
        <f t="shared" si="348"/>
        <v>1.0719390185802764</v>
      </c>
      <c r="N1817" s="5">
        <v>1</v>
      </c>
      <c r="O1817" s="10">
        <f t="shared" si="349"/>
        <v>1.0719390185802764</v>
      </c>
    </row>
    <row r="1818" spans="1:15" ht="13.5" hidden="1" customHeight="1">
      <c r="B1818" s="33">
        <f t="shared" si="351"/>
        <v>32</v>
      </c>
      <c r="C1818" s="25" t="s">
        <v>244</v>
      </c>
      <c r="D1818" s="25" t="s">
        <v>464</v>
      </c>
      <c r="F1818" s="30" t="s">
        <v>30</v>
      </c>
      <c r="G1818" s="36">
        <f>333*15</f>
        <v>4995</v>
      </c>
      <c r="H1818" s="36">
        <v>1861</v>
      </c>
      <c r="I1818" s="36">
        <v>3240</v>
      </c>
      <c r="J1818" s="36">
        <v>500</v>
      </c>
      <c r="K1818" s="36">
        <f t="shared" si="350"/>
        <v>10596</v>
      </c>
      <c r="L1818" s="36">
        <v>13500</v>
      </c>
      <c r="M1818" s="9">
        <f t="shared" si="348"/>
        <v>1.2740656851642129</v>
      </c>
      <c r="N1818" s="5">
        <v>1</v>
      </c>
      <c r="O1818" s="10">
        <f t="shared" si="349"/>
        <v>1.2740656851642129</v>
      </c>
    </row>
    <row r="1819" spans="1:15" ht="13.5" hidden="1" customHeight="1">
      <c r="B1819" s="33">
        <f t="shared" si="351"/>
        <v>33</v>
      </c>
      <c r="C1819" s="25" t="s">
        <v>479</v>
      </c>
      <c r="D1819" s="25" t="s">
        <v>448</v>
      </c>
      <c r="F1819" s="30" t="s">
        <v>429</v>
      </c>
      <c r="G1819" s="36">
        <f>277*3</f>
        <v>831</v>
      </c>
      <c r="H1819" s="36">
        <v>1861</v>
      </c>
      <c r="I1819" s="36">
        <v>7890</v>
      </c>
      <c r="J1819" s="36">
        <v>500</v>
      </c>
      <c r="K1819" s="36">
        <f t="shared" si="350"/>
        <v>11082</v>
      </c>
      <c r="L1819" s="36">
        <v>13500</v>
      </c>
      <c r="M1819" s="9">
        <f t="shared" si="348"/>
        <v>1.2181916621548456</v>
      </c>
      <c r="N1819" s="5">
        <v>1</v>
      </c>
      <c r="O1819" s="10">
        <f t="shared" si="349"/>
        <v>1.2181916621548456</v>
      </c>
    </row>
    <row r="1820" spans="1:15" ht="13.5" hidden="1" customHeight="1">
      <c r="B1820" s="33">
        <f t="shared" si="351"/>
        <v>34</v>
      </c>
      <c r="C1820" s="25" t="s">
        <v>104</v>
      </c>
      <c r="D1820" s="25" t="s">
        <v>463</v>
      </c>
      <c r="F1820" s="30" t="s">
        <v>429</v>
      </c>
      <c r="G1820" s="36">
        <v>0</v>
      </c>
      <c r="H1820" s="36">
        <v>0</v>
      </c>
      <c r="I1820" s="36">
        <v>0</v>
      </c>
      <c r="J1820" s="36"/>
      <c r="K1820" s="36">
        <f t="shared" si="350"/>
        <v>0</v>
      </c>
      <c r="L1820" s="36">
        <v>13500</v>
      </c>
      <c r="M1820" s="9" t="e">
        <f t="shared" si="348"/>
        <v>#DIV/0!</v>
      </c>
      <c r="N1820" s="5">
        <v>1</v>
      </c>
      <c r="O1820" s="10" t="e">
        <f t="shared" si="349"/>
        <v>#DIV/0!</v>
      </c>
    </row>
    <row r="1821" spans="1:15" ht="17.25" hidden="1" customHeight="1">
      <c r="A1821" s="66" t="s">
        <v>45</v>
      </c>
      <c r="B1821" s="66"/>
      <c r="C1821" s="66"/>
      <c r="D1821" s="66"/>
      <c r="E1821" s="66"/>
      <c r="F1821" s="66"/>
      <c r="G1821" s="66"/>
      <c r="H1821" s="66"/>
      <c r="I1821" s="66"/>
      <c r="J1821" s="66"/>
      <c r="K1821" s="66"/>
      <c r="L1821" s="66"/>
      <c r="M1821" s="66"/>
      <c r="N1821" s="22">
        <f>SUM(N1787:N1820)</f>
        <v>34</v>
      </c>
      <c r="O1821" s="23" t="e">
        <f>SUM(O1787:O1820)</f>
        <v>#DIV/0!</v>
      </c>
    </row>
    <row r="1822" spans="1:15" ht="13.5" hidden="1" customHeight="1">
      <c r="A1822" s="44" t="s">
        <v>508</v>
      </c>
      <c r="B1822" s="44"/>
      <c r="C1822" s="44"/>
      <c r="D1822" s="44"/>
      <c r="E1822" s="44"/>
      <c r="F1822" s="44"/>
      <c r="G1822" s="44"/>
      <c r="H1822" s="44"/>
      <c r="I1822" s="44"/>
      <c r="J1822" s="44"/>
      <c r="K1822" s="44"/>
      <c r="L1822" s="44"/>
      <c r="M1822" s="44"/>
      <c r="N1822" s="44"/>
      <c r="O1822" s="44"/>
    </row>
    <row r="1823" spans="1:15" ht="13.5" hidden="1" customHeight="1">
      <c r="B1823" s="33">
        <v>1</v>
      </c>
      <c r="C1823" s="25" t="s">
        <v>486</v>
      </c>
      <c r="D1823" s="25" t="s">
        <v>457</v>
      </c>
      <c r="F1823" s="30" t="s">
        <v>38</v>
      </c>
      <c r="G1823" s="36">
        <f>333*15</f>
        <v>4995</v>
      </c>
      <c r="H1823" s="36">
        <v>1861</v>
      </c>
      <c r="I1823" s="36">
        <v>3240</v>
      </c>
      <c r="J1823" s="36">
        <v>0</v>
      </c>
      <c r="K1823" s="36">
        <f>SUM(G1823:J1823)</f>
        <v>10096</v>
      </c>
      <c r="L1823" s="36">
        <v>13500</v>
      </c>
      <c r="M1823" s="9">
        <f t="shared" ref="M1823:M1856" si="354">L1823/K1823</f>
        <v>1.3371632329635499</v>
      </c>
      <c r="N1823" s="5">
        <v>1</v>
      </c>
      <c r="O1823" s="10">
        <f t="shared" ref="O1823:O1856" si="355">N1823*M1823</f>
        <v>1.3371632329635499</v>
      </c>
    </row>
    <row r="1824" spans="1:15" ht="13.5" hidden="1" customHeight="1">
      <c r="B1824" s="33">
        <f>+B1823+1</f>
        <v>2</v>
      </c>
      <c r="C1824" s="25" t="s">
        <v>146</v>
      </c>
      <c r="D1824" s="25" t="s">
        <v>156</v>
      </c>
      <c r="F1824" s="30" t="s">
        <v>140</v>
      </c>
      <c r="G1824" s="36">
        <f>300*9</f>
        <v>2700</v>
      </c>
      <c r="H1824" s="36">
        <v>1861</v>
      </c>
      <c r="I1824" s="36">
        <v>3240</v>
      </c>
      <c r="J1824" s="36">
        <v>0</v>
      </c>
      <c r="K1824" s="36">
        <f t="shared" ref="K1824:K1856" si="356">SUM(G1824:J1824)</f>
        <v>7801</v>
      </c>
      <c r="L1824" s="36">
        <v>13500</v>
      </c>
      <c r="M1824" s="9">
        <f t="shared" si="354"/>
        <v>1.7305473657223434</v>
      </c>
      <c r="N1824" s="5">
        <v>1</v>
      </c>
      <c r="O1824" s="10">
        <f t="shared" si="355"/>
        <v>1.7305473657223434</v>
      </c>
    </row>
    <row r="1825" spans="2:15" ht="13.5" hidden="1" customHeight="1">
      <c r="B1825" s="33">
        <f t="shared" ref="B1825:B1856" si="357">+B1824+1</f>
        <v>3</v>
      </c>
      <c r="C1825" s="25" t="s">
        <v>482</v>
      </c>
      <c r="D1825" s="25" t="s">
        <v>451</v>
      </c>
      <c r="F1825" s="30" t="s">
        <v>428</v>
      </c>
      <c r="G1825" s="36">
        <v>0</v>
      </c>
      <c r="H1825" s="36">
        <v>0</v>
      </c>
      <c r="I1825" s="36">
        <v>0</v>
      </c>
      <c r="J1825" s="36">
        <v>0</v>
      </c>
      <c r="K1825" s="36">
        <f t="shared" si="356"/>
        <v>0</v>
      </c>
      <c r="L1825" s="36">
        <v>13500</v>
      </c>
      <c r="M1825" s="9" t="e">
        <f t="shared" si="354"/>
        <v>#DIV/0!</v>
      </c>
      <c r="N1825" s="5">
        <v>1</v>
      </c>
      <c r="O1825" s="10" t="e">
        <f t="shared" si="355"/>
        <v>#DIV/0!</v>
      </c>
    </row>
    <row r="1826" spans="2:15" ht="13.5" hidden="1" customHeight="1">
      <c r="B1826" s="33">
        <f t="shared" si="357"/>
        <v>4</v>
      </c>
      <c r="C1826" s="25" t="s">
        <v>489</v>
      </c>
      <c r="D1826" s="25" t="s">
        <v>462</v>
      </c>
      <c r="F1826" s="30" t="s">
        <v>428</v>
      </c>
      <c r="G1826" s="36">
        <v>0</v>
      </c>
      <c r="H1826" s="36">
        <v>0</v>
      </c>
      <c r="I1826" s="36">
        <v>0</v>
      </c>
      <c r="J1826" s="36">
        <v>0</v>
      </c>
      <c r="K1826" s="36">
        <f t="shared" si="356"/>
        <v>0</v>
      </c>
      <c r="L1826" s="36">
        <v>13500</v>
      </c>
      <c r="M1826" s="9" t="e">
        <f t="shared" si="354"/>
        <v>#DIV/0!</v>
      </c>
      <c r="N1826" s="5">
        <v>1</v>
      </c>
      <c r="O1826" s="10" t="e">
        <f t="shared" si="355"/>
        <v>#DIV/0!</v>
      </c>
    </row>
    <row r="1827" spans="2:15" ht="13.5" hidden="1" customHeight="1">
      <c r="B1827" s="33">
        <f t="shared" si="357"/>
        <v>5</v>
      </c>
      <c r="C1827" s="25" t="s">
        <v>91</v>
      </c>
      <c r="D1827" s="25" t="s">
        <v>478</v>
      </c>
      <c r="F1827" s="30" t="s">
        <v>428</v>
      </c>
      <c r="G1827" s="36">
        <v>0</v>
      </c>
      <c r="H1827" s="36">
        <v>0</v>
      </c>
      <c r="I1827" s="36">
        <v>0</v>
      </c>
      <c r="J1827" s="36">
        <v>0</v>
      </c>
      <c r="K1827" s="36">
        <f t="shared" si="356"/>
        <v>0</v>
      </c>
      <c r="L1827" s="36">
        <v>13500</v>
      </c>
      <c r="M1827" s="9" t="e">
        <f t="shared" si="354"/>
        <v>#DIV/0!</v>
      </c>
      <c r="N1827" s="5">
        <v>1</v>
      </c>
      <c r="O1827" s="10" t="e">
        <f t="shared" si="355"/>
        <v>#DIV/0!</v>
      </c>
    </row>
    <row r="1828" spans="2:15" ht="13.5" hidden="1" customHeight="1">
      <c r="B1828" s="33">
        <f t="shared" si="357"/>
        <v>6</v>
      </c>
      <c r="C1828" s="25" t="s">
        <v>485</v>
      </c>
      <c r="D1828" s="25" t="s">
        <v>454</v>
      </c>
      <c r="F1828" s="30" t="s">
        <v>25</v>
      </c>
      <c r="G1828" s="36">
        <f>300*6</f>
        <v>1800</v>
      </c>
      <c r="H1828" s="36">
        <v>1861</v>
      </c>
      <c r="I1828" s="36">
        <v>3240</v>
      </c>
      <c r="J1828" s="36">
        <v>500</v>
      </c>
      <c r="K1828" s="36">
        <f t="shared" si="356"/>
        <v>7401</v>
      </c>
      <c r="L1828" s="36">
        <v>13500</v>
      </c>
      <c r="M1828" s="9">
        <f t="shared" si="354"/>
        <v>1.8240778273206324</v>
      </c>
      <c r="N1828" s="5">
        <v>1</v>
      </c>
      <c r="O1828" s="10">
        <f t="shared" si="355"/>
        <v>1.8240778273206324</v>
      </c>
    </row>
    <row r="1829" spans="2:15" ht="13.5" hidden="1" customHeight="1">
      <c r="B1829" s="33">
        <f t="shared" si="357"/>
        <v>7</v>
      </c>
      <c r="C1829" s="25" t="s">
        <v>487</v>
      </c>
      <c r="D1829" s="25" t="s">
        <v>458</v>
      </c>
      <c r="F1829" s="30" t="s">
        <v>25</v>
      </c>
      <c r="G1829" s="36">
        <f>300*4</f>
        <v>1200</v>
      </c>
      <c r="H1829" s="36">
        <v>1861</v>
      </c>
      <c r="I1829" s="36">
        <v>3240</v>
      </c>
      <c r="J1829" s="36">
        <v>500</v>
      </c>
      <c r="K1829" s="36">
        <f t="shared" si="356"/>
        <v>6801</v>
      </c>
      <c r="L1829" s="36">
        <v>13500</v>
      </c>
      <c r="M1829" s="9">
        <f t="shared" si="354"/>
        <v>1.9850022055580061</v>
      </c>
      <c r="N1829" s="5">
        <v>1</v>
      </c>
      <c r="O1829" s="10">
        <f t="shared" si="355"/>
        <v>1.9850022055580061</v>
      </c>
    </row>
    <row r="1830" spans="2:15" ht="13.5" hidden="1" customHeight="1">
      <c r="B1830" s="33">
        <f t="shared" si="357"/>
        <v>8</v>
      </c>
      <c r="C1830" s="25" t="s">
        <v>494</v>
      </c>
      <c r="D1830" s="25" t="s">
        <v>471</v>
      </c>
      <c r="F1830" s="30" t="s">
        <v>25</v>
      </c>
      <c r="G1830" s="36">
        <f>300*6</f>
        <v>1800</v>
      </c>
      <c r="H1830" s="36">
        <v>1861</v>
      </c>
      <c r="I1830" s="36">
        <v>3240</v>
      </c>
      <c r="J1830" s="36">
        <v>500</v>
      </c>
      <c r="K1830" s="36">
        <f t="shared" si="356"/>
        <v>7401</v>
      </c>
      <c r="L1830" s="36">
        <v>13500</v>
      </c>
      <c r="M1830" s="9">
        <f t="shared" si="354"/>
        <v>1.8240778273206324</v>
      </c>
      <c r="N1830" s="5">
        <v>1</v>
      </c>
      <c r="O1830" s="10">
        <f t="shared" si="355"/>
        <v>1.8240778273206324</v>
      </c>
    </row>
    <row r="1831" spans="2:15" ht="13.5" hidden="1" customHeight="1">
      <c r="B1831" s="33">
        <f t="shared" si="357"/>
        <v>9</v>
      </c>
      <c r="C1831" s="25" t="s">
        <v>494</v>
      </c>
      <c r="D1831" s="25" t="s">
        <v>472</v>
      </c>
      <c r="F1831" s="30" t="s">
        <v>25</v>
      </c>
      <c r="G1831" s="36">
        <f>300*6</f>
        <v>1800</v>
      </c>
      <c r="H1831" s="36">
        <v>1861</v>
      </c>
      <c r="I1831" s="36">
        <v>3240</v>
      </c>
      <c r="J1831" s="36">
        <v>500</v>
      </c>
      <c r="K1831" s="36">
        <f t="shared" si="356"/>
        <v>7401</v>
      </c>
      <c r="L1831" s="36">
        <v>13500</v>
      </c>
      <c r="M1831" s="9">
        <f t="shared" si="354"/>
        <v>1.8240778273206324</v>
      </c>
      <c r="N1831" s="5">
        <v>1</v>
      </c>
      <c r="O1831" s="10">
        <f t="shared" si="355"/>
        <v>1.8240778273206324</v>
      </c>
    </row>
    <row r="1832" spans="2:15" ht="13.5" hidden="1" customHeight="1">
      <c r="B1832" s="33">
        <f t="shared" si="357"/>
        <v>10</v>
      </c>
      <c r="C1832" s="25" t="s">
        <v>496</v>
      </c>
      <c r="D1832" s="25" t="s">
        <v>475</v>
      </c>
      <c r="F1832" s="30" t="s">
        <v>25</v>
      </c>
      <c r="G1832" s="36">
        <f>300*4</f>
        <v>1200</v>
      </c>
      <c r="H1832" s="36">
        <v>1861</v>
      </c>
      <c r="I1832" s="36">
        <v>3240</v>
      </c>
      <c r="J1832" s="36">
        <v>500</v>
      </c>
      <c r="K1832" s="36">
        <f t="shared" si="356"/>
        <v>6801</v>
      </c>
      <c r="L1832" s="36">
        <v>13500</v>
      </c>
      <c r="M1832" s="9">
        <f t="shared" si="354"/>
        <v>1.9850022055580061</v>
      </c>
      <c r="N1832" s="5">
        <v>1</v>
      </c>
      <c r="O1832" s="10">
        <f t="shared" si="355"/>
        <v>1.9850022055580061</v>
      </c>
    </row>
    <row r="1833" spans="2:15" ht="13.5" hidden="1" customHeight="1">
      <c r="B1833" s="33">
        <f t="shared" si="357"/>
        <v>11</v>
      </c>
      <c r="C1833" s="25" t="s">
        <v>498</v>
      </c>
      <c r="D1833" s="25" t="s">
        <v>477</v>
      </c>
      <c r="F1833" s="30" t="s">
        <v>25</v>
      </c>
      <c r="G1833" s="36">
        <f>300*6</f>
        <v>1800</v>
      </c>
      <c r="H1833" s="36">
        <v>1861</v>
      </c>
      <c r="I1833" s="36">
        <v>3240</v>
      </c>
      <c r="J1833" s="36">
        <v>500</v>
      </c>
      <c r="K1833" s="36">
        <f t="shared" si="356"/>
        <v>7401</v>
      </c>
      <c r="L1833" s="36">
        <v>13500</v>
      </c>
      <c r="M1833" s="9">
        <f t="shared" si="354"/>
        <v>1.8240778273206324</v>
      </c>
      <c r="N1833" s="5">
        <v>1</v>
      </c>
      <c r="O1833" s="10">
        <f t="shared" si="355"/>
        <v>1.8240778273206324</v>
      </c>
    </row>
    <row r="1834" spans="2:15" ht="13.5" hidden="1" customHeight="1">
      <c r="B1834" s="33">
        <f t="shared" si="357"/>
        <v>12</v>
      </c>
      <c r="C1834" s="25" t="s">
        <v>484</v>
      </c>
      <c r="D1834" s="25" t="s">
        <v>453</v>
      </c>
      <c r="F1834" s="30" t="s">
        <v>217</v>
      </c>
      <c r="G1834" s="36">
        <f>400*3</f>
        <v>1200</v>
      </c>
      <c r="H1834" s="36">
        <v>1861</v>
      </c>
      <c r="I1834" s="36">
        <v>3240</v>
      </c>
      <c r="J1834" s="36">
        <v>500</v>
      </c>
      <c r="K1834" s="36">
        <f t="shared" si="356"/>
        <v>6801</v>
      </c>
      <c r="L1834" s="36">
        <v>13500</v>
      </c>
      <c r="M1834" s="9">
        <f t="shared" si="354"/>
        <v>1.9850022055580061</v>
      </c>
      <c r="N1834" s="5">
        <v>1</v>
      </c>
      <c r="O1834" s="10">
        <f t="shared" si="355"/>
        <v>1.9850022055580061</v>
      </c>
    </row>
    <row r="1835" spans="2:15" ht="13.5" hidden="1" customHeight="1">
      <c r="B1835" s="33">
        <f t="shared" si="357"/>
        <v>13</v>
      </c>
      <c r="C1835" s="25" t="s">
        <v>236</v>
      </c>
      <c r="D1835" s="25" t="s">
        <v>459</v>
      </c>
      <c r="F1835" s="30" t="s">
        <v>217</v>
      </c>
      <c r="G1835" s="36">
        <f>400*5</f>
        <v>2000</v>
      </c>
      <c r="H1835" s="36">
        <v>1861</v>
      </c>
      <c r="I1835" s="36">
        <v>3240</v>
      </c>
      <c r="J1835" s="36">
        <v>500</v>
      </c>
      <c r="K1835" s="36">
        <f t="shared" si="356"/>
        <v>7601</v>
      </c>
      <c r="L1835" s="36">
        <v>13500</v>
      </c>
      <c r="M1835" s="9">
        <f t="shared" si="354"/>
        <v>1.7760820944612552</v>
      </c>
      <c r="N1835" s="5">
        <v>1</v>
      </c>
      <c r="O1835" s="10">
        <f t="shared" si="355"/>
        <v>1.7760820944612552</v>
      </c>
    </row>
    <row r="1836" spans="2:15" ht="13.5" hidden="1" customHeight="1">
      <c r="B1836" s="33">
        <f t="shared" si="357"/>
        <v>14</v>
      </c>
      <c r="C1836" s="25" t="s">
        <v>493</v>
      </c>
      <c r="D1836" s="25" t="s">
        <v>468</v>
      </c>
      <c r="F1836" s="30" t="s">
        <v>417</v>
      </c>
      <c r="G1836" s="36">
        <v>0</v>
      </c>
      <c r="H1836" s="36">
        <v>0</v>
      </c>
      <c r="I1836" s="36">
        <v>0</v>
      </c>
      <c r="J1836" s="36">
        <v>0</v>
      </c>
      <c r="K1836" s="36">
        <f t="shared" si="356"/>
        <v>0</v>
      </c>
      <c r="L1836" s="36">
        <v>13500</v>
      </c>
      <c r="M1836" s="9" t="e">
        <f t="shared" si="354"/>
        <v>#DIV/0!</v>
      </c>
      <c r="N1836" s="5">
        <v>1</v>
      </c>
      <c r="O1836" s="10" t="e">
        <f t="shared" si="355"/>
        <v>#DIV/0!</v>
      </c>
    </row>
    <row r="1837" spans="2:15" ht="13.5" hidden="1" customHeight="1">
      <c r="B1837" s="33">
        <f t="shared" si="357"/>
        <v>15</v>
      </c>
      <c r="C1837" s="25" t="s">
        <v>495</v>
      </c>
      <c r="D1837" s="25" t="s">
        <v>473</v>
      </c>
      <c r="F1837" s="30" t="s">
        <v>417</v>
      </c>
      <c r="G1837" s="36">
        <v>0</v>
      </c>
      <c r="H1837" s="36">
        <v>0</v>
      </c>
      <c r="I1837" s="36">
        <v>0</v>
      </c>
      <c r="J1837" s="36">
        <v>0</v>
      </c>
      <c r="K1837" s="36">
        <f t="shared" si="356"/>
        <v>0</v>
      </c>
      <c r="L1837" s="36">
        <v>13500</v>
      </c>
      <c r="M1837" s="9" t="e">
        <f t="shared" si="354"/>
        <v>#DIV/0!</v>
      </c>
      <c r="N1837" s="5">
        <v>1</v>
      </c>
      <c r="O1837" s="10" t="e">
        <f t="shared" si="355"/>
        <v>#DIV/0!</v>
      </c>
    </row>
    <row r="1838" spans="2:15" ht="13.5" hidden="1" customHeight="1">
      <c r="B1838" s="33">
        <f t="shared" si="357"/>
        <v>16</v>
      </c>
      <c r="C1838" s="25" t="s">
        <v>497</v>
      </c>
      <c r="D1838" s="25" t="s">
        <v>476</v>
      </c>
      <c r="F1838" s="30" t="s">
        <v>417</v>
      </c>
      <c r="G1838" s="36">
        <v>0</v>
      </c>
      <c r="H1838" s="36">
        <v>0</v>
      </c>
      <c r="I1838" s="36">
        <v>0</v>
      </c>
      <c r="J1838" s="36">
        <v>0</v>
      </c>
      <c r="K1838" s="36">
        <f t="shared" si="356"/>
        <v>0</v>
      </c>
      <c r="L1838" s="36">
        <v>13500</v>
      </c>
      <c r="M1838" s="9" t="e">
        <f t="shared" si="354"/>
        <v>#DIV/0!</v>
      </c>
      <c r="N1838" s="5">
        <v>1</v>
      </c>
      <c r="O1838" s="10" t="e">
        <f t="shared" si="355"/>
        <v>#DIV/0!</v>
      </c>
    </row>
    <row r="1839" spans="2:15" ht="13.5" hidden="1" customHeight="1">
      <c r="B1839" s="33">
        <f t="shared" si="357"/>
        <v>17</v>
      </c>
      <c r="C1839" s="25" t="s">
        <v>253</v>
      </c>
      <c r="D1839" s="25" t="s">
        <v>469</v>
      </c>
      <c r="F1839" s="30" t="s">
        <v>216</v>
      </c>
      <c r="G1839" s="36">
        <f>300*9</f>
        <v>2700</v>
      </c>
      <c r="H1839" s="36">
        <v>1861</v>
      </c>
      <c r="I1839" s="36">
        <v>3240</v>
      </c>
      <c r="J1839" s="36">
        <v>0</v>
      </c>
      <c r="K1839" s="36">
        <f t="shared" si="356"/>
        <v>7801</v>
      </c>
      <c r="L1839" s="36">
        <v>13500</v>
      </c>
      <c r="M1839" s="9">
        <f t="shared" si="354"/>
        <v>1.7305473657223434</v>
      </c>
      <c r="N1839" s="5">
        <v>1</v>
      </c>
      <c r="O1839" s="10">
        <f t="shared" si="355"/>
        <v>1.7305473657223434</v>
      </c>
    </row>
    <row r="1840" spans="2:15" ht="13.5" hidden="1" customHeight="1">
      <c r="B1840" s="33">
        <f t="shared" si="357"/>
        <v>18</v>
      </c>
      <c r="C1840" s="25" t="s">
        <v>99</v>
      </c>
      <c r="D1840" s="25" t="s">
        <v>470</v>
      </c>
      <c r="F1840" s="30" t="s">
        <v>216</v>
      </c>
      <c r="G1840" s="36">
        <f>300*9</f>
        <v>2700</v>
      </c>
      <c r="H1840" s="36">
        <v>1861</v>
      </c>
      <c r="I1840" s="36">
        <v>3240</v>
      </c>
      <c r="J1840" s="36">
        <v>0</v>
      </c>
      <c r="K1840" s="36">
        <f t="shared" si="356"/>
        <v>7801</v>
      </c>
      <c r="L1840" s="36">
        <v>13500</v>
      </c>
      <c r="M1840" s="9">
        <f t="shared" si="354"/>
        <v>1.7305473657223434</v>
      </c>
      <c r="N1840" s="5">
        <v>1</v>
      </c>
      <c r="O1840" s="10">
        <f t="shared" si="355"/>
        <v>1.7305473657223434</v>
      </c>
    </row>
    <row r="1841" spans="2:15" ht="13.5" hidden="1" customHeight="1">
      <c r="B1841" s="33">
        <f t="shared" si="357"/>
        <v>19</v>
      </c>
      <c r="C1841" s="25" t="s">
        <v>492</v>
      </c>
      <c r="D1841" s="25" t="s">
        <v>467</v>
      </c>
      <c r="F1841" s="30" t="s">
        <v>445</v>
      </c>
      <c r="G1841" s="36">
        <f>333*5</f>
        <v>1665</v>
      </c>
      <c r="H1841" s="36">
        <v>1861</v>
      </c>
      <c r="I1841" s="36">
        <v>3240</v>
      </c>
      <c r="J1841" s="36">
        <v>750</v>
      </c>
      <c r="K1841" s="36">
        <f t="shared" si="356"/>
        <v>7516</v>
      </c>
      <c r="L1841" s="36">
        <v>13500</v>
      </c>
      <c r="M1841" s="9">
        <f t="shared" si="354"/>
        <v>1.7961681745609366</v>
      </c>
      <c r="N1841" s="5">
        <v>1</v>
      </c>
      <c r="O1841" s="10">
        <f t="shared" si="355"/>
        <v>1.7961681745609366</v>
      </c>
    </row>
    <row r="1842" spans="2:15" ht="13.5" hidden="1" customHeight="1">
      <c r="B1842" s="33">
        <f t="shared" si="357"/>
        <v>20</v>
      </c>
      <c r="C1842" s="25" t="s">
        <v>483</v>
      </c>
      <c r="D1842" s="25" t="s">
        <v>452</v>
      </c>
      <c r="F1842" s="30" t="s">
        <v>444</v>
      </c>
      <c r="G1842" s="36">
        <v>0</v>
      </c>
      <c r="H1842" s="36">
        <v>0</v>
      </c>
      <c r="I1842" s="36">
        <v>0</v>
      </c>
      <c r="J1842" s="36">
        <v>0</v>
      </c>
      <c r="K1842" s="36">
        <f t="shared" si="356"/>
        <v>0</v>
      </c>
      <c r="L1842" s="36">
        <v>13500</v>
      </c>
      <c r="M1842" s="9" t="e">
        <f t="shared" si="354"/>
        <v>#DIV/0!</v>
      </c>
      <c r="N1842" s="5">
        <v>1</v>
      </c>
      <c r="O1842" s="10" t="e">
        <f t="shared" si="355"/>
        <v>#DIV/0!</v>
      </c>
    </row>
    <row r="1843" spans="2:15" ht="13.5" hidden="1" customHeight="1">
      <c r="B1843" s="33">
        <f t="shared" si="357"/>
        <v>21</v>
      </c>
      <c r="C1843" s="25" t="s">
        <v>78</v>
      </c>
      <c r="D1843" s="25" t="s">
        <v>456</v>
      </c>
      <c r="F1843" s="30" t="s">
        <v>444</v>
      </c>
      <c r="G1843" s="36">
        <v>0</v>
      </c>
      <c r="H1843" s="36">
        <v>0</v>
      </c>
      <c r="I1843" s="36">
        <v>0</v>
      </c>
      <c r="J1843" s="36">
        <v>0</v>
      </c>
      <c r="K1843" s="36">
        <f t="shared" si="356"/>
        <v>0</v>
      </c>
      <c r="L1843" s="36">
        <v>13500</v>
      </c>
      <c r="M1843" s="9" t="e">
        <f t="shared" si="354"/>
        <v>#DIV/0!</v>
      </c>
      <c r="N1843" s="5">
        <v>1</v>
      </c>
      <c r="O1843" s="10" t="e">
        <f t="shared" si="355"/>
        <v>#DIV/0!</v>
      </c>
    </row>
    <row r="1844" spans="2:15" ht="13.5" hidden="1" customHeight="1">
      <c r="B1844" s="33">
        <f t="shared" si="357"/>
        <v>22</v>
      </c>
      <c r="C1844" s="25" t="s">
        <v>490</v>
      </c>
      <c r="D1844" s="25" t="s">
        <v>465</v>
      </c>
      <c r="F1844" s="30" t="s">
        <v>444</v>
      </c>
      <c r="G1844" s="36">
        <v>0</v>
      </c>
      <c r="H1844" s="36">
        <v>0</v>
      </c>
      <c r="I1844" s="36">
        <v>0</v>
      </c>
      <c r="J1844" s="36">
        <v>0</v>
      </c>
      <c r="K1844" s="36">
        <f t="shared" si="356"/>
        <v>0</v>
      </c>
      <c r="L1844" s="36">
        <v>13500</v>
      </c>
      <c r="M1844" s="9" t="e">
        <f t="shared" si="354"/>
        <v>#DIV/0!</v>
      </c>
      <c r="N1844" s="5">
        <v>1</v>
      </c>
      <c r="O1844" s="10" t="e">
        <f t="shared" si="355"/>
        <v>#DIV/0!</v>
      </c>
    </row>
    <row r="1845" spans="2:15" ht="13.5" hidden="1" customHeight="1">
      <c r="B1845" s="33">
        <f t="shared" si="357"/>
        <v>23</v>
      </c>
      <c r="C1845" s="25" t="s">
        <v>491</v>
      </c>
      <c r="D1845" s="25" t="s">
        <v>466</v>
      </c>
      <c r="F1845" s="30" t="s">
        <v>444</v>
      </c>
      <c r="G1845" s="36">
        <v>0</v>
      </c>
      <c r="H1845" s="36">
        <v>0</v>
      </c>
      <c r="I1845" s="36">
        <v>0</v>
      </c>
      <c r="J1845" s="36">
        <v>0</v>
      </c>
      <c r="K1845" s="36">
        <f t="shared" si="356"/>
        <v>0</v>
      </c>
      <c r="L1845" s="36">
        <v>13500</v>
      </c>
      <c r="M1845" s="9" t="e">
        <f t="shared" si="354"/>
        <v>#DIV/0!</v>
      </c>
      <c r="N1845" s="5">
        <v>1</v>
      </c>
      <c r="O1845" s="10" t="e">
        <f t="shared" si="355"/>
        <v>#DIV/0!</v>
      </c>
    </row>
    <row r="1846" spans="2:15" ht="13.5" hidden="1" customHeight="1">
      <c r="B1846" s="33">
        <f t="shared" si="357"/>
        <v>24</v>
      </c>
      <c r="C1846" s="25" t="s">
        <v>338</v>
      </c>
      <c r="D1846" s="25" t="s">
        <v>446</v>
      </c>
      <c r="F1846" s="30" t="s">
        <v>32</v>
      </c>
      <c r="G1846" s="36">
        <f>300*14</f>
        <v>4200</v>
      </c>
      <c r="H1846" s="36">
        <v>1861</v>
      </c>
      <c r="I1846" s="36">
        <v>3240</v>
      </c>
      <c r="J1846" s="36">
        <v>900</v>
      </c>
      <c r="K1846" s="36">
        <f t="shared" si="356"/>
        <v>10201</v>
      </c>
      <c r="L1846" s="36">
        <v>13500</v>
      </c>
      <c r="M1846" s="9">
        <f t="shared" si="354"/>
        <v>1.3233996666993433</v>
      </c>
      <c r="N1846" s="5">
        <v>1</v>
      </c>
      <c r="O1846" s="10">
        <f t="shared" si="355"/>
        <v>1.3233996666993433</v>
      </c>
    </row>
    <row r="1847" spans="2:15" ht="13.5" hidden="1" customHeight="1">
      <c r="B1847" s="33">
        <f t="shared" si="357"/>
        <v>25</v>
      </c>
      <c r="C1847" s="25" t="s">
        <v>350</v>
      </c>
      <c r="D1847" s="25" t="s">
        <v>460</v>
      </c>
      <c r="F1847" s="30" t="s">
        <v>32</v>
      </c>
      <c r="G1847" s="36">
        <f>300*14</f>
        <v>4200</v>
      </c>
      <c r="H1847" s="36">
        <v>1861</v>
      </c>
      <c r="I1847" s="36">
        <v>3240</v>
      </c>
      <c r="J1847" s="36">
        <v>900</v>
      </c>
      <c r="K1847" s="36">
        <f t="shared" si="356"/>
        <v>10201</v>
      </c>
      <c r="L1847" s="36">
        <v>13500</v>
      </c>
      <c r="M1847" s="9">
        <f t="shared" si="354"/>
        <v>1.3233996666993433</v>
      </c>
      <c r="N1847" s="5">
        <v>1</v>
      </c>
      <c r="O1847" s="10">
        <f t="shared" si="355"/>
        <v>1.3233996666993433</v>
      </c>
    </row>
    <row r="1848" spans="2:15" ht="13.5" hidden="1" customHeight="1">
      <c r="B1848" s="33">
        <f t="shared" si="357"/>
        <v>26</v>
      </c>
      <c r="C1848" s="25" t="s">
        <v>488</v>
      </c>
      <c r="D1848" s="25" t="s">
        <v>461</v>
      </c>
      <c r="F1848" s="30" t="s">
        <v>32</v>
      </c>
      <c r="G1848" s="36">
        <f t="shared" ref="G1848:G1849" si="358">300*14</f>
        <v>4200</v>
      </c>
      <c r="H1848" s="36">
        <v>1861</v>
      </c>
      <c r="I1848" s="36">
        <v>3240</v>
      </c>
      <c r="J1848" s="36">
        <v>900</v>
      </c>
      <c r="K1848" s="36">
        <f t="shared" si="356"/>
        <v>10201</v>
      </c>
      <c r="L1848" s="36">
        <v>13500</v>
      </c>
      <c r="M1848" s="9">
        <f t="shared" si="354"/>
        <v>1.3233996666993433</v>
      </c>
      <c r="N1848" s="5">
        <v>1</v>
      </c>
      <c r="O1848" s="10">
        <f t="shared" si="355"/>
        <v>1.3233996666993433</v>
      </c>
    </row>
    <row r="1849" spans="2:15" ht="13.5" hidden="1" customHeight="1">
      <c r="B1849" s="33">
        <f t="shared" si="357"/>
        <v>27</v>
      </c>
      <c r="C1849" s="25" t="s">
        <v>359</v>
      </c>
      <c r="D1849" s="25" t="s">
        <v>474</v>
      </c>
      <c r="F1849" s="30" t="s">
        <v>32</v>
      </c>
      <c r="G1849" s="36">
        <f t="shared" si="358"/>
        <v>4200</v>
      </c>
      <c r="H1849" s="36">
        <v>1861</v>
      </c>
      <c r="I1849" s="36">
        <v>3240</v>
      </c>
      <c r="J1849" s="36">
        <v>900</v>
      </c>
      <c r="K1849" s="36">
        <f t="shared" si="356"/>
        <v>10201</v>
      </c>
      <c r="L1849" s="36">
        <v>13500</v>
      </c>
      <c r="M1849" s="9">
        <f t="shared" si="354"/>
        <v>1.3233996666993433</v>
      </c>
      <c r="N1849" s="5">
        <v>1</v>
      </c>
      <c r="O1849" s="10">
        <f t="shared" si="355"/>
        <v>1.3233996666993433</v>
      </c>
    </row>
    <row r="1850" spans="2:15" ht="13.5" hidden="1" customHeight="1">
      <c r="B1850" s="33">
        <f t="shared" si="357"/>
        <v>28</v>
      </c>
      <c r="C1850" s="25" t="s">
        <v>78</v>
      </c>
      <c r="D1850" s="25" t="s">
        <v>455</v>
      </c>
      <c r="F1850" s="30" t="s">
        <v>27</v>
      </c>
      <c r="G1850" s="36">
        <f>333*5</f>
        <v>1665</v>
      </c>
      <c r="H1850" s="36">
        <v>1861</v>
      </c>
      <c r="I1850" s="36">
        <v>3240</v>
      </c>
      <c r="J1850" s="36">
        <v>500</v>
      </c>
      <c r="K1850" s="36">
        <f t="shared" si="356"/>
        <v>7266</v>
      </c>
      <c r="L1850" s="36">
        <v>13500</v>
      </c>
      <c r="M1850" s="9">
        <f t="shared" si="354"/>
        <v>1.8579686209744013</v>
      </c>
      <c r="N1850" s="5">
        <v>1</v>
      </c>
      <c r="O1850" s="10">
        <f t="shared" si="355"/>
        <v>1.8579686209744013</v>
      </c>
    </row>
    <row r="1851" spans="2:15" ht="13.5" hidden="1" customHeight="1">
      <c r="B1851" s="33">
        <f t="shared" si="357"/>
        <v>29</v>
      </c>
      <c r="C1851" s="25" t="s">
        <v>220</v>
      </c>
      <c r="D1851" s="25" t="s">
        <v>447</v>
      </c>
      <c r="F1851" s="30" t="s">
        <v>30</v>
      </c>
      <c r="G1851" s="36">
        <f>333*19</f>
        <v>6327</v>
      </c>
      <c r="H1851" s="36">
        <v>1861</v>
      </c>
      <c r="I1851" s="36">
        <v>3240</v>
      </c>
      <c r="J1851" s="36">
        <v>500</v>
      </c>
      <c r="K1851" s="36">
        <f t="shared" si="356"/>
        <v>11928</v>
      </c>
      <c r="L1851" s="36">
        <v>13500</v>
      </c>
      <c r="M1851" s="9">
        <f t="shared" si="354"/>
        <v>1.1317907444668007</v>
      </c>
      <c r="N1851" s="5">
        <v>1</v>
      </c>
      <c r="O1851" s="10">
        <f t="shared" si="355"/>
        <v>1.1317907444668007</v>
      </c>
    </row>
    <row r="1852" spans="2:15" ht="13.5" hidden="1" customHeight="1">
      <c r="B1852" s="33">
        <f t="shared" si="357"/>
        <v>30</v>
      </c>
      <c r="C1852" s="25" t="s">
        <v>480</v>
      </c>
      <c r="D1852" s="25" t="s">
        <v>449</v>
      </c>
      <c r="F1852" s="30" t="s">
        <v>30</v>
      </c>
      <c r="G1852" s="36">
        <f>333*19</f>
        <v>6327</v>
      </c>
      <c r="H1852" s="36">
        <v>1861</v>
      </c>
      <c r="I1852" s="36">
        <v>3240</v>
      </c>
      <c r="J1852" s="36">
        <v>500</v>
      </c>
      <c r="K1852" s="36">
        <f t="shared" si="356"/>
        <v>11928</v>
      </c>
      <c r="L1852" s="36">
        <v>13500</v>
      </c>
      <c r="M1852" s="9">
        <f t="shared" si="354"/>
        <v>1.1317907444668007</v>
      </c>
      <c r="N1852" s="5">
        <v>1</v>
      </c>
      <c r="O1852" s="10">
        <f t="shared" si="355"/>
        <v>1.1317907444668007</v>
      </c>
    </row>
    <row r="1853" spans="2:15" ht="13.5" hidden="1" customHeight="1">
      <c r="B1853" s="33">
        <f t="shared" si="357"/>
        <v>31</v>
      </c>
      <c r="C1853" s="25" t="s">
        <v>481</v>
      </c>
      <c r="D1853" s="25" t="s">
        <v>450</v>
      </c>
      <c r="F1853" s="30" t="s">
        <v>30</v>
      </c>
      <c r="G1853" s="36">
        <f>333*19</f>
        <v>6327</v>
      </c>
      <c r="H1853" s="36">
        <v>1861</v>
      </c>
      <c r="I1853" s="36">
        <v>3240</v>
      </c>
      <c r="J1853" s="36">
        <v>500</v>
      </c>
      <c r="K1853" s="36">
        <f t="shared" si="356"/>
        <v>11928</v>
      </c>
      <c r="L1853" s="36">
        <v>13500</v>
      </c>
      <c r="M1853" s="9">
        <f t="shared" si="354"/>
        <v>1.1317907444668007</v>
      </c>
      <c r="N1853" s="5">
        <v>1</v>
      </c>
      <c r="O1853" s="10">
        <f t="shared" si="355"/>
        <v>1.1317907444668007</v>
      </c>
    </row>
    <row r="1854" spans="2:15" ht="13.5" hidden="1" customHeight="1">
      <c r="B1854" s="33">
        <f t="shared" si="357"/>
        <v>32</v>
      </c>
      <c r="C1854" s="25" t="s">
        <v>244</v>
      </c>
      <c r="D1854" s="25" t="s">
        <v>464</v>
      </c>
      <c r="F1854" s="30" t="s">
        <v>30</v>
      </c>
      <c r="G1854" s="36">
        <f>333*19</f>
        <v>6327</v>
      </c>
      <c r="H1854" s="36">
        <v>1861</v>
      </c>
      <c r="I1854" s="36">
        <v>3240</v>
      </c>
      <c r="J1854" s="36">
        <v>500</v>
      </c>
      <c r="K1854" s="36">
        <f t="shared" si="356"/>
        <v>11928</v>
      </c>
      <c r="L1854" s="36">
        <v>13500</v>
      </c>
      <c r="M1854" s="9">
        <f t="shared" si="354"/>
        <v>1.1317907444668007</v>
      </c>
      <c r="N1854" s="5">
        <v>1</v>
      </c>
      <c r="O1854" s="10">
        <f t="shared" si="355"/>
        <v>1.1317907444668007</v>
      </c>
    </row>
    <row r="1855" spans="2:15" ht="13.5" hidden="1" customHeight="1">
      <c r="B1855" s="33">
        <f t="shared" si="357"/>
        <v>33</v>
      </c>
      <c r="C1855" s="25" t="s">
        <v>479</v>
      </c>
      <c r="D1855" s="25" t="s">
        <v>448</v>
      </c>
      <c r="F1855" s="30" t="s">
        <v>429</v>
      </c>
      <c r="G1855" s="36">
        <f>277*5</f>
        <v>1385</v>
      </c>
      <c r="H1855" s="36">
        <v>1861</v>
      </c>
      <c r="I1855" s="36">
        <v>7890</v>
      </c>
      <c r="J1855" s="36">
        <v>500</v>
      </c>
      <c r="K1855" s="36">
        <f t="shared" si="356"/>
        <v>11636</v>
      </c>
      <c r="L1855" s="36">
        <v>13500</v>
      </c>
      <c r="M1855" s="9">
        <f t="shared" si="354"/>
        <v>1.1601925060158129</v>
      </c>
      <c r="N1855" s="5">
        <v>1</v>
      </c>
      <c r="O1855" s="10">
        <f t="shared" si="355"/>
        <v>1.1601925060158129</v>
      </c>
    </row>
    <row r="1856" spans="2:15" ht="13.5" hidden="1" customHeight="1">
      <c r="B1856" s="33">
        <f t="shared" si="357"/>
        <v>34</v>
      </c>
      <c r="C1856" s="25" t="s">
        <v>104</v>
      </c>
      <c r="D1856" s="25" t="s">
        <v>463</v>
      </c>
      <c r="F1856" s="30" t="s">
        <v>429</v>
      </c>
      <c r="G1856" s="36">
        <v>0</v>
      </c>
      <c r="H1856" s="36">
        <v>0</v>
      </c>
      <c r="I1856" s="36">
        <v>0</v>
      </c>
      <c r="J1856" s="36"/>
      <c r="K1856" s="36">
        <f t="shared" si="356"/>
        <v>0</v>
      </c>
      <c r="L1856" s="36">
        <v>13500</v>
      </c>
      <c r="M1856" s="9" t="e">
        <f t="shared" si="354"/>
        <v>#DIV/0!</v>
      </c>
      <c r="N1856" s="5">
        <v>1</v>
      </c>
      <c r="O1856" s="10" t="e">
        <f t="shared" si="355"/>
        <v>#DIV/0!</v>
      </c>
    </row>
    <row r="1857" spans="1:15" ht="17.25" hidden="1" customHeight="1">
      <c r="A1857" s="66" t="s">
        <v>45</v>
      </c>
      <c r="B1857" s="66"/>
      <c r="C1857" s="66"/>
      <c r="D1857" s="66"/>
      <c r="E1857" s="66"/>
      <c r="F1857" s="66"/>
      <c r="G1857" s="66"/>
      <c r="H1857" s="66"/>
      <c r="I1857" s="66"/>
      <c r="J1857" s="66"/>
      <c r="K1857" s="66"/>
      <c r="L1857" s="66"/>
      <c r="M1857" s="66"/>
      <c r="N1857" s="22">
        <f>SUM(N1823:N1856)</f>
        <v>34</v>
      </c>
      <c r="O1857" s="23" t="e">
        <f>SUM(O1823:O1856)</f>
        <v>#DIV/0!</v>
      </c>
    </row>
    <row r="1858" spans="1:15" ht="13.5" customHeight="1">
      <c r="A1858" s="44" t="s">
        <v>509</v>
      </c>
      <c r="B1858" s="44"/>
      <c r="C1858" s="44"/>
      <c r="D1858" s="44"/>
      <c r="E1858" s="44"/>
      <c r="F1858" s="44"/>
      <c r="G1858" s="44"/>
      <c r="H1858" s="44"/>
      <c r="I1858" s="44"/>
      <c r="J1858" s="44"/>
      <c r="K1858" s="44"/>
      <c r="L1858" s="44"/>
      <c r="M1858" s="44"/>
      <c r="N1858" s="44"/>
      <c r="O1858" s="44"/>
    </row>
    <row r="1859" spans="1:15" ht="13.5" customHeight="1">
      <c r="B1859" s="33">
        <v>1</v>
      </c>
      <c r="C1859" s="25"/>
      <c r="D1859" s="25"/>
      <c r="F1859" s="30" t="s">
        <v>38</v>
      </c>
      <c r="G1859" s="36">
        <f>+G1823+G1787+G1751</f>
        <v>16650</v>
      </c>
      <c r="H1859" s="36">
        <f t="shared" ref="H1859:J1859" si="359">+H1823+H1787+H1751</f>
        <v>5583.6</v>
      </c>
      <c r="I1859" s="36">
        <f t="shared" si="359"/>
        <v>9720</v>
      </c>
      <c r="J1859" s="36">
        <f t="shared" si="359"/>
        <v>500</v>
      </c>
      <c r="K1859" s="36">
        <f>SUM(G1859:J1859)</f>
        <v>32453.599999999999</v>
      </c>
      <c r="L1859" s="36">
        <v>27000</v>
      </c>
      <c r="M1859" s="9">
        <f t="shared" ref="M1859:M1891" si="360">L1859/K1859</f>
        <v>0.83195700939187023</v>
      </c>
      <c r="N1859" s="5">
        <v>1</v>
      </c>
      <c r="O1859" s="10">
        <f t="shared" ref="O1859:O1891" si="361">IF(M1859&gt;1,1,M1859)</f>
        <v>0.83195700939187023</v>
      </c>
    </row>
    <row r="1860" spans="1:15" ht="13.5" customHeight="1">
      <c r="B1860" s="33">
        <f>+B1859+1</f>
        <v>2</v>
      </c>
      <c r="C1860" s="25"/>
      <c r="D1860" s="25"/>
      <c r="F1860" s="30" t="s">
        <v>428</v>
      </c>
      <c r="G1860" s="36">
        <f t="shared" ref="G1860:J1891" si="362">+G1825+G1789+G1753</f>
        <v>1662</v>
      </c>
      <c r="H1860" s="36">
        <f t="shared" si="362"/>
        <v>1861.6</v>
      </c>
      <c r="I1860" s="36">
        <f t="shared" si="362"/>
        <v>7890</v>
      </c>
      <c r="J1860" s="36">
        <f t="shared" si="362"/>
        <v>500</v>
      </c>
      <c r="K1860" s="36">
        <f t="shared" ref="K1860:K1891" si="363">SUM(G1860:J1860)</f>
        <v>11913.6</v>
      </c>
      <c r="L1860" s="36">
        <v>27000</v>
      </c>
      <c r="M1860" s="9">
        <f t="shared" si="360"/>
        <v>2.2663174858984689</v>
      </c>
      <c r="N1860" s="5">
        <v>1</v>
      </c>
      <c r="O1860" s="10">
        <f t="shared" si="361"/>
        <v>1</v>
      </c>
    </row>
    <row r="1861" spans="1:15" ht="13.5" customHeight="1">
      <c r="B1861" s="33">
        <f t="shared" ref="B1861:B1891" si="364">+B1860+1</f>
        <v>3</v>
      </c>
      <c r="C1861" s="25"/>
      <c r="D1861" s="25"/>
      <c r="F1861" s="30" t="s">
        <v>428</v>
      </c>
      <c r="G1861" s="36">
        <f t="shared" si="362"/>
        <v>1662</v>
      </c>
      <c r="H1861" s="36">
        <f t="shared" si="362"/>
        <v>1861.6</v>
      </c>
      <c r="I1861" s="36">
        <f t="shared" si="362"/>
        <v>7890</v>
      </c>
      <c r="J1861" s="36">
        <f t="shared" si="362"/>
        <v>500</v>
      </c>
      <c r="K1861" s="36">
        <f t="shared" si="363"/>
        <v>11913.6</v>
      </c>
      <c r="L1861" s="36">
        <v>27000</v>
      </c>
      <c r="M1861" s="9">
        <f t="shared" si="360"/>
        <v>2.2663174858984689</v>
      </c>
      <c r="N1861" s="5">
        <v>1</v>
      </c>
      <c r="O1861" s="10">
        <f t="shared" si="361"/>
        <v>1</v>
      </c>
    </row>
    <row r="1862" spans="1:15" ht="13.5" customHeight="1">
      <c r="B1862" s="33">
        <f t="shared" si="364"/>
        <v>4</v>
      </c>
      <c r="C1862" s="25"/>
      <c r="D1862" s="25"/>
      <c r="F1862" s="30" t="s">
        <v>428</v>
      </c>
      <c r="G1862" s="36">
        <f t="shared" si="362"/>
        <v>1662</v>
      </c>
      <c r="H1862" s="36">
        <f t="shared" si="362"/>
        <v>1861.6</v>
      </c>
      <c r="I1862" s="36">
        <f t="shared" si="362"/>
        <v>7890</v>
      </c>
      <c r="J1862" s="36">
        <f t="shared" si="362"/>
        <v>500</v>
      </c>
      <c r="K1862" s="36">
        <f t="shared" si="363"/>
        <v>11913.6</v>
      </c>
      <c r="L1862" s="36">
        <v>27000</v>
      </c>
      <c r="M1862" s="9">
        <f t="shared" si="360"/>
        <v>2.2663174858984689</v>
      </c>
      <c r="N1862" s="5">
        <v>1</v>
      </c>
      <c r="O1862" s="10">
        <f t="shared" si="361"/>
        <v>1</v>
      </c>
    </row>
    <row r="1863" spans="1:15" ht="13.5" customHeight="1">
      <c r="B1863" s="33">
        <f t="shared" si="364"/>
        <v>5</v>
      </c>
      <c r="C1863" s="25"/>
      <c r="D1863" s="25"/>
      <c r="F1863" s="30" t="s">
        <v>25</v>
      </c>
      <c r="G1863" s="36">
        <f t="shared" si="362"/>
        <v>13500</v>
      </c>
      <c r="H1863" s="36">
        <f t="shared" si="362"/>
        <v>5583.6</v>
      </c>
      <c r="I1863" s="36">
        <f t="shared" si="362"/>
        <v>9720</v>
      </c>
      <c r="J1863" s="36">
        <f t="shared" si="362"/>
        <v>1500</v>
      </c>
      <c r="K1863" s="36">
        <f t="shared" si="363"/>
        <v>30303.599999999999</v>
      </c>
      <c r="L1863" s="36">
        <v>27000</v>
      </c>
      <c r="M1863" s="9">
        <f t="shared" si="360"/>
        <v>0.89098324951490915</v>
      </c>
      <c r="N1863" s="5">
        <v>1</v>
      </c>
      <c r="O1863" s="10">
        <f t="shared" si="361"/>
        <v>0.89098324951490915</v>
      </c>
    </row>
    <row r="1864" spans="1:15" ht="13.5" customHeight="1">
      <c r="B1864" s="33">
        <f t="shared" si="364"/>
        <v>6</v>
      </c>
      <c r="C1864" s="25"/>
      <c r="D1864" s="25"/>
      <c r="F1864" s="30" t="s">
        <v>25</v>
      </c>
      <c r="G1864" s="36">
        <f t="shared" si="362"/>
        <v>3900</v>
      </c>
      <c r="H1864" s="36">
        <f t="shared" si="362"/>
        <v>5583.6</v>
      </c>
      <c r="I1864" s="36">
        <f t="shared" si="362"/>
        <v>9720</v>
      </c>
      <c r="J1864" s="36">
        <f t="shared" si="362"/>
        <v>1500</v>
      </c>
      <c r="K1864" s="36">
        <f t="shared" si="363"/>
        <v>20703.599999999999</v>
      </c>
      <c r="L1864" s="36">
        <v>27000</v>
      </c>
      <c r="M1864" s="9">
        <f t="shared" si="360"/>
        <v>1.3041210224308817</v>
      </c>
      <c r="N1864" s="5">
        <v>1</v>
      </c>
      <c r="O1864" s="10">
        <f t="shared" si="361"/>
        <v>1</v>
      </c>
    </row>
    <row r="1865" spans="1:15" ht="13.5" customHeight="1">
      <c r="B1865" s="33">
        <f t="shared" si="364"/>
        <v>7</v>
      </c>
      <c r="C1865" s="25"/>
      <c r="D1865" s="25"/>
      <c r="F1865" s="30" t="s">
        <v>25</v>
      </c>
      <c r="G1865" s="36">
        <f t="shared" si="362"/>
        <v>13500</v>
      </c>
      <c r="H1865" s="36">
        <f t="shared" si="362"/>
        <v>5583.6</v>
      </c>
      <c r="I1865" s="36">
        <f t="shared" si="362"/>
        <v>9720</v>
      </c>
      <c r="J1865" s="36">
        <f t="shared" si="362"/>
        <v>1500</v>
      </c>
      <c r="K1865" s="36">
        <f t="shared" si="363"/>
        <v>30303.599999999999</v>
      </c>
      <c r="L1865" s="36">
        <v>27000</v>
      </c>
      <c r="M1865" s="9">
        <f t="shared" si="360"/>
        <v>0.89098324951490915</v>
      </c>
      <c r="N1865" s="5">
        <v>1</v>
      </c>
      <c r="O1865" s="10">
        <f t="shared" si="361"/>
        <v>0.89098324951490915</v>
      </c>
    </row>
    <row r="1866" spans="1:15" ht="13.5" customHeight="1">
      <c r="B1866" s="33">
        <f t="shared" si="364"/>
        <v>8</v>
      </c>
      <c r="C1866" s="25"/>
      <c r="D1866" s="25"/>
      <c r="F1866" s="30" t="s">
        <v>25</v>
      </c>
      <c r="G1866" s="36">
        <f t="shared" si="362"/>
        <v>12600</v>
      </c>
      <c r="H1866" s="36">
        <f t="shared" si="362"/>
        <v>5583.6</v>
      </c>
      <c r="I1866" s="36">
        <f t="shared" si="362"/>
        <v>9720</v>
      </c>
      <c r="J1866" s="36">
        <f t="shared" si="362"/>
        <v>1500</v>
      </c>
      <c r="K1866" s="36">
        <f t="shared" si="363"/>
        <v>29403.599999999999</v>
      </c>
      <c r="L1866" s="36">
        <v>27000</v>
      </c>
      <c r="M1866" s="9">
        <f t="shared" si="360"/>
        <v>0.91825490756233941</v>
      </c>
      <c r="N1866" s="5">
        <v>1</v>
      </c>
      <c r="O1866" s="10">
        <f t="shared" si="361"/>
        <v>0.91825490756233941</v>
      </c>
    </row>
    <row r="1867" spans="1:15" ht="13.5" customHeight="1">
      <c r="B1867" s="33">
        <f t="shared" si="364"/>
        <v>9</v>
      </c>
      <c r="C1867" s="25"/>
      <c r="D1867" s="25"/>
      <c r="F1867" s="30" t="s">
        <v>25</v>
      </c>
      <c r="G1867" s="36">
        <f t="shared" si="362"/>
        <v>4800</v>
      </c>
      <c r="H1867" s="36">
        <f t="shared" si="362"/>
        <v>5583.6</v>
      </c>
      <c r="I1867" s="36">
        <f t="shared" si="362"/>
        <v>9720</v>
      </c>
      <c r="J1867" s="36">
        <f t="shared" si="362"/>
        <v>1500</v>
      </c>
      <c r="K1867" s="36">
        <f t="shared" si="363"/>
        <v>21603.599999999999</v>
      </c>
      <c r="L1867" s="36">
        <v>27000</v>
      </c>
      <c r="M1867" s="9">
        <f t="shared" si="360"/>
        <v>1.2497917013831028</v>
      </c>
      <c r="N1867" s="5">
        <v>1</v>
      </c>
      <c r="O1867" s="10">
        <f t="shared" si="361"/>
        <v>1</v>
      </c>
    </row>
    <row r="1868" spans="1:15" ht="13.5" customHeight="1">
      <c r="B1868" s="33">
        <f t="shared" si="364"/>
        <v>10</v>
      </c>
      <c r="C1868" s="25"/>
      <c r="D1868" s="25"/>
      <c r="F1868" s="30" t="s">
        <v>25</v>
      </c>
      <c r="G1868" s="36">
        <f t="shared" si="362"/>
        <v>13500</v>
      </c>
      <c r="H1868" s="36">
        <f t="shared" si="362"/>
        <v>5583.6</v>
      </c>
      <c r="I1868" s="36">
        <f t="shared" si="362"/>
        <v>9720</v>
      </c>
      <c r="J1868" s="36">
        <f t="shared" si="362"/>
        <v>1500</v>
      </c>
      <c r="K1868" s="36">
        <f t="shared" si="363"/>
        <v>30303.599999999999</v>
      </c>
      <c r="L1868" s="36">
        <v>27000</v>
      </c>
      <c r="M1868" s="9">
        <f t="shared" si="360"/>
        <v>0.89098324951490915</v>
      </c>
      <c r="N1868" s="5">
        <v>1</v>
      </c>
      <c r="O1868" s="10">
        <f t="shared" si="361"/>
        <v>0.89098324951490915</v>
      </c>
    </row>
    <row r="1869" spans="1:15" ht="13.5" customHeight="1">
      <c r="B1869" s="33">
        <f t="shared" si="364"/>
        <v>11</v>
      </c>
      <c r="C1869" s="25"/>
      <c r="D1869" s="25"/>
      <c r="F1869" s="30" t="s">
        <v>217</v>
      </c>
      <c r="G1869" s="36">
        <f t="shared" si="362"/>
        <v>8400</v>
      </c>
      <c r="H1869" s="36">
        <f t="shared" si="362"/>
        <v>5583.6</v>
      </c>
      <c r="I1869" s="36">
        <f t="shared" si="362"/>
        <v>14370</v>
      </c>
      <c r="J1869" s="36">
        <f t="shared" si="362"/>
        <v>1500</v>
      </c>
      <c r="K1869" s="36">
        <f t="shared" si="363"/>
        <v>29853.599999999999</v>
      </c>
      <c r="L1869" s="36">
        <v>27000</v>
      </c>
      <c r="M1869" s="9">
        <f t="shared" si="360"/>
        <v>0.90441353806576097</v>
      </c>
      <c r="N1869" s="5">
        <v>1</v>
      </c>
      <c r="O1869" s="10">
        <f t="shared" si="361"/>
        <v>0.90441353806576097</v>
      </c>
    </row>
    <row r="1870" spans="1:15" ht="13.5" customHeight="1">
      <c r="B1870" s="33">
        <f t="shared" si="364"/>
        <v>12</v>
      </c>
      <c r="C1870" s="25"/>
      <c r="D1870" s="25"/>
      <c r="F1870" s="30" t="s">
        <v>217</v>
      </c>
      <c r="G1870" s="36">
        <f t="shared" si="362"/>
        <v>9200</v>
      </c>
      <c r="H1870" s="36">
        <f t="shared" si="362"/>
        <v>5583.6</v>
      </c>
      <c r="I1870" s="36">
        <f t="shared" si="362"/>
        <v>14370</v>
      </c>
      <c r="J1870" s="36">
        <f t="shared" si="362"/>
        <v>1500</v>
      </c>
      <c r="K1870" s="36">
        <f t="shared" si="363"/>
        <v>30653.599999999999</v>
      </c>
      <c r="L1870" s="36">
        <v>27000</v>
      </c>
      <c r="M1870" s="9">
        <f t="shared" si="360"/>
        <v>0.88081008429678742</v>
      </c>
      <c r="N1870" s="5">
        <v>1</v>
      </c>
      <c r="O1870" s="10">
        <f t="shared" si="361"/>
        <v>0.88081008429678742</v>
      </c>
    </row>
    <row r="1871" spans="1:15" ht="13.5" customHeight="1">
      <c r="B1871" s="33">
        <f t="shared" si="364"/>
        <v>13</v>
      </c>
      <c r="C1871" s="25"/>
      <c r="D1871" s="25"/>
      <c r="F1871" s="30" t="s">
        <v>417</v>
      </c>
      <c r="G1871" s="36">
        <f t="shared" si="362"/>
        <v>831</v>
      </c>
      <c r="H1871" s="36">
        <f t="shared" si="362"/>
        <v>1861.6</v>
      </c>
      <c r="I1871" s="36">
        <f t="shared" si="362"/>
        <v>7890</v>
      </c>
      <c r="J1871" s="36">
        <f t="shared" si="362"/>
        <v>500</v>
      </c>
      <c r="K1871" s="36">
        <f t="shared" si="363"/>
        <v>11082.6</v>
      </c>
      <c r="L1871" s="36">
        <v>27000</v>
      </c>
      <c r="M1871" s="9">
        <f t="shared" si="360"/>
        <v>2.4362514211466624</v>
      </c>
      <c r="N1871" s="5">
        <v>1</v>
      </c>
      <c r="O1871" s="10">
        <f t="shared" si="361"/>
        <v>1</v>
      </c>
    </row>
    <row r="1872" spans="1:15" ht="13.5" customHeight="1">
      <c r="B1872" s="33">
        <f t="shared" si="364"/>
        <v>14</v>
      </c>
      <c r="C1872" s="25"/>
      <c r="D1872" s="25"/>
      <c r="F1872" s="30" t="s">
        <v>417</v>
      </c>
      <c r="G1872" s="36">
        <f t="shared" si="362"/>
        <v>831</v>
      </c>
      <c r="H1872" s="36">
        <f t="shared" si="362"/>
        <v>1861.6</v>
      </c>
      <c r="I1872" s="36">
        <f t="shared" si="362"/>
        <v>7890</v>
      </c>
      <c r="J1872" s="36">
        <f t="shared" si="362"/>
        <v>500</v>
      </c>
      <c r="K1872" s="36">
        <f t="shared" si="363"/>
        <v>11082.6</v>
      </c>
      <c r="L1872" s="36">
        <v>27000</v>
      </c>
      <c r="M1872" s="9">
        <f t="shared" si="360"/>
        <v>2.4362514211466624</v>
      </c>
      <c r="N1872" s="5">
        <v>1</v>
      </c>
      <c r="O1872" s="10">
        <f t="shared" si="361"/>
        <v>1</v>
      </c>
    </row>
    <row r="1873" spans="2:15" ht="13.5" customHeight="1">
      <c r="B1873" s="33">
        <f t="shared" si="364"/>
        <v>15</v>
      </c>
      <c r="C1873" s="25"/>
      <c r="D1873" s="25"/>
      <c r="F1873" s="30" t="s">
        <v>417</v>
      </c>
      <c r="G1873" s="36">
        <f t="shared" si="362"/>
        <v>831</v>
      </c>
      <c r="H1873" s="36">
        <f t="shared" si="362"/>
        <v>1861.6</v>
      </c>
      <c r="I1873" s="36">
        <f t="shared" si="362"/>
        <v>7890</v>
      </c>
      <c r="J1873" s="36">
        <f t="shared" si="362"/>
        <v>500</v>
      </c>
      <c r="K1873" s="36">
        <f t="shared" si="363"/>
        <v>11082.6</v>
      </c>
      <c r="L1873" s="36">
        <v>27000</v>
      </c>
      <c r="M1873" s="9">
        <f t="shared" si="360"/>
        <v>2.4362514211466624</v>
      </c>
      <c r="N1873" s="5">
        <v>1</v>
      </c>
      <c r="O1873" s="10">
        <f t="shared" si="361"/>
        <v>1</v>
      </c>
    </row>
    <row r="1874" spans="2:15" ht="13.5" customHeight="1">
      <c r="B1874" s="33">
        <f t="shared" si="364"/>
        <v>16</v>
      </c>
      <c r="C1874" s="25"/>
      <c r="D1874" s="25"/>
      <c r="F1874" s="30" t="s">
        <v>216</v>
      </c>
      <c r="G1874" s="36">
        <f t="shared" si="362"/>
        <v>12600</v>
      </c>
      <c r="H1874" s="36">
        <f t="shared" si="362"/>
        <v>5583.6</v>
      </c>
      <c r="I1874" s="36">
        <f t="shared" si="362"/>
        <v>9720</v>
      </c>
      <c r="J1874" s="36">
        <f t="shared" si="362"/>
        <v>500</v>
      </c>
      <c r="K1874" s="36">
        <v>7403</v>
      </c>
      <c r="L1874" s="36">
        <v>27000</v>
      </c>
      <c r="M1874" s="9">
        <f t="shared" si="360"/>
        <v>3.6471700661893829</v>
      </c>
      <c r="N1874" s="5">
        <v>1</v>
      </c>
      <c r="O1874" s="10">
        <f t="shared" si="361"/>
        <v>1</v>
      </c>
    </row>
    <row r="1875" spans="2:15" ht="13.5" customHeight="1">
      <c r="B1875" s="33">
        <f t="shared" si="364"/>
        <v>17</v>
      </c>
      <c r="C1875" s="25"/>
      <c r="D1875" s="25"/>
      <c r="F1875" s="30" t="s">
        <v>216</v>
      </c>
      <c r="G1875" s="36">
        <f t="shared" si="362"/>
        <v>11700</v>
      </c>
      <c r="H1875" s="36">
        <f t="shared" si="362"/>
        <v>5583.6</v>
      </c>
      <c r="I1875" s="36">
        <f t="shared" si="362"/>
        <v>9720</v>
      </c>
      <c r="J1875" s="36">
        <f t="shared" si="362"/>
        <v>500</v>
      </c>
      <c r="K1875" s="36">
        <f t="shared" si="363"/>
        <v>27503.599999999999</v>
      </c>
      <c r="L1875" s="36">
        <v>27000</v>
      </c>
      <c r="M1875" s="9">
        <f t="shared" si="360"/>
        <v>0.9816896697159645</v>
      </c>
      <c r="N1875" s="5">
        <v>1</v>
      </c>
      <c r="O1875" s="10">
        <f t="shared" si="361"/>
        <v>0.9816896697159645</v>
      </c>
    </row>
    <row r="1876" spans="2:15" ht="13.5" customHeight="1">
      <c r="B1876" s="33">
        <f t="shared" si="364"/>
        <v>18</v>
      </c>
      <c r="C1876" s="25"/>
      <c r="D1876" s="25"/>
      <c r="F1876" s="30" t="s">
        <v>445</v>
      </c>
      <c r="G1876" s="36">
        <f t="shared" si="362"/>
        <v>12321</v>
      </c>
      <c r="H1876" s="36">
        <f t="shared" si="362"/>
        <v>5583.6</v>
      </c>
      <c r="I1876" s="36">
        <f t="shared" si="362"/>
        <v>14370</v>
      </c>
      <c r="J1876" s="36">
        <f t="shared" si="362"/>
        <v>2000</v>
      </c>
      <c r="K1876" s="36">
        <f t="shared" si="363"/>
        <v>34274.6</v>
      </c>
      <c r="L1876" s="36">
        <v>27000</v>
      </c>
      <c r="M1876" s="9">
        <f t="shared" si="360"/>
        <v>0.78775536403050661</v>
      </c>
      <c r="N1876" s="5">
        <v>1</v>
      </c>
      <c r="O1876" s="10">
        <f t="shared" si="361"/>
        <v>0.78775536403050661</v>
      </c>
    </row>
    <row r="1877" spans="2:15" ht="13.5" customHeight="1">
      <c r="B1877" s="33">
        <f t="shared" si="364"/>
        <v>19</v>
      </c>
      <c r="C1877" s="25"/>
      <c r="D1877" s="25"/>
      <c r="F1877" s="30" t="s">
        <v>444</v>
      </c>
      <c r="G1877" s="36">
        <f t="shared" si="362"/>
        <v>1108</v>
      </c>
      <c r="H1877" s="36">
        <f t="shared" si="362"/>
        <v>1861.6</v>
      </c>
      <c r="I1877" s="36">
        <f t="shared" si="362"/>
        <v>7890</v>
      </c>
      <c r="J1877" s="36">
        <f t="shared" si="362"/>
        <v>500</v>
      </c>
      <c r="K1877" s="36">
        <f t="shared" si="363"/>
        <v>11359.6</v>
      </c>
      <c r="L1877" s="36">
        <v>27000</v>
      </c>
      <c r="M1877" s="9">
        <f t="shared" si="360"/>
        <v>2.376844255079404</v>
      </c>
      <c r="N1877" s="5">
        <v>1</v>
      </c>
      <c r="O1877" s="10">
        <f t="shared" si="361"/>
        <v>1</v>
      </c>
    </row>
    <row r="1878" spans="2:15" ht="13.5" customHeight="1">
      <c r="B1878" s="33">
        <f t="shared" si="364"/>
        <v>20</v>
      </c>
      <c r="C1878" s="25"/>
      <c r="D1878" s="25"/>
      <c r="F1878" s="30" t="s">
        <v>444</v>
      </c>
      <c r="G1878" s="36">
        <f t="shared" si="362"/>
        <v>1108</v>
      </c>
      <c r="H1878" s="36">
        <f t="shared" si="362"/>
        <v>1861.6</v>
      </c>
      <c r="I1878" s="36">
        <f t="shared" si="362"/>
        <v>7890</v>
      </c>
      <c r="J1878" s="36">
        <f t="shared" si="362"/>
        <v>500</v>
      </c>
      <c r="K1878" s="36">
        <f t="shared" si="363"/>
        <v>11359.6</v>
      </c>
      <c r="L1878" s="36">
        <v>27000</v>
      </c>
      <c r="M1878" s="9">
        <f t="shared" si="360"/>
        <v>2.376844255079404</v>
      </c>
      <c r="N1878" s="5">
        <v>1</v>
      </c>
      <c r="O1878" s="10">
        <f t="shared" si="361"/>
        <v>1</v>
      </c>
    </row>
    <row r="1879" spans="2:15" ht="13.5" customHeight="1">
      <c r="B1879" s="33">
        <f t="shared" si="364"/>
        <v>21</v>
      </c>
      <c r="C1879" s="25"/>
      <c r="D1879" s="25"/>
      <c r="F1879" s="30" t="s">
        <v>444</v>
      </c>
      <c r="G1879" s="36">
        <f t="shared" si="362"/>
        <v>1108</v>
      </c>
      <c r="H1879" s="36">
        <f t="shared" si="362"/>
        <v>1861.6</v>
      </c>
      <c r="I1879" s="36">
        <f t="shared" si="362"/>
        <v>7890</v>
      </c>
      <c r="J1879" s="36">
        <f t="shared" si="362"/>
        <v>500</v>
      </c>
      <c r="K1879" s="36">
        <f t="shared" si="363"/>
        <v>11359.6</v>
      </c>
      <c r="L1879" s="36">
        <v>27000</v>
      </c>
      <c r="M1879" s="9">
        <f t="shared" si="360"/>
        <v>2.376844255079404</v>
      </c>
      <c r="N1879" s="5">
        <v>1</v>
      </c>
      <c r="O1879" s="10">
        <f t="shared" si="361"/>
        <v>1</v>
      </c>
    </row>
    <row r="1880" spans="2:15" ht="13.5" customHeight="1">
      <c r="B1880" s="33">
        <f t="shared" si="364"/>
        <v>22</v>
      </c>
      <c r="C1880" s="25"/>
      <c r="D1880" s="25"/>
      <c r="F1880" s="30" t="s">
        <v>444</v>
      </c>
      <c r="G1880" s="36">
        <f t="shared" si="362"/>
        <v>1108</v>
      </c>
      <c r="H1880" s="36">
        <f t="shared" si="362"/>
        <v>1861.6</v>
      </c>
      <c r="I1880" s="36">
        <f t="shared" si="362"/>
        <v>7890</v>
      </c>
      <c r="J1880" s="36">
        <f t="shared" si="362"/>
        <v>500</v>
      </c>
      <c r="K1880" s="36">
        <f t="shared" si="363"/>
        <v>11359.6</v>
      </c>
      <c r="L1880" s="36">
        <v>27000</v>
      </c>
      <c r="M1880" s="9">
        <f t="shared" si="360"/>
        <v>2.376844255079404</v>
      </c>
      <c r="N1880" s="5">
        <v>1</v>
      </c>
      <c r="O1880" s="10">
        <f t="shared" si="361"/>
        <v>1</v>
      </c>
    </row>
    <row r="1881" spans="2:15" ht="13.5" customHeight="1">
      <c r="B1881" s="33">
        <f t="shared" si="364"/>
        <v>23</v>
      </c>
      <c r="C1881" s="25"/>
      <c r="D1881" s="25"/>
      <c r="F1881" s="30" t="s">
        <v>32</v>
      </c>
      <c r="G1881" s="36">
        <f t="shared" si="362"/>
        <v>14400</v>
      </c>
      <c r="H1881" s="36">
        <f t="shared" si="362"/>
        <v>5583.6</v>
      </c>
      <c r="I1881" s="36">
        <f t="shared" si="362"/>
        <v>9720</v>
      </c>
      <c r="J1881" s="36">
        <f t="shared" si="362"/>
        <v>2300</v>
      </c>
      <c r="K1881" s="36">
        <f t="shared" si="363"/>
        <v>32003.599999999999</v>
      </c>
      <c r="L1881" s="36">
        <v>27000</v>
      </c>
      <c r="M1881" s="9">
        <f t="shared" si="360"/>
        <v>0.84365508880250972</v>
      </c>
      <c r="N1881" s="5">
        <v>1</v>
      </c>
      <c r="O1881" s="10">
        <f t="shared" si="361"/>
        <v>0.84365508880250972</v>
      </c>
    </row>
    <row r="1882" spans="2:15" ht="13.5" customHeight="1">
      <c r="B1882" s="33">
        <f t="shared" si="364"/>
        <v>24</v>
      </c>
      <c r="C1882" s="25"/>
      <c r="D1882" s="25"/>
      <c r="F1882" s="30" t="s">
        <v>32</v>
      </c>
      <c r="G1882" s="36">
        <f t="shared" si="362"/>
        <v>14400</v>
      </c>
      <c r="H1882" s="36">
        <f t="shared" si="362"/>
        <v>5583.6</v>
      </c>
      <c r="I1882" s="36">
        <f t="shared" si="362"/>
        <v>9720</v>
      </c>
      <c r="J1882" s="36">
        <f t="shared" si="362"/>
        <v>2300</v>
      </c>
      <c r="K1882" s="36">
        <f t="shared" si="363"/>
        <v>32003.599999999999</v>
      </c>
      <c r="L1882" s="36">
        <v>27000</v>
      </c>
      <c r="M1882" s="9">
        <f t="shared" si="360"/>
        <v>0.84365508880250972</v>
      </c>
      <c r="N1882" s="5">
        <v>1</v>
      </c>
      <c r="O1882" s="10">
        <f t="shared" si="361"/>
        <v>0.84365508880250972</v>
      </c>
    </row>
    <row r="1883" spans="2:15" ht="13.5" customHeight="1">
      <c r="B1883" s="33">
        <f t="shared" si="364"/>
        <v>25</v>
      </c>
      <c r="C1883" s="25"/>
      <c r="D1883" s="25"/>
      <c r="F1883" s="30" t="s">
        <v>32</v>
      </c>
      <c r="G1883" s="36">
        <f t="shared" si="362"/>
        <v>14400</v>
      </c>
      <c r="H1883" s="36">
        <f t="shared" si="362"/>
        <v>5583.6</v>
      </c>
      <c r="I1883" s="36">
        <f t="shared" si="362"/>
        <v>9720</v>
      </c>
      <c r="J1883" s="36">
        <f t="shared" si="362"/>
        <v>2300</v>
      </c>
      <c r="K1883" s="36">
        <f t="shared" si="363"/>
        <v>32003.599999999999</v>
      </c>
      <c r="L1883" s="36">
        <v>27000</v>
      </c>
      <c r="M1883" s="9">
        <f t="shared" si="360"/>
        <v>0.84365508880250972</v>
      </c>
      <c r="N1883" s="5">
        <v>1</v>
      </c>
      <c r="O1883" s="10">
        <f t="shared" si="361"/>
        <v>0.84365508880250972</v>
      </c>
    </row>
    <row r="1884" spans="2:15" ht="13.5" customHeight="1">
      <c r="B1884" s="33">
        <f t="shared" si="364"/>
        <v>26</v>
      </c>
      <c r="C1884" s="25"/>
      <c r="D1884" s="25"/>
      <c r="F1884" s="30" t="s">
        <v>32</v>
      </c>
      <c r="G1884" s="36">
        <f t="shared" si="362"/>
        <v>14400</v>
      </c>
      <c r="H1884" s="36">
        <f t="shared" si="362"/>
        <v>5583.6</v>
      </c>
      <c r="I1884" s="36">
        <f t="shared" si="362"/>
        <v>9720</v>
      </c>
      <c r="J1884" s="36">
        <f t="shared" si="362"/>
        <v>2300</v>
      </c>
      <c r="K1884" s="36">
        <f t="shared" si="363"/>
        <v>32003.599999999999</v>
      </c>
      <c r="L1884" s="36">
        <v>27000</v>
      </c>
      <c r="M1884" s="9">
        <f t="shared" si="360"/>
        <v>0.84365508880250972</v>
      </c>
      <c r="N1884" s="5">
        <v>1</v>
      </c>
      <c r="O1884" s="10">
        <f t="shared" si="361"/>
        <v>0.84365508880250972</v>
      </c>
    </row>
    <row r="1885" spans="2:15" ht="13.5" customHeight="1">
      <c r="B1885" s="33">
        <f t="shared" si="364"/>
        <v>27</v>
      </c>
      <c r="C1885" s="25"/>
      <c r="D1885" s="25"/>
      <c r="F1885" s="30" t="s">
        <v>27</v>
      </c>
      <c r="G1885" s="36">
        <f t="shared" si="362"/>
        <v>12321</v>
      </c>
      <c r="H1885" s="36">
        <f t="shared" si="362"/>
        <v>5583.6</v>
      </c>
      <c r="I1885" s="36">
        <f t="shared" si="362"/>
        <v>9720</v>
      </c>
      <c r="J1885" s="36">
        <f t="shared" si="362"/>
        <v>1500</v>
      </c>
      <c r="K1885" s="36">
        <f t="shared" si="363"/>
        <v>29124.6</v>
      </c>
      <c r="L1885" s="36">
        <v>27000</v>
      </c>
      <c r="M1885" s="9">
        <f t="shared" si="360"/>
        <v>0.927051358645269</v>
      </c>
      <c r="N1885" s="5">
        <v>1</v>
      </c>
      <c r="O1885" s="10">
        <f t="shared" si="361"/>
        <v>0.927051358645269</v>
      </c>
    </row>
    <row r="1886" spans="2:15" ht="13.5" customHeight="1">
      <c r="B1886" s="33">
        <f t="shared" si="364"/>
        <v>28</v>
      </c>
      <c r="C1886" s="25"/>
      <c r="D1886" s="25"/>
      <c r="F1886" s="30" t="s">
        <v>30</v>
      </c>
      <c r="G1886" s="36">
        <f t="shared" si="362"/>
        <v>19620</v>
      </c>
      <c r="H1886" s="36">
        <f t="shared" si="362"/>
        <v>5583.6</v>
      </c>
      <c r="I1886" s="36">
        <f t="shared" si="362"/>
        <v>9720</v>
      </c>
      <c r="J1886" s="36">
        <f t="shared" si="362"/>
        <v>1500</v>
      </c>
      <c r="K1886" s="36">
        <f t="shared" si="363"/>
        <v>36423.599999999999</v>
      </c>
      <c r="L1886" s="36">
        <v>27000</v>
      </c>
      <c r="M1886" s="9">
        <f t="shared" si="360"/>
        <v>0.74127763318288142</v>
      </c>
      <c r="N1886" s="5">
        <v>1</v>
      </c>
      <c r="O1886" s="10">
        <f t="shared" si="361"/>
        <v>0.74127763318288142</v>
      </c>
    </row>
    <row r="1887" spans="2:15" ht="13.5" customHeight="1">
      <c r="B1887" s="33">
        <f t="shared" si="364"/>
        <v>29</v>
      </c>
      <c r="C1887" s="25"/>
      <c r="D1887" s="25"/>
      <c r="F1887" s="30" t="s">
        <v>30</v>
      </c>
      <c r="G1887" s="36">
        <f t="shared" si="362"/>
        <v>19620</v>
      </c>
      <c r="H1887" s="36">
        <f t="shared" si="362"/>
        <v>5583.6</v>
      </c>
      <c r="I1887" s="36">
        <f t="shared" si="362"/>
        <v>9720</v>
      </c>
      <c r="J1887" s="36">
        <f t="shared" si="362"/>
        <v>1500</v>
      </c>
      <c r="K1887" s="36">
        <f t="shared" si="363"/>
        <v>36423.599999999999</v>
      </c>
      <c r="L1887" s="36">
        <v>27000</v>
      </c>
      <c r="M1887" s="9">
        <f t="shared" si="360"/>
        <v>0.74127763318288142</v>
      </c>
      <c r="N1887" s="5">
        <v>1</v>
      </c>
      <c r="O1887" s="10">
        <f t="shared" si="361"/>
        <v>0.74127763318288142</v>
      </c>
    </row>
    <row r="1888" spans="2:15" ht="13.5" customHeight="1">
      <c r="B1888" s="33">
        <f t="shared" si="364"/>
        <v>30</v>
      </c>
      <c r="C1888" s="25"/>
      <c r="D1888" s="25"/>
      <c r="F1888" s="30" t="s">
        <v>30</v>
      </c>
      <c r="G1888" s="36">
        <f t="shared" si="362"/>
        <v>19620</v>
      </c>
      <c r="H1888" s="36">
        <f t="shared" si="362"/>
        <v>5583.6</v>
      </c>
      <c r="I1888" s="36">
        <f t="shared" si="362"/>
        <v>9720</v>
      </c>
      <c r="J1888" s="36">
        <f t="shared" si="362"/>
        <v>1500</v>
      </c>
      <c r="K1888" s="36">
        <f t="shared" si="363"/>
        <v>36423.599999999999</v>
      </c>
      <c r="L1888" s="36">
        <v>27000</v>
      </c>
      <c r="M1888" s="9">
        <f t="shared" si="360"/>
        <v>0.74127763318288142</v>
      </c>
      <c r="N1888" s="5">
        <v>1</v>
      </c>
      <c r="O1888" s="10">
        <f t="shared" si="361"/>
        <v>0.74127763318288142</v>
      </c>
    </row>
    <row r="1889" spans="1:15" ht="13.5" customHeight="1">
      <c r="A1889" s="1" t="s">
        <v>1019</v>
      </c>
      <c r="B1889" s="33">
        <f t="shared" si="364"/>
        <v>31</v>
      </c>
      <c r="C1889" s="25"/>
      <c r="D1889" s="25"/>
      <c r="F1889" s="30" t="s">
        <v>30</v>
      </c>
      <c r="G1889" s="36">
        <f t="shared" si="362"/>
        <v>15822</v>
      </c>
      <c r="H1889" s="36">
        <f t="shared" si="362"/>
        <v>5583.6</v>
      </c>
      <c r="I1889" s="36">
        <f t="shared" si="362"/>
        <v>9720</v>
      </c>
      <c r="J1889" s="36">
        <f t="shared" si="362"/>
        <v>1500</v>
      </c>
      <c r="K1889" s="36">
        <v>11625</v>
      </c>
      <c r="L1889" s="36">
        <v>27000</v>
      </c>
      <c r="M1889" s="9">
        <f t="shared" si="360"/>
        <v>2.3225806451612905</v>
      </c>
      <c r="N1889" s="5">
        <v>1</v>
      </c>
      <c r="O1889" s="10">
        <f t="shared" si="361"/>
        <v>1</v>
      </c>
    </row>
    <row r="1890" spans="1:15" ht="13.5" customHeight="1">
      <c r="B1890" s="33">
        <f t="shared" si="364"/>
        <v>32</v>
      </c>
      <c r="C1890" s="25"/>
      <c r="D1890" s="25"/>
      <c r="F1890" s="30" t="s">
        <v>429</v>
      </c>
      <c r="G1890" s="36">
        <f t="shared" si="362"/>
        <v>3324</v>
      </c>
      <c r="H1890" s="36">
        <f t="shared" si="362"/>
        <v>5583.6</v>
      </c>
      <c r="I1890" s="36">
        <f t="shared" si="362"/>
        <v>23670</v>
      </c>
      <c r="J1890" s="36">
        <f t="shared" si="362"/>
        <v>1500</v>
      </c>
      <c r="K1890" s="36">
        <f t="shared" si="363"/>
        <v>34077.599999999999</v>
      </c>
      <c r="L1890" s="36">
        <v>27000</v>
      </c>
      <c r="M1890" s="9">
        <f t="shared" si="360"/>
        <v>0.7923093175575745</v>
      </c>
      <c r="N1890" s="5">
        <v>1</v>
      </c>
      <c r="O1890" s="10">
        <f t="shared" si="361"/>
        <v>0.7923093175575745</v>
      </c>
    </row>
    <row r="1891" spans="1:15" ht="13.5" customHeight="1">
      <c r="B1891" s="33">
        <f t="shared" si="364"/>
        <v>33</v>
      </c>
      <c r="C1891" s="25"/>
      <c r="D1891" s="25"/>
      <c r="F1891" s="30" t="s">
        <v>429</v>
      </c>
      <c r="G1891" s="36">
        <f t="shared" si="362"/>
        <v>1108</v>
      </c>
      <c r="H1891" s="36">
        <f t="shared" si="362"/>
        <v>1861.6</v>
      </c>
      <c r="I1891" s="36">
        <f t="shared" si="362"/>
        <v>7890</v>
      </c>
      <c r="J1891" s="36">
        <f t="shared" si="362"/>
        <v>500</v>
      </c>
      <c r="K1891" s="36">
        <f t="shared" si="363"/>
        <v>11359.6</v>
      </c>
      <c r="L1891" s="36">
        <v>27000</v>
      </c>
      <c r="M1891" s="9">
        <f t="shared" si="360"/>
        <v>2.376844255079404</v>
      </c>
      <c r="N1891" s="5">
        <v>1</v>
      </c>
      <c r="O1891" s="10">
        <f t="shared" si="361"/>
        <v>1</v>
      </c>
    </row>
    <row r="1892" spans="1:15" ht="13.5" customHeight="1">
      <c r="C1892" s="25"/>
      <c r="D1892" s="25"/>
      <c r="F1892" s="30"/>
      <c r="G1892" s="36"/>
      <c r="H1892" s="36"/>
      <c r="I1892" s="36"/>
      <c r="J1892" s="36"/>
      <c r="K1892" s="36"/>
      <c r="M1892" s="9"/>
      <c r="N1892" s="5"/>
      <c r="O1892" s="10"/>
    </row>
    <row r="1893" spans="1:15" ht="13.5" customHeight="1">
      <c r="A1893" s="1" t="s">
        <v>422</v>
      </c>
      <c r="B1893" s="33">
        <f>+B1859+1</f>
        <v>2</v>
      </c>
      <c r="C1893" s="25"/>
      <c r="D1893" s="25"/>
      <c r="F1893" s="30" t="s">
        <v>140</v>
      </c>
      <c r="G1893" s="36">
        <f>+G1824+G1788+G1752</f>
        <v>9600</v>
      </c>
      <c r="H1893" s="36">
        <f>+H1824+H1788+H1752</f>
        <v>5583.6</v>
      </c>
      <c r="I1893" s="36">
        <f>+I1824+I1788+I1752</f>
        <v>9720</v>
      </c>
      <c r="J1893" s="36">
        <f>+J1824+J1788+J1752</f>
        <v>500</v>
      </c>
      <c r="K1893" s="36">
        <f>SUM(G1893:J1893)</f>
        <v>25403.599999999999</v>
      </c>
      <c r="L1893" s="36">
        <v>27000</v>
      </c>
      <c r="M1893" s="9">
        <f>L1893/K1893</f>
        <v>1.0628414870333338</v>
      </c>
      <c r="N1893" s="5">
        <v>1</v>
      </c>
      <c r="O1893" s="10">
        <f>N1893*M1893</f>
        <v>1.0628414870333338</v>
      </c>
    </row>
    <row r="1894" spans="1:15" ht="17.25" customHeight="1">
      <c r="A1894" s="66" t="s">
        <v>45</v>
      </c>
      <c r="B1894" s="66"/>
      <c r="C1894" s="66"/>
      <c r="D1894" s="66"/>
      <c r="E1894" s="66"/>
      <c r="F1894" s="66"/>
      <c r="G1894" s="66"/>
      <c r="H1894" s="66"/>
      <c r="I1894" s="66"/>
      <c r="J1894" s="66"/>
      <c r="K1894" s="66"/>
      <c r="L1894" s="66"/>
      <c r="M1894" s="66"/>
      <c r="N1894" s="22">
        <f>SUM(N1859:N1891)</f>
        <v>33</v>
      </c>
      <c r="O1894" s="23">
        <f>SUM(O1859:O1891)</f>
        <v>30.295644252569485</v>
      </c>
    </row>
    <row r="1895" spans="1:15" ht="13.5" hidden="1" customHeight="1">
      <c r="A1895" s="44" t="s">
        <v>670</v>
      </c>
      <c r="B1895" s="44"/>
      <c r="C1895" s="44"/>
      <c r="D1895" s="44"/>
      <c r="E1895" s="44"/>
      <c r="F1895" s="44"/>
      <c r="G1895" s="44"/>
      <c r="H1895" s="44"/>
      <c r="I1895" s="44"/>
      <c r="J1895" s="44"/>
      <c r="K1895" s="44"/>
      <c r="L1895" s="44"/>
      <c r="M1895" s="44"/>
      <c r="N1895" s="44"/>
      <c r="O1895" s="44"/>
    </row>
    <row r="1896" spans="1:15" ht="13.5" hidden="1" customHeight="1">
      <c r="B1896" s="33">
        <v>1</v>
      </c>
      <c r="C1896" s="60" t="s">
        <v>599</v>
      </c>
      <c r="D1896" s="60" t="s">
        <v>522</v>
      </c>
      <c r="E1896" s="61"/>
      <c r="F1896" s="61" t="s">
        <v>213</v>
      </c>
      <c r="G1896" s="36">
        <f>333*21.5</f>
        <v>7159.5</v>
      </c>
      <c r="H1896" s="36">
        <v>1861</v>
      </c>
      <c r="I1896" s="36">
        <v>3760</v>
      </c>
      <c r="J1896" s="36">
        <v>500</v>
      </c>
      <c r="K1896" s="36">
        <f t="shared" ref="K1896:K1959" si="365">SUM(G1896:J1896)</f>
        <v>13280.5</v>
      </c>
      <c r="L1896" s="36">
        <v>13500</v>
      </c>
      <c r="M1896" s="9">
        <f t="shared" ref="M1896:M1959" si="366">L1896/K1896</f>
        <v>1.0165279921689696</v>
      </c>
      <c r="N1896" s="5">
        <v>1</v>
      </c>
      <c r="O1896" s="10">
        <f t="shared" ref="O1896:O1959" si="367">N1896*M1896</f>
        <v>1.0165279921689696</v>
      </c>
    </row>
    <row r="1897" spans="1:15" ht="13.5" hidden="1" customHeight="1">
      <c r="B1897" s="33">
        <f>+B1896+1</f>
        <v>2</v>
      </c>
      <c r="C1897" s="60" t="s">
        <v>611</v>
      </c>
      <c r="D1897" s="60" t="s">
        <v>535</v>
      </c>
      <c r="E1897" s="61"/>
      <c r="F1897" s="61" t="s">
        <v>213</v>
      </c>
      <c r="G1897" s="36">
        <f>333*21.5</f>
        <v>7159.5</v>
      </c>
      <c r="H1897" s="36">
        <v>1861</v>
      </c>
      <c r="I1897" s="36">
        <v>3760</v>
      </c>
      <c r="J1897" s="36">
        <v>500</v>
      </c>
      <c r="K1897" s="36">
        <f t="shared" si="365"/>
        <v>13280.5</v>
      </c>
      <c r="L1897" s="36">
        <v>13500</v>
      </c>
      <c r="M1897" s="9">
        <f t="shared" si="366"/>
        <v>1.0165279921689696</v>
      </c>
      <c r="N1897" s="5">
        <v>1</v>
      </c>
      <c r="O1897" s="10">
        <f t="shared" si="367"/>
        <v>1.0165279921689696</v>
      </c>
    </row>
    <row r="1898" spans="1:15" ht="13.5" hidden="1" customHeight="1">
      <c r="B1898" s="33">
        <f t="shared" ref="B1898:B1961" si="368">+B1897+1</f>
        <v>3</v>
      </c>
      <c r="C1898" s="60" t="s">
        <v>629</v>
      </c>
      <c r="D1898" s="60" t="s">
        <v>552</v>
      </c>
      <c r="E1898" s="61"/>
      <c r="F1898" s="61" t="s">
        <v>213</v>
      </c>
      <c r="G1898" s="36">
        <f t="shared" ref="G1898:G1901" si="369">333*21.5</f>
        <v>7159.5</v>
      </c>
      <c r="H1898" s="36">
        <v>1861</v>
      </c>
      <c r="I1898" s="36">
        <v>3760</v>
      </c>
      <c r="J1898" s="36">
        <v>500</v>
      </c>
      <c r="K1898" s="36">
        <f t="shared" si="365"/>
        <v>13280.5</v>
      </c>
      <c r="L1898" s="36">
        <v>13500</v>
      </c>
      <c r="M1898" s="9">
        <f t="shared" si="366"/>
        <v>1.0165279921689696</v>
      </c>
      <c r="N1898" s="5">
        <v>1</v>
      </c>
      <c r="O1898" s="10">
        <f t="shared" si="367"/>
        <v>1.0165279921689696</v>
      </c>
    </row>
    <row r="1899" spans="1:15" ht="13.5" hidden="1" customHeight="1">
      <c r="B1899" s="33">
        <f t="shared" si="368"/>
        <v>4</v>
      </c>
      <c r="C1899" s="60" t="s">
        <v>635</v>
      </c>
      <c r="D1899" s="60" t="s">
        <v>558</v>
      </c>
      <c r="E1899" s="61"/>
      <c r="F1899" s="61" t="s">
        <v>213</v>
      </c>
      <c r="G1899" s="36">
        <f t="shared" si="369"/>
        <v>7159.5</v>
      </c>
      <c r="H1899" s="36">
        <v>1861</v>
      </c>
      <c r="I1899" s="36">
        <v>3760</v>
      </c>
      <c r="J1899" s="36">
        <v>500</v>
      </c>
      <c r="K1899" s="36">
        <f t="shared" si="365"/>
        <v>13280.5</v>
      </c>
      <c r="L1899" s="36">
        <v>13500</v>
      </c>
      <c r="M1899" s="9">
        <f t="shared" si="366"/>
        <v>1.0165279921689696</v>
      </c>
      <c r="N1899" s="5">
        <v>1</v>
      </c>
      <c r="O1899" s="10">
        <f t="shared" si="367"/>
        <v>1.0165279921689696</v>
      </c>
    </row>
    <row r="1900" spans="1:15" ht="13.5" hidden="1" customHeight="1">
      <c r="B1900" s="33">
        <f t="shared" si="368"/>
        <v>5</v>
      </c>
      <c r="C1900" s="60" t="s">
        <v>663</v>
      </c>
      <c r="D1900" s="60" t="s">
        <v>586</v>
      </c>
      <c r="E1900" s="61"/>
      <c r="F1900" s="61" t="s">
        <v>213</v>
      </c>
      <c r="G1900" s="36">
        <f t="shared" si="369"/>
        <v>7159.5</v>
      </c>
      <c r="H1900" s="36">
        <v>1861</v>
      </c>
      <c r="I1900" s="36">
        <v>3760</v>
      </c>
      <c r="J1900" s="36">
        <v>500</v>
      </c>
      <c r="K1900" s="36">
        <f t="shared" si="365"/>
        <v>13280.5</v>
      </c>
      <c r="L1900" s="36">
        <v>13500</v>
      </c>
      <c r="M1900" s="9">
        <f t="shared" si="366"/>
        <v>1.0165279921689696</v>
      </c>
      <c r="N1900" s="5">
        <v>1</v>
      </c>
      <c r="O1900" s="10">
        <f t="shared" si="367"/>
        <v>1.0165279921689696</v>
      </c>
    </row>
    <row r="1901" spans="1:15" ht="13.5" hidden="1" customHeight="1">
      <c r="B1901" s="33">
        <f t="shared" si="368"/>
        <v>6</v>
      </c>
      <c r="C1901" s="60" t="s">
        <v>666</v>
      </c>
      <c r="D1901" s="60" t="s">
        <v>589</v>
      </c>
      <c r="E1901" s="61"/>
      <c r="F1901" s="61" t="s">
        <v>213</v>
      </c>
      <c r="G1901" s="36">
        <f t="shared" si="369"/>
        <v>7159.5</v>
      </c>
      <c r="H1901" s="36">
        <v>1861</v>
      </c>
      <c r="I1901" s="36">
        <v>3760</v>
      </c>
      <c r="J1901" s="36">
        <v>500</v>
      </c>
      <c r="K1901" s="36">
        <f t="shared" si="365"/>
        <v>13280.5</v>
      </c>
      <c r="L1901" s="36">
        <v>13500</v>
      </c>
      <c r="M1901" s="9">
        <f t="shared" si="366"/>
        <v>1.0165279921689696</v>
      </c>
      <c r="N1901" s="5">
        <v>1</v>
      </c>
      <c r="O1901" s="10">
        <f t="shared" si="367"/>
        <v>1.0165279921689696</v>
      </c>
    </row>
    <row r="1902" spans="1:15" ht="13.5" hidden="1" customHeight="1">
      <c r="B1902" s="33">
        <f t="shared" si="368"/>
        <v>7</v>
      </c>
      <c r="C1902" s="60" t="s">
        <v>648</v>
      </c>
      <c r="D1902" s="60" t="s">
        <v>570</v>
      </c>
      <c r="E1902" s="61"/>
      <c r="F1902" s="61" t="s">
        <v>140</v>
      </c>
      <c r="G1902" s="36">
        <f>300*15</f>
        <v>4500</v>
      </c>
      <c r="H1902" s="36">
        <v>1861</v>
      </c>
      <c r="I1902" s="36">
        <v>3240</v>
      </c>
      <c r="J1902" s="36">
        <v>500</v>
      </c>
      <c r="K1902" s="36">
        <f t="shared" si="365"/>
        <v>10101</v>
      </c>
      <c r="L1902" s="36">
        <v>13500</v>
      </c>
      <c r="M1902" s="9">
        <f t="shared" si="366"/>
        <v>1.3365013365013365</v>
      </c>
      <c r="N1902" s="5">
        <v>1</v>
      </c>
      <c r="O1902" s="10">
        <f t="shared" si="367"/>
        <v>1.3365013365013365</v>
      </c>
    </row>
    <row r="1903" spans="1:15" ht="13.5" hidden="1" customHeight="1">
      <c r="B1903" s="33">
        <f t="shared" si="368"/>
        <v>8</v>
      </c>
      <c r="C1903" s="60" t="s">
        <v>624</v>
      </c>
      <c r="D1903" s="60" t="s">
        <v>547</v>
      </c>
      <c r="E1903" s="61"/>
      <c r="F1903" s="61" t="s">
        <v>428</v>
      </c>
      <c r="G1903" s="36">
        <f>277*6</f>
        <v>1662</v>
      </c>
      <c r="H1903" s="36">
        <v>1861</v>
      </c>
      <c r="I1903" s="36">
        <v>7890</v>
      </c>
      <c r="J1903" s="36">
        <v>500</v>
      </c>
      <c r="K1903" s="36">
        <f t="shared" si="365"/>
        <v>11913</v>
      </c>
      <c r="L1903" s="36">
        <v>13500</v>
      </c>
      <c r="M1903" s="9">
        <f t="shared" si="366"/>
        <v>1.1332158146562579</v>
      </c>
      <c r="N1903" s="5">
        <v>1</v>
      </c>
      <c r="O1903" s="10">
        <f t="shared" si="367"/>
        <v>1.1332158146562579</v>
      </c>
    </row>
    <row r="1904" spans="1:15" ht="13.5" hidden="1" customHeight="1">
      <c r="B1904" s="33">
        <f t="shared" si="368"/>
        <v>9</v>
      </c>
      <c r="C1904" s="60" t="s">
        <v>651</v>
      </c>
      <c r="D1904" s="60" t="s">
        <v>573</v>
      </c>
      <c r="E1904" s="61"/>
      <c r="F1904" s="61" t="s">
        <v>41</v>
      </c>
      <c r="G1904" s="36">
        <f>333*20</f>
        <v>6660</v>
      </c>
      <c r="H1904" s="36">
        <v>1861</v>
      </c>
      <c r="I1904" s="36">
        <v>3790</v>
      </c>
      <c r="J1904" s="36">
        <v>500</v>
      </c>
      <c r="K1904" s="36">
        <f t="shared" si="365"/>
        <v>12811</v>
      </c>
      <c r="L1904" s="36">
        <v>13500</v>
      </c>
      <c r="M1904" s="9">
        <f t="shared" si="366"/>
        <v>1.0537819061743814</v>
      </c>
      <c r="N1904" s="5">
        <v>1</v>
      </c>
      <c r="O1904" s="10">
        <f t="shared" si="367"/>
        <v>1.0537819061743814</v>
      </c>
    </row>
    <row r="1905" spans="2:15" ht="13.5" hidden="1" customHeight="1">
      <c r="B1905" s="33">
        <f t="shared" si="368"/>
        <v>10</v>
      </c>
      <c r="C1905" s="60" t="s">
        <v>656</v>
      </c>
      <c r="D1905" s="60" t="s">
        <v>579</v>
      </c>
      <c r="E1905" s="61"/>
      <c r="F1905" s="61" t="s">
        <v>41</v>
      </c>
      <c r="G1905" s="36">
        <f>333*15.5</f>
        <v>5161.5</v>
      </c>
      <c r="H1905" s="36">
        <v>1861</v>
      </c>
      <c r="I1905" s="36">
        <v>3790</v>
      </c>
      <c r="J1905" s="36">
        <v>500</v>
      </c>
      <c r="K1905" s="36">
        <f t="shared" si="365"/>
        <v>11312.5</v>
      </c>
      <c r="L1905" s="36">
        <v>13500</v>
      </c>
      <c r="M1905" s="9">
        <f t="shared" si="366"/>
        <v>1.1933701657458564</v>
      </c>
      <c r="N1905" s="5">
        <v>1</v>
      </c>
      <c r="O1905" s="10">
        <f t="shared" si="367"/>
        <v>1.1933701657458564</v>
      </c>
    </row>
    <row r="1906" spans="2:15" ht="13.5" hidden="1" customHeight="1">
      <c r="B1906" s="33">
        <f t="shared" si="368"/>
        <v>11</v>
      </c>
      <c r="C1906" s="60" t="s">
        <v>661</v>
      </c>
      <c r="D1906" s="60" t="s">
        <v>584</v>
      </c>
      <c r="E1906" s="61"/>
      <c r="F1906" s="61" t="s">
        <v>41</v>
      </c>
      <c r="G1906" s="36">
        <f>333*15.5</f>
        <v>5161.5</v>
      </c>
      <c r="H1906" s="36">
        <v>1861</v>
      </c>
      <c r="I1906" s="36">
        <v>3790</v>
      </c>
      <c r="J1906" s="36">
        <v>500</v>
      </c>
      <c r="K1906" s="36">
        <f t="shared" si="365"/>
        <v>11312.5</v>
      </c>
      <c r="L1906" s="36">
        <v>13500</v>
      </c>
      <c r="M1906" s="9">
        <f t="shared" si="366"/>
        <v>1.1933701657458564</v>
      </c>
      <c r="N1906" s="5">
        <v>1</v>
      </c>
      <c r="O1906" s="10">
        <f t="shared" si="367"/>
        <v>1.1933701657458564</v>
      </c>
    </row>
    <row r="1907" spans="2:15" ht="13.5" hidden="1" customHeight="1">
      <c r="B1907" s="33">
        <f t="shared" si="368"/>
        <v>12</v>
      </c>
      <c r="C1907" s="60" t="s">
        <v>660</v>
      </c>
      <c r="D1907" s="60" t="s">
        <v>583</v>
      </c>
      <c r="E1907" s="61"/>
      <c r="F1907" s="61" t="s">
        <v>42</v>
      </c>
      <c r="G1907" s="36">
        <f>333*20</f>
        <v>6660</v>
      </c>
      <c r="H1907" s="36">
        <v>1861</v>
      </c>
      <c r="I1907" s="36">
        <v>3240</v>
      </c>
      <c r="J1907" s="36">
        <v>500</v>
      </c>
      <c r="K1907" s="36">
        <f t="shared" si="365"/>
        <v>12261</v>
      </c>
      <c r="L1907" s="36">
        <v>13500</v>
      </c>
      <c r="M1907" s="9">
        <f t="shared" si="366"/>
        <v>1.1010521164668461</v>
      </c>
      <c r="N1907" s="5">
        <v>1</v>
      </c>
      <c r="O1907" s="10">
        <f t="shared" si="367"/>
        <v>1.1010521164668461</v>
      </c>
    </row>
    <row r="1908" spans="2:15" ht="13.5" hidden="1" customHeight="1">
      <c r="B1908" s="33">
        <f t="shared" si="368"/>
        <v>13</v>
      </c>
      <c r="C1908" s="60" t="s">
        <v>657</v>
      </c>
      <c r="D1908" s="60" t="s">
        <v>580</v>
      </c>
      <c r="E1908" s="61"/>
      <c r="F1908" s="61" t="s">
        <v>25</v>
      </c>
      <c r="G1908" s="36">
        <f>300*21</f>
        <v>6300</v>
      </c>
      <c r="H1908" s="36">
        <v>1861</v>
      </c>
      <c r="I1908" s="36">
        <v>3240</v>
      </c>
      <c r="J1908" s="36">
        <v>500</v>
      </c>
      <c r="K1908" s="36">
        <f t="shared" si="365"/>
        <v>11901</v>
      </c>
      <c r="L1908" s="36">
        <v>13500</v>
      </c>
      <c r="M1908" s="9">
        <f t="shared" si="366"/>
        <v>1.1343584572724981</v>
      </c>
      <c r="N1908" s="5">
        <v>1</v>
      </c>
      <c r="O1908" s="10">
        <f t="shared" si="367"/>
        <v>1.1343584572724981</v>
      </c>
    </row>
    <row r="1909" spans="2:15" ht="13.5" hidden="1" customHeight="1">
      <c r="B1909" s="33">
        <f t="shared" si="368"/>
        <v>14</v>
      </c>
      <c r="C1909" s="60" t="s">
        <v>604</v>
      </c>
      <c r="D1909" s="60" t="s">
        <v>528</v>
      </c>
      <c r="E1909" s="61"/>
      <c r="F1909" s="61" t="s">
        <v>417</v>
      </c>
      <c r="G1909" s="36">
        <f>277*3</f>
        <v>831</v>
      </c>
      <c r="H1909" s="36">
        <v>1861</v>
      </c>
      <c r="I1909" s="36">
        <v>7890</v>
      </c>
      <c r="J1909" s="36">
        <v>500</v>
      </c>
      <c r="K1909" s="36">
        <f t="shared" si="365"/>
        <v>11082</v>
      </c>
      <c r="L1909" s="36">
        <v>13500</v>
      </c>
      <c r="M1909" s="9">
        <f t="shared" si="366"/>
        <v>1.2181916621548456</v>
      </c>
      <c r="N1909" s="5">
        <v>1</v>
      </c>
      <c r="O1909" s="10">
        <f t="shared" si="367"/>
        <v>1.2181916621548456</v>
      </c>
    </row>
    <row r="1910" spans="2:15" ht="13.5" hidden="1" customHeight="1">
      <c r="B1910" s="33">
        <f t="shared" si="368"/>
        <v>15</v>
      </c>
      <c r="C1910" s="60" t="s">
        <v>594</v>
      </c>
      <c r="D1910" s="60" t="s">
        <v>513</v>
      </c>
      <c r="E1910" s="61"/>
      <c r="F1910" s="61" t="s">
        <v>417</v>
      </c>
      <c r="G1910" s="36">
        <f>277*3</f>
        <v>831</v>
      </c>
      <c r="H1910" s="36">
        <v>1861</v>
      </c>
      <c r="I1910" s="36">
        <v>7890</v>
      </c>
      <c r="J1910" s="36">
        <v>500</v>
      </c>
      <c r="K1910" s="36">
        <f t="shared" si="365"/>
        <v>11082</v>
      </c>
      <c r="L1910" s="36">
        <v>13500</v>
      </c>
      <c r="M1910" s="9">
        <f t="shared" si="366"/>
        <v>1.2181916621548456</v>
      </c>
      <c r="N1910" s="5">
        <v>1</v>
      </c>
      <c r="O1910" s="10">
        <f t="shared" si="367"/>
        <v>1.2181916621548456</v>
      </c>
    </row>
    <row r="1911" spans="2:15" ht="13.5" hidden="1" customHeight="1">
      <c r="B1911" s="33">
        <f t="shared" si="368"/>
        <v>16</v>
      </c>
      <c r="C1911" s="60" t="s">
        <v>616</v>
      </c>
      <c r="D1911" s="60" t="s">
        <v>540</v>
      </c>
      <c r="E1911" s="61"/>
      <c r="F1911" s="61" t="s">
        <v>159</v>
      </c>
      <c r="G1911" s="36">
        <f>333*19</f>
        <v>6327</v>
      </c>
      <c r="H1911" s="36">
        <v>1861</v>
      </c>
      <c r="I1911" s="36">
        <v>3240</v>
      </c>
      <c r="J1911" s="36">
        <v>900</v>
      </c>
      <c r="K1911" s="36">
        <f t="shared" si="365"/>
        <v>12328</v>
      </c>
      <c r="L1911" s="36">
        <v>13500</v>
      </c>
      <c r="M1911" s="9">
        <f t="shared" si="366"/>
        <v>1.0950681375730045</v>
      </c>
      <c r="N1911" s="5">
        <v>1</v>
      </c>
      <c r="O1911" s="10">
        <f t="shared" si="367"/>
        <v>1.0950681375730045</v>
      </c>
    </row>
    <row r="1912" spans="2:15" ht="13.5" hidden="1" customHeight="1">
      <c r="B1912" s="33">
        <f t="shared" si="368"/>
        <v>17</v>
      </c>
      <c r="C1912" s="60" t="s">
        <v>628</v>
      </c>
      <c r="D1912" s="60" t="s">
        <v>551</v>
      </c>
      <c r="E1912" s="61"/>
      <c r="F1912" s="61" t="s">
        <v>159</v>
      </c>
      <c r="G1912" s="36">
        <f t="shared" ref="G1912:G1915" si="370">333*19</f>
        <v>6327</v>
      </c>
      <c r="H1912" s="36">
        <v>1861</v>
      </c>
      <c r="I1912" s="36">
        <v>3240</v>
      </c>
      <c r="J1912" s="36">
        <v>900</v>
      </c>
      <c r="K1912" s="36">
        <f t="shared" si="365"/>
        <v>12328</v>
      </c>
      <c r="L1912" s="36">
        <v>13500</v>
      </c>
      <c r="M1912" s="9">
        <f t="shared" si="366"/>
        <v>1.0950681375730045</v>
      </c>
      <c r="N1912" s="5">
        <v>1</v>
      </c>
      <c r="O1912" s="10">
        <f t="shared" si="367"/>
        <v>1.0950681375730045</v>
      </c>
    </row>
    <row r="1913" spans="2:15" ht="13.5" hidden="1" customHeight="1">
      <c r="B1913" s="33">
        <f t="shared" si="368"/>
        <v>18</v>
      </c>
      <c r="C1913" s="60" t="s">
        <v>650</v>
      </c>
      <c r="D1913" s="60" t="s">
        <v>572</v>
      </c>
      <c r="E1913" s="61"/>
      <c r="F1913" s="61" t="s">
        <v>159</v>
      </c>
      <c r="G1913" s="36">
        <f t="shared" si="370"/>
        <v>6327</v>
      </c>
      <c r="H1913" s="36">
        <v>1861</v>
      </c>
      <c r="I1913" s="36">
        <v>3240</v>
      </c>
      <c r="J1913" s="36">
        <v>900</v>
      </c>
      <c r="K1913" s="36">
        <f t="shared" si="365"/>
        <v>12328</v>
      </c>
      <c r="L1913" s="36">
        <v>13500</v>
      </c>
      <c r="M1913" s="9">
        <f t="shared" si="366"/>
        <v>1.0950681375730045</v>
      </c>
      <c r="N1913" s="5">
        <v>1</v>
      </c>
      <c r="O1913" s="10">
        <f t="shared" si="367"/>
        <v>1.0950681375730045</v>
      </c>
    </row>
    <row r="1914" spans="2:15" ht="13.5" hidden="1" customHeight="1">
      <c r="B1914" s="33">
        <f t="shared" si="368"/>
        <v>19</v>
      </c>
      <c r="C1914" s="60" t="s">
        <v>662</v>
      </c>
      <c r="D1914" s="60" t="s">
        <v>585</v>
      </c>
      <c r="E1914" s="61"/>
      <c r="F1914" s="61" t="s">
        <v>159</v>
      </c>
      <c r="G1914" s="36">
        <f t="shared" si="370"/>
        <v>6327</v>
      </c>
      <c r="H1914" s="36">
        <v>1861</v>
      </c>
      <c r="I1914" s="36">
        <v>3240</v>
      </c>
      <c r="J1914" s="36">
        <v>900</v>
      </c>
      <c r="K1914" s="36">
        <f t="shared" si="365"/>
        <v>12328</v>
      </c>
      <c r="L1914" s="36">
        <v>13500</v>
      </c>
      <c r="M1914" s="9">
        <f t="shared" si="366"/>
        <v>1.0950681375730045</v>
      </c>
      <c r="N1914" s="5">
        <v>1</v>
      </c>
      <c r="O1914" s="10">
        <f t="shared" si="367"/>
        <v>1.0950681375730045</v>
      </c>
    </row>
    <row r="1915" spans="2:15" ht="13.5" hidden="1" customHeight="1">
      <c r="B1915" s="33">
        <f t="shared" si="368"/>
        <v>20</v>
      </c>
      <c r="C1915" s="60" t="s">
        <v>160</v>
      </c>
      <c r="D1915" s="60" t="s">
        <v>515</v>
      </c>
      <c r="E1915" s="61"/>
      <c r="F1915" s="61" t="s">
        <v>159</v>
      </c>
      <c r="G1915" s="36">
        <f t="shared" si="370"/>
        <v>6327</v>
      </c>
      <c r="H1915" s="36">
        <v>1861</v>
      </c>
      <c r="I1915" s="36">
        <v>3240</v>
      </c>
      <c r="J1915" s="36">
        <v>900</v>
      </c>
      <c r="K1915" s="36">
        <f t="shared" si="365"/>
        <v>12328</v>
      </c>
      <c r="L1915" s="36">
        <v>13500</v>
      </c>
      <c r="M1915" s="9">
        <f t="shared" si="366"/>
        <v>1.0950681375730045</v>
      </c>
      <c r="N1915" s="5">
        <v>1</v>
      </c>
      <c r="O1915" s="10">
        <f t="shared" si="367"/>
        <v>1.0950681375730045</v>
      </c>
    </row>
    <row r="1916" spans="2:15" ht="13.5" hidden="1" customHeight="1">
      <c r="B1916" s="33">
        <f t="shared" si="368"/>
        <v>21</v>
      </c>
      <c r="C1916" s="60" t="s">
        <v>623</v>
      </c>
      <c r="D1916" s="60" t="s">
        <v>150</v>
      </c>
      <c r="E1916" s="61"/>
      <c r="F1916" s="61" t="s">
        <v>37</v>
      </c>
      <c r="G1916" s="36">
        <f>333*20</f>
        <v>6660</v>
      </c>
      <c r="H1916" s="36">
        <v>1861</v>
      </c>
      <c r="I1916" s="36">
        <v>3240</v>
      </c>
      <c r="J1916" s="36">
        <v>500</v>
      </c>
      <c r="K1916" s="36">
        <f t="shared" si="365"/>
        <v>12261</v>
      </c>
      <c r="L1916" s="36">
        <v>13500</v>
      </c>
      <c r="M1916" s="9">
        <f t="shared" si="366"/>
        <v>1.1010521164668461</v>
      </c>
      <c r="N1916" s="5">
        <v>1</v>
      </c>
      <c r="O1916" s="10">
        <f t="shared" si="367"/>
        <v>1.1010521164668461</v>
      </c>
    </row>
    <row r="1917" spans="2:15" ht="13.5" hidden="1" customHeight="1">
      <c r="B1917" s="33">
        <f t="shared" si="368"/>
        <v>22</v>
      </c>
      <c r="C1917" s="60" t="s">
        <v>644</v>
      </c>
      <c r="D1917" s="60" t="s">
        <v>153</v>
      </c>
      <c r="E1917" s="61"/>
      <c r="F1917" s="61" t="s">
        <v>37</v>
      </c>
      <c r="G1917" s="36">
        <f>333*20</f>
        <v>6660</v>
      </c>
      <c r="H1917" s="36">
        <v>1861</v>
      </c>
      <c r="I1917" s="36">
        <v>3240</v>
      </c>
      <c r="J1917" s="36">
        <v>500</v>
      </c>
      <c r="K1917" s="36">
        <f t="shared" si="365"/>
        <v>12261</v>
      </c>
      <c r="L1917" s="36">
        <v>13500</v>
      </c>
      <c r="M1917" s="9">
        <f t="shared" si="366"/>
        <v>1.1010521164668461</v>
      </c>
      <c r="N1917" s="5">
        <v>1</v>
      </c>
      <c r="O1917" s="10">
        <f t="shared" si="367"/>
        <v>1.1010521164668461</v>
      </c>
    </row>
    <row r="1918" spans="2:15" ht="13.5" hidden="1" customHeight="1">
      <c r="B1918" s="33">
        <f t="shared" si="368"/>
        <v>23</v>
      </c>
      <c r="C1918" s="60" t="s">
        <v>599</v>
      </c>
      <c r="D1918" s="60" t="s">
        <v>521</v>
      </c>
      <c r="E1918" s="61"/>
      <c r="F1918" s="61" t="s">
        <v>511</v>
      </c>
      <c r="G1918" s="36">
        <f>333*18.5</f>
        <v>6160.5</v>
      </c>
      <c r="H1918" s="36">
        <v>1861</v>
      </c>
      <c r="I1918" s="36">
        <v>3790</v>
      </c>
      <c r="J1918" s="36">
        <v>750</v>
      </c>
      <c r="K1918" s="36">
        <f t="shared" si="365"/>
        <v>12561.5</v>
      </c>
      <c r="L1918" s="36">
        <v>13500</v>
      </c>
      <c r="M1918" s="9">
        <f t="shared" si="366"/>
        <v>1.0747124149186005</v>
      </c>
      <c r="N1918" s="5">
        <v>1</v>
      </c>
      <c r="O1918" s="10">
        <f t="shared" si="367"/>
        <v>1.0747124149186005</v>
      </c>
    </row>
    <row r="1919" spans="2:15" ht="13.5" hidden="1" customHeight="1">
      <c r="B1919" s="33">
        <f t="shared" si="368"/>
        <v>24</v>
      </c>
      <c r="C1919" s="60" t="s">
        <v>602</v>
      </c>
      <c r="D1919" s="60" t="s">
        <v>525</v>
      </c>
      <c r="E1919" s="61"/>
      <c r="F1919" s="61" t="s">
        <v>511</v>
      </c>
      <c r="G1919" s="36">
        <f t="shared" ref="G1919:G1931" si="371">333*18.5</f>
        <v>6160.5</v>
      </c>
      <c r="H1919" s="36">
        <v>1861</v>
      </c>
      <c r="I1919" s="36">
        <v>3790</v>
      </c>
      <c r="J1919" s="36">
        <v>750</v>
      </c>
      <c r="K1919" s="36">
        <f t="shared" si="365"/>
        <v>12561.5</v>
      </c>
      <c r="L1919" s="36">
        <v>13500</v>
      </c>
      <c r="M1919" s="9">
        <f t="shared" si="366"/>
        <v>1.0747124149186005</v>
      </c>
      <c r="N1919" s="5">
        <v>1</v>
      </c>
      <c r="O1919" s="10">
        <f t="shared" si="367"/>
        <v>1.0747124149186005</v>
      </c>
    </row>
    <row r="1920" spans="2:15" ht="13.5" hidden="1" customHeight="1">
      <c r="B1920" s="33">
        <f t="shared" si="368"/>
        <v>25</v>
      </c>
      <c r="C1920" s="60" t="s">
        <v>609</v>
      </c>
      <c r="D1920" s="60" t="s">
        <v>533</v>
      </c>
      <c r="E1920" s="61"/>
      <c r="F1920" s="61" t="s">
        <v>511</v>
      </c>
      <c r="G1920" s="36">
        <f t="shared" si="371"/>
        <v>6160.5</v>
      </c>
      <c r="H1920" s="36">
        <v>1861</v>
      </c>
      <c r="I1920" s="36">
        <v>3790</v>
      </c>
      <c r="J1920" s="36">
        <v>750</v>
      </c>
      <c r="K1920" s="36">
        <f t="shared" si="365"/>
        <v>12561.5</v>
      </c>
      <c r="L1920" s="36">
        <v>13500</v>
      </c>
      <c r="M1920" s="9">
        <f t="shared" si="366"/>
        <v>1.0747124149186005</v>
      </c>
      <c r="N1920" s="5">
        <v>1</v>
      </c>
      <c r="O1920" s="10">
        <f t="shared" si="367"/>
        <v>1.0747124149186005</v>
      </c>
    </row>
    <row r="1921" spans="2:15" ht="13.5" hidden="1" customHeight="1">
      <c r="B1921" s="33">
        <f t="shared" si="368"/>
        <v>26</v>
      </c>
      <c r="C1921" s="60" t="s">
        <v>612</v>
      </c>
      <c r="D1921" s="60" t="s">
        <v>536</v>
      </c>
      <c r="E1921" s="61"/>
      <c r="F1921" s="61" t="s">
        <v>511</v>
      </c>
      <c r="G1921" s="36">
        <f t="shared" si="371"/>
        <v>6160.5</v>
      </c>
      <c r="H1921" s="36">
        <v>1861</v>
      </c>
      <c r="I1921" s="36">
        <v>3790</v>
      </c>
      <c r="J1921" s="36">
        <v>750</v>
      </c>
      <c r="K1921" s="36">
        <f t="shared" si="365"/>
        <v>12561.5</v>
      </c>
      <c r="L1921" s="36">
        <v>13500</v>
      </c>
      <c r="M1921" s="9">
        <f t="shared" si="366"/>
        <v>1.0747124149186005</v>
      </c>
      <c r="N1921" s="5">
        <v>1</v>
      </c>
      <c r="O1921" s="10">
        <f t="shared" si="367"/>
        <v>1.0747124149186005</v>
      </c>
    </row>
    <row r="1922" spans="2:15" ht="13.5" hidden="1" customHeight="1">
      <c r="B1922" s="33">
        <f t="shared" si="368"/>
        <v>27</v>
      </c>
      <c r="C1922" s="60" t="s">
        <v>613</v>
      </c>
      <c r="D1922" s="60" t="s">
        <v>537</v>
      </c>
      <c r="E1922" s="61"/>
      <c r="F1922" s="61" t="s">
        <v>511</v>
      </c>
      <c r="G1922" s="36">
        <f t="shared" si="371"/>
        <v>6160.5</v>
      </c>
      <c r="H1922" s="36">
        <v>1861</v>
      </c>
      <c r="I1922" s="36">
        <v>3790</v>
      </c>
      <c r="J1922" s="36">
        <v>750</v>
      </c>
      <c r="K1922" s="36">
        <f t="shared" si="365"/>
        <v>12561.5</v>
      </c>
      <c r="L1922" s="36">
        <v>13500</v>
      </c>
      <c r="M1922" s="9">
        <f t="shared" si="366"/>
        <v>1.0747124149186005</v>
      </c>
      <c r="N1922" s="5">
        <v>1</v>
      </c>
      <c r="O1922" s="10">
        <f t="shared" si="367"/>
        <v>1.0747124149186005</v>
      </c>
    </row>
    <row r="1923" spans="2:15" ht="13.5" hidden="1" customHeight="1">
      <c r="B1923" s="33">
        <f t="shared" si="368"/>
        <v>28</v>
      </c>
      <c r="C1923" s="60" t="s">
        <v>615</v>
      </c>
      <c r="D1923" s="60" t="s">
        <v>539</v>
      </c>
      <c r="E1923" s="61"/>
      <c r="F1923" s="61" t="s">
        <v>511</v>
      </c>
      <c r="G1923" s="36">
        <f t="shared" si="371"/>
        <v>6160.5</v>
      </c>
      <c r="H1923" s="36">
        <v>1861</v>
      </c>
      <c r="I1923" s="36">
        <v>3790</v>
      </c>
      <c r="J1923" s="36">
        <v>750</v>
      </c>
      <c r="K1923" s="36">
        <f t="shared" si="365"/>
        <v>12561.5</v>
      </c>
      <c r="L1923" s="36">
        <v>13500</v>
      </c>
      <c r="M1923" s="9">
        <f t="shared" si="366"/>
        <v>1.0747124149186005</v>
      </c>
      <c r="N1923" s="5">
        <v>1</v>
      </c>
      <c r="O1923" s="10">
        <f t="shared" si="367"/>
        <v>1.0747124149186005</v>
      </c>
    </row>
    <row r="1924" spans="2:15" ht="13.5" hidden="1" customHeight="1">
      <c r="B1924" s="33">
        <f t="shared" si="368"/>
        <v>29</v>
      </c>
      <c r="C1924" s="60" t="s">
        <v>620</v>
      </c>
      <c r="D1924" s="60" t="s">
        <v>544</v>
      </c>
      <c r="E1924" s="61"/>
      <c r="F1924" s="61" t="s">
        <v>511</v>
      </c>
      <c r="G1924" s="36">
        <f t="shared" si="371"/>
        <v>6160.5</v>
      </c>
      <c r="H1924" s="36">
        <v>1861</v>
      </c>
      <c r="I1924" s="36">
        <v>3790</v>
      </c>
      <c r="J1924" s="36">
        <v>750</v>
      </c>
      <c r="K1924" s="36">
        <f t="shared" si="365"/>
        <v>12561.5</v>
      </c>
      <c r="L1924" s="36">
        <v>13500</v>
      </c>
      <c r="M1924" s="9">
        <f t="shared" si="366"/>
        <v>1.0747124149186005</v>
      </c>
      <c r="N1924" s="5">
        <v>1</v>
      </c>
      <c r="O1924" s="10">
        <f t="shared" si="367"/>
        <v>1.0747124149186005</v>
      </c>
    </row>
    <row r="1925" spans="2:15" ht="13.5" hidden="1" customHeight="1">
      <c r="B1925" s="33">
        <f t="shared" si="368"/>
        <v>30</v>
      </c>
      <c r="C1925" s="60" t="s">
        <v>627</v>
      </c>
      <c r="D1925" s="60" t="s">
        <v>550</v>
      </c>
      <c r="E1925" s="61"/>
      <c r="F1925" s="61" t="s">
        <v>511</v>
      </c>
      <c r="G1925" s="36">
        <f>333*21</f>
        <v>6993</v>
      </c>
      <c r="H1925" s="36">
        <v>1861</v>
      </c>
      <c r="I1925" s="36">
        <v>3790</v>
      </c>
      <c r="J1925" s="36">
        <v>750</v>
      </c>
      <c r="K1925" s="36">
        <f t="shared" si="365"/>
        <v>13394</v>
      </c>
      <c r="L1925" s="36">
        <v>13500</v>
      </c>
      <c r="M1925" s="9">
        <f t="shared" si="366"/>
        <v>1.0079139913394057</v>
      </c>
      <c r="N1925" s="5">
        <v>1</v>
      </c>
      <c r="O1925" s="10">
        <f t="shared" si="367"/>
        <v>1.0079139913394057</v>
      </c>
    </row>
    <row r="1926" spans="2:15" ht="13.5" hidden="1" customHeight="1">
      <c r="B1926" s="33">
        <f t="shared" si="368"/>
        <v>31</v>
      </c>
      <c r="C1926" s="60" t="s">
        <v>642</v>
      </c>
      <c r="D1926" s="60" t="s">
        <v>565</v>
      </c>
      <c r="E1926" s="61"/>
      <c r="F1926" s="61" t="s">
        <v>511</v>
      </c>
      <c r="G1926" s="36">
        <f t="shared" si="371"/>
        <v>6160.5</v>
      </c>
      <c r="H1926" s="36">
        <v>1861</v>
      </c>
      <c r="I1926" s="36">
        <v>3790</v>
      </c>
      <c r="J1926" s="36">
        <v>750</v>
      </c>
      <c r="K1926" s="36">
        <f t="shared" si="365"/>
        <v>12561.5</v>
      </c>
      <c r="L1926" s="36">
        <v>13500</v>
      </c>
      <c r="M1926" s="9">
        <f t="shared" si="366"/>
        <v>1.0747124149186005</v>
      </c>
      <c r="N1926" s="5">
        <v>1</v>
      </c>
      <c r="O1926" s="10">
        <f t="shared" si="367"/>
        <v>1.0747124149186005</v>
      </c>
    </row>
    <row r="1927" spans="2:15" ht="13.5" hidden="1" customHeight="1">
      <c r="B1927" s="33">
        <f t="shared" si="368"/>
        <v>32</v>
      </c>
      <c r="C1927" s="60" t="s">
        <v>646</v>
      </c>
      <c r="D1927" s="60" t="s">
        <v>568</v>
      </c>
      <c r="E1927" s="61"/>
      <c r="F1927" s="61" t="s">
        <v>511</v>
      </c>
      <c r="G1927" s="36">
        <f t="shared" si="371"/>
        <v>6160.5</v>
      </c>
      <c r="H1927" s="36">
        <v>1861</v>
      </c>
      <c r="I1927" s="36">
        <v>3790</v>
      </c>
      <c r="J1927" s="36">
        <v>750</v>
      </c>
      <c r="K1927" s="36">
        <f t="shared" si="365"/>
        <v>12561.5</v>
      </c>
      <c r="L1927" s="36">
        <v>13500</v>
      </c>
      <c r="M1927" s="9">
        <f t="shared" si="366"/>
        <v>1.0747124149186005</v>
      </c>
      <c r="N1927" s="5">
        <v>1</v>
      </c>
      <c r="O1927" s="10">
        <f t="shared" si="367"/>
        <v>1.0747124149186005</v>
      </c>
    </row>
    <row r="1928" spans="2:15" ht="13.5" hidden="1" customHeight="1">
      <c r="B1928" s="33">
        <f t="shared" si="368"/>
        <v>33</v>
      </c>
      <c r="C1928" s="60" t="s">
        <v>647</v>
      </c>
      <c r="D1928" s="60" t="s">
        <v>569</v>
      </c>
      <c r="E1928" s="61"/>
      <c r="F1928" s="61" t="s">
        <v>511</v>
      </c>
      <c r="G1928" s="36">
        <f>333*18</f>
        <v>5994</v>
      </c>
      <c r="H1928" s="36">
        <v>1861</v>
      </c>
      <c r="I1928" s="36">
        <v>3790</v>
      </c>
      <c r="J1928" s="36">
        <v>750</v>
      </c>
      <c r="K1928" s="36">
        <f t="shared" si="365"/>
        <v>12395</v>
      </c>
      <c r="L1928" s="36">
        <v>13500</v>
      </c>
      <c r="M1928" s="9">
        <f t="shared" si="366"/>
        <v>1.0891488503428801</v>
      </c>
      <c r="N1928" s="5">
        <v>1</v>
      </c>
      <c r="O1928" s="10">
        <f t="shared" si="367"/>
        <v>1.0891488503428801</v>
      </c>
    </row>
    <row r="1929" spans="2:15" ht="13.5" hidden="1" customHeight="1">
      <c r="B1929" s="33">
        <f t="shared" si="368"/>
        <v>34</v>
      </c>
      <c r="C1929" s="60" t="s">
        <v>653</v>
      </c>
      <c r="D1929" s="60" t="s">
        <v>575</v>
      </c>
      <c r="E1929" s="61"/>
      <c r="F1929" s="61" t="s">
        <v>511</v>
      </c>
      <c r="G1929" s="36">
        <f t="shared" si="371"/>
        <v>6160.5</v>
      </c>
      <c r="H1929" s="36">
        <v>1861</v>
      </c>
      <c r="I1929" s="36">
        <v>3790</v>
      </c>
      <c r="J1929" s="36">
        <v>750</v>
      </c>
      <c r="K1929" s="36">
        <f t="shared" si="365"/>
        <v>12561.5</v>
      </c>
      <c r="L1929" s="36">
        <v>13500</v>
      </c>
      <c r="M1929" s="9">
        <f t="shared" si="366"/>
        <v>1.0747124149186005</v>
      </c>
      <c r="N1929" s="5">
        <v>1</v>
      </c>
      <c r="O1929" s="10">
        <f t="shared" si="367"/>
        <v>1.0747124149186005</v>
      </c>
    </row>
    <row r="1930" spans="2:15" ht="13.5" hidden="1" customHeight="1">
      <c r="B1930" s="33">
        <f t="shared" si="368"/>
        <v>35</v>
      </c>
      <c r="C1930" s="60" t="s">
        <v>654</v>
      </c>
      <c r="D1930" s="60" t="s">
        <v>577</v>
      </c>
      <c r="E1930" s="61"/>
      <c r="F1930" s="61" t="s">
        <v>511</v>
      </c>
      <c r="G1930" s="36">
        <f t="shared" si="371"/>
        <v>6160.5</v>
      </c>
      <c r="H1930" s="36">
        <v>1861</v>
      </c>
      <c r="I1930" s="36">
        <v>3790</v>
      </c>
      <c r="J1930" s="36">
        <v>750</v>
      </c>
      <c r="K1930" s="36">
        <f t="shared" si="365"/>
        <v>12561.5</v>
      </c>
      <c r="L1930" s="36">
        <v>13500</v>
      </c>
      <c r="M1930" s="9">
        <f t="shared" si="366"/>
        <v>1.0747124149186005</v>
      </c>
      <c r="N1930" s="5">
        <v>1</v>
      </c>
      <c r="O1930" s="10">
        <f t="shared" si="367"/>
        <v>1.0747124149186005</v>
      </c>
    </row>
    <row r="1931" spans="2:15" ht="13.5" hidden="1" customHeight="1">
      <c r="B1931" s="33">
        <f t="shared" si="368"/>
        <v>36</v>
      </c>
      <c r="C1931" s="60" t="s">
        <v>655</v>
      </c>
      <c r="D1931" s="60" t="s">
        <v>578</v>
      </c>
      <c r="E1931" s="61"/>
      <c r="F1931" s="61" t="s">
        <v>511</v>
      </c>
      <c r="G1931" s="36">
        <f t="shared" si="371"/>
        <v>6160.5</v>
      </c>
      <c r="H1931" s="36">
        <v>1861</v>
      </c>
      <c r="I1931" s="36">
        <v>3790</v>
      </c>
      <c r="J1931" s="36">
        <v>750</v>
      </c>
      <c r="K1931" s="36">
        <f t="shared" si="365"/>
        <v>12561.5</v>
      </c>
      <c r="L1931" s="36">
        <v>13500</v>
      </c>
      <c r="M1931" s="9">
        <f t="shared" si="366"/>
        <v>1.0747124149186005</v>
      </c>
      <c r="N1931" s="5">
        <v>1</v>
      </c>
      <c r="O1931" s="10">
        <f t="shared" si="367"/>
        <v>1.0747124149186005</v>
      </c>
    </row>
    <row r="1932" spans="2:15" ht="13.5" hidden="1" customHeight="1">
      <c r="B1932" s="33">
        <f t="shared" si="368"/>
        <v>37</v>
      </c>
      <c r="C1932" s="60" t="s">
        <v>636</v>
      </c>
      <c r="D1932" s="60" t="s">
        <v>559</v>
      </c>
      <c r="E1932" s="61"/>
      <c r="F1932" s="61" t="s">
        <v>445</v>
      </c>
      <c r="G1932" s="36">
        <f>333*24</f>
        <v>7992</v>
      </c>
      <c r="H1932" s="36">
        <v>1861</v>
      </c>
      <c r="I1932" s="36">
        <v>3240</v>
      </c>
      <c r="J1932" s="36">
        <v>750</v>
      </c>
      <c r="K1932" s="36">
        <f t="shared" si="365"/>
        <v>13843</v>
      </c>
      <c r="L1932" s="36">
        <v>13500</v>
      </c>
      <c r="M1932" s="9">
        <f t="shared" si="366"/>
        <v>0.97522213393050639</v>
      </c>
      <c r="N1932" s="5">
        <v>1</v>
      </c>
      <c r="O1932" s="10">
        <f t="shared" si="367"/>
        <v>0.97522213393050639</v>
      </c>
    </row>
    <row r="1933" spans="2:15" ht="13.5" hidden="1" customHeight="1">
      <c r="B1933" s="33">
        <f t="shared" si="368"/>
        <v>38</v>
      </c>
      <c r="C1933" s="60" t="s">
        <v>640</v>
      </c>
      <c r="D1933" s="60" t="s">
        <v>563</v>
      </c>
      <c r="E1933" s="61"/>
      <c r="F1933" s="61" t="s">
        <v>445</v>
      </c>
      <c r="G1933" s="36">
        <f>333*24</f>
        <v>7992</v>
      </c>
      <c r="H1933" s="36">
        <v>1861</v>
      </c>
      <c r="I1933" s="36">
        <v>3240</v>
      </c>
      <c r="J1933" s="36">
        <v>750</v>
      </c>
      <c r="K1933" s="36">
        <f t="shared" si="365"/>
        <v>13843</v>
      </c>
      <c r="L1933" s="36">
        <v>13500</v>
      </c>
      <c r="M1933" s="9">
        <f t="shared" si="366"/>
        <v>0.97522213393050639</v>
      </c>
      <c r="N1933" s="5">
        <v>1</v>
      </c>
      <c r="O1933" s="10">
        <f t="shared" si="367"/>
        <v>0.97522213393050639</v>
      </c>
    </row>
    <row r="1934" spans="2:15" ht="13.5" hidden="1" customHeight="1">
      <c r="B1934" s="33">
        <f t="shared" si="368"/>
        <v>39</v>
      </c>
      <c r="C1934" s="60" t="s">
        <v>652</v>
      </c>
      <c r="D1934" s="60" t="s">
        <v>574</v>
      </c>
      <c r="E1934" s="61"/>
      <c r="F1934" s="61" t="s">
        <v>445</v>
      </c>
      <c r="G1934" s="36">
        <f>333*19</f>
        <v>6327</v>
      </c>
      <c r="H1934" s="36">
        <v>1861</v>
      </c>
      <c r="I1934" s="36">
        <v>3240</v>
      </c>
      <c r="J1934" s="36">
        <v>750</v>
      </c>
      <c r="K1934" s="36">
        <f t="shared" si="365"/>
        <v>12178</v>
      </c>
      <c r="L1934" s="36">
        <v>13500</v>
      </c>
      <c r="M1934" s="9">
        <f t="shared" si="366"/>
        <v>1.1085564132041386</v>
      </c>
      <c r="N1934" s="5">
        <v>1</v>
      </c>
      <c r="O1934" s="10">
        <f t="shared" si="367"/>
        <v>1.1085564132041386</v>
      </c>
    </row>
    <row r="1935" spans="2:15" ht="13.5" hidden="1" customHeight="1">
      <c r="B1935" s="33">
        <f t="shared" si="368"/>
        <v>40</v>
      </c>
      <c r="C1935" s="60" t="s">
        <v>659</v>
      </c>
      <c r="D1935" s="60" t="s">
        <v>582</v>
      </c>
      <c r="E1935" s="61"/>
      <c r="F1935" s="61" t="s">
        <v>418</v>
      </c>
      <c r="G1935" s="36">
        <f>300*3</f>
        <v>900</v>
      </c>
      <c r="H1935" s="36">
        <v>1861</v>
      </c>
      <c r="I1935" s="36">
        <v>3240</v>
      </c>
      <c r="J1935" s="36">
        <v>750</v>
      </c>
      <c r="K1935" s="36">
        <f t="shared" si="365"/>
        <v>6751</v>
      </c>
      <c r="L1935" s="36">
        <v>13500</v>
      </c>
      <c r="M1935" s="9">
        <f t="shared" si="366"/>
        <v>1.9997037475929491</v>
      </c>
      <c r="N1935" s="5">
        <v>1</v>
      </c>
      <c r="O1935" s="10">
        <f t="shared" si="367"/>
        <v>1.9997037475929491</v>
      </c>
    </row>
    <row r="1936" spans="2:15" ht="13.5" hidden="1" customHeight="1">
      <c r="B1936" s="33">
        <f t="shared" si="368"/>
        <v>41</v>
      </c>
      <c r="C1936" s="60" t="s">
        <v>667</v>
      </c>
      <c r="D1936" s="60" t="s">
        <v>590</v>
      </c>
      <c r="E1936" s="61"/>
      <c r="F1936" s="61" t="s">
        <v>418</v>
      </c>
      <c r="G1936" s="36">
        <f>300*3</f>
        <v>900</v>
      </c>
      <c r="H1936" s="36">
        <v>1861</v>
      </c>
      <c r="I1936" s="36">
        <v>3240</v>
      </c>
      <c r="J1936" s="36">
        <v>750</v>
      </c>
      <c r="K1936" s="36">
        <f t="shared" si="365"/>
        <v>6751</v>
      </c>
      <c r="L1936" s="36">
        <v>13500</v>
      </c>
      <c r="M1936" s="9">
        <f t="shared" si="366"/>
        <v>1.9997037475929491</v>
      </c>
      <c r="N1936" s="5">
        <v>1</v>
      </c>
      <c r="O1936" s="10">
        <f t="shared" si="367"/>
        <v>1.9997037475929491</v>
      </c>
    </row>
    <row r="1937" spans="2:15" ht="13.5" hidden="1" customHeight="1">
      <c r="B1937" s="33">
        <f t="shared" si="368"/>
        <v>42</v>
      </c>
      <c r="C1937" s="60" t="s">
        <v>603</v>
      </c>
      <c r="D1937" s="60" t="s">
        <v>527</v>
      </c>
      <c r="E1937" s="61"/>
      <c r="F1937" s="61" t="s">
        <v>31</v>
      </c>
      <c r="G1937" s="36">
        <f>333*20.5</f>
        <v>6826.5</v>
      </c>
      <c r="H1937" s="36">
        <v>1861</v>
      </c>
      <c r="I1937" s="36">
        <v>3790</v>
      </c>
      <c r="J1937" s="36">
        <v>900</v>
      </c>
      <c r="K1937" s="36">
        <f t="shared" si="365"/>
        <v>13377.5</v>
      </c>
      <c r="L1937" s="36">
        <v>13500</v>
      </c>
      <c r="M1937" s="9">
        <f t="shared" si="366"/>
        <v>1.0091571668846944</v>
      </c>
      <c r="N1937" s="5">
        <v>1</v>
      </c>
      <c r="O1937" s="10">
        <f t="shared" si="367"/>
        <v>1.0091571668846944</v>
      </c>
    </row>
    <row r="1938" spans="2:15" ht="13.5" hidden="1" customHeight="1">
      <c r="B1938" s="33">
        <f t="shared" si="368"/>
        <v>43</v>
      </c>
      <c r="C1938" s="60" t="s">
        <v>606</v>
      </c>
      <c r="D1938" s="60" t="s">
        <v>530</v>
      </c>
      <c r="E1938" s="61"/>
      <c r="F1938" s="61" t="s">
        <v>31</v>
      </c>
      <c r="G1938" s="36">
        <f t="shared" ref="G1938:G1943" si="372">333*20.5</f>
        <v>6826.5</v>
      </c>
      <c r="H1938" s="36">
        <v>1861</v>
      </c>
      <c r="I1938" s="36">
        <v>3790</v>
      </c>
      <c r="J1938" s="36">
        <v>900</v>
      </c>
      <c r="K1938" s="36">
        <f t="shared" si="365"/>
        <v>13377.5</v>
      </c>
      <c r="L1938" s="36">
        <v>13500</v>
      </c>
      <c r="M1938" s="9">
        <f t="shared" si="366"/>
        <v>1.0091571668846944</v>
      </c>
      <c r="N1938" s="5">
        <v>1</v>
      </c>
      <c r="O1938" s="10">
        <f t="shared" si="367"/>
        <v>1.0091571668846944</v>
      </c>
    </row>
    <row r="1939" spans="2:15" ht="13.5" hidden="1" customHeight="1">
      <c r="B1939" s="33">
        <f t="shared" si="368"/>
        <v>44</v>
      </c>
      <c r="C1939" s="60" t="s">
        <v>625</v>
      </c>
      <c r="D1939" s="60" t="s">
        <v>548</v>
      </c>
      <c r="E1939" s="61"/>
      <c r="F1939" s="61" t="s">
        <v>31</v>
      </c>
      <c r="G1939" s="36">
        <f t="shared" si="372"/>
        <v>6826.5</v>
      </c>
      <c r="H1939" s="36">
        <v>1861</v>
      </c>
      <c r="I1939" s="36">
        <v>3790</v>
      </c>
      <c r="J1939" s="36">
        <v>900</v>
      </c>
      <c r="K1939" s="36">
        <f t="shared" si="365"/>
        <v>13377.5</v>
      </c>
      <c r="L1939" s="36">
        <v>13500</v>
      </c>
      <c r="M1939" s="9">
        <f t="shared" si="366"/>
        <v>1.0091571668846944</v>
      </c>
      <c r="N1939" s="5">
        <v>1</v>
      </c>
      <c r="O1939" s="10">
        <f t="shared" si="367"/>
        <v>1.0091571668846944</v>
      </c>
    </row>
    <row r="1940" spans="2:15" ht="13.5" hidden="1" customHeight="1">
      <c r="B1940" s="33">
        <f t="shared" si="368"/>
        <v>45</v>
      </c>
      <c r="C1940" s="60" t="s">
        <v>643</v>
      </c>
      <c r="D1940" s="60" t="s">
        <v>566</v>
      </c>
      <c r="E1940" s="61"/>
      <c r="F1940" s="61" t="s">
        <v>31</v>
      </c>
      <c r="G1940" s="36">
        <f t="shared" si="372"/>
        <v>6826.5</v>
      </c>
      <c r="H1940" s="36">
        <v>1861</v>
      </c>
      <c r="I1940" s="36">
        <v>3790</v>
      </c>
      <c r="J1940" s="36">
        <v>900</v>
      </c>
      <c r="K1940" s="36">
        <f t="shared" si="365"/>
        <v>13377.5</v>
      </c>
      <c r="L1940" s="36">
        <v>13500</v>
      </c>
      <c r="M1940" s="9">
        <f t="shared" si="366"/>
        <v>1.0091571668846944</v>
      </c>
      <c r="N1940" s="5">
        <v>1</v>
      </c>
      <c r="O1940" s="10">
        <f t="shared" si="367"/>
        <v>1.0091571668846944</v>
      </c>
    </row>
    <row r="1941" spans="2:15" ht="13.5" hidden="1" customHeight="1">
      <c r="B1941" s="33">
        <f t="shared" si="368"/>
        <v>46</v>
      </c>
      <c r="C1941" s="60" t="s">
        <v>593</v>
      </c>
      <c r="D1941" s="60" t="s">
        <v>669</v>
      </c>
      <c r="E1941" s="61"/>
      <c r="F1941" s="61" t="s">
        <v>31</v>
      </c>
      <c r="G1941" s="36">
        <f t="shared" si="372"/>
        <v>6826.5</v>
      </c>
      <c r="H1941" s="36">
        <v>1861</v>
      </c>
      <c r="I1941" s="36">
        <v>3790</v>
      </c>
      <c r="J1941" s="36">
        <v>900</v>
      </c>
      <c r="K1941" s="36">
        <f t="shared" si="365"/>
        <v>13377.5</v>
      </c>
      <c r="L1941" s="36">
        <v>13500</v>
      </c>
      <c r="M1941" s="9">
        <f t="shared" si="366"/>
        <v>1.0091571668846944</v>
      </c>
      <c r="N1941" s="5">
        <v>1</v>
      </c>
      <c r="O1941" s="10">
        <f t="shared" si="367"/>
        <v>1.0091571668846944</v>
      </c>
    </row>
    <row r="1942" spans="2:15" ht="13.5" hidden="1" customHeight="1">
      <c r="B1942" s="33">
        <f t="shared" si="368"/>
        <v>47</v>
      </c>
      <c r="C1942" s="60" t="s">
        <v>595</v>
      </c>
      <c r="D1942" s="60" t="s">
        <v>514</v>
      </c>
      <c r="E1942" s="61"/>
      <c r="F1942" s="61" t="s">
        <v>31</v>
      </c>
      <c r="G1942" s="36">
        <f t="shared" si="372"/>
        <v>6826.5</v>
      </c>
      <c r="H1942" s="36">
        <v>1861</v>
      </c>
      <c r="I1942" s="36">
        <v>3790</v>
      </c>
      <c r="J1942" s="36">
        <v>900</v>
      </c>
      <c r="K1942" s="36">
        <f t="shared" si="365"/>
        <v>13377.5</v>
      </c>
      <c r="L1942" s="36">
        <v>13500</v>
      </c>
      <c r="M1942" s="9">
        <f t="shared" si="366"/>
        <v>1.0091571668846944</v>
      </c>
      <c r="N1942" s="5">
        <v>1</v>
      </c>
      <c r="O1942" s="10">
        <f t="shared" si="367"/>
        <v>1.0091571668846944</v>
      </c>
    </row>
    <row r="1943" spans="2:15" ht="13.5" hidden="1" customHeight="1">
      <c r="B1943" s="33">
        <f t="shared" si="368"/>
        <v>48</v>
      </c>
      <c r="C1943" s="60" t="s">
        <v>336</v>
      </c>
      <c r="D1943" s="60" t="s">
        <v>517</v>
      </c>
      <c r="E1943" s="61"/>
      <c r="F1943" s="61" t="s">
        <v>31</v>
      </c>
      <c r="G1943" s="36">
        <f t="shared" si="372"/>
        <v>6826.5</v>
      </c>
      <c r="H1943" s="36">
        <v>1861</v>
      </c>
      <c r="I1943" s="36">
        <v>3790</v>
      </c>
      <c r="J1943" s="36">
        <v>900</v>
      </c>
      <c r="K1943" s="36">
        <f t="shared" si="365"/>
        <v>13377.5</v>
      </c>
      <c r="L1943" s="36">
        <v>13500</v>
      </c>
      <c r="M1943" s="9">
        <f t="shared" si="366"/>
        <v>1.0091571668846944</v>
      </c>
      <c r="N1943" s="5">
        <v>1</v>
      </c>
      <c r="O1943" s="10">
        <f t="shared" si="367"/>
        <v>1.0091571668846944</v>
      </c>
    </row>
    <row r="1944" spans="2:15" ht="13.5" hidden="1" customHeight="1">
      <c r="B1944" s="33">
        <f t="shared" si="368"/>
        <v>49</v>
      </c>
      <c r="C1944" s="60" t="s">
        <v>601</v>
      </c>
      <c r="D1944" s="60" t="s">
        <v>524</v>
      </c>
      <c r="E1944" s="61"/>
      <c r="F1944" s="61" t="s">
        <v>26</v>
      </c>
      <c r="G1944" s="36">
        <f>333*19</f>
        <v>6327</v>
      </c>
      <c r="H1944" s="36">
        <v>1861</v>
      </c>
      <c r="I1944" s="36">
        <v>3240</v>
      </c>
      <c r="J1944" s="36">
        <v>1800</v>
      </c>
      <c r="K1944" s="36">
        <f t="shared" si="365"/>
        <v>13228</v>
      </c>
      <c r="L1944" s="36">
        <v>13500</v>
      </c>
      <c r="M1944" s="9">
        <f t="shared" si="366"/>
        <v>1.0205624433020866</v>
      </c>
      <c r="N1944" s="5">
        <v>1</v>
      </c>
      <c r="O1944" s="10">
        <f t="shared" si="367"/>
        <v>1.0205624433020866</v>
      </c>
    </row>
    <row r="1945" spans="2:15" ht="13.5" hidden="1" customHeight="1">
      <c r="B1945" s="33">
        <f t="shared" si="368"/>
        <v>50</v>
      </c>
      <c r="C1945" s="60" t="s">
        <v>610</v>
      </c>
      <c r="D1945" s="60" t="s">
        <v>534</v>
      </c>
      <c r="E1945" s="61"/>
      <c r="F1945" s="61" t="s">
        <v>26</v>
      </c>
      <c r="G1945" s="36">
        <f t="shared" ref="G1945:G1948" si="373">333*19</f>
        <v>6327</v>
      </c>
      <c r="H1945" s="36">
        <v>1861</v>
      </c>
      <c r="I1945" s="36">
        <v>3240</v>
      </c>
      <c r="J1945" s="36">
        <v>1800</v>
      </c>
      <c r="K1945" s="36">
        <f t="shared" si="365"/>
        <v>13228</v>
      </c>
      <c r="L1945" s="36">
        <v>13500</v>
      </c>
      <c r="M1945" s="9">
        <f t="shared" si="366"/>
        <v>1.0205624433020866</v>
      </c>
      <c r="N1945" s="5">
        <v>1</v>
      </c>
      <c r="O1945" s="10">
        <f t="shared" si="367"/>
        <v>1.0205624433020866</v>
      </c>
    </row>
    <row r="1946" spans="2:15" ht="13.5" hidden="1" customHeight="1">
      <c r="B1946" s="33">
        <f t="shared" si="368"/>
        <v>51</v>
      </c>
      <c r="C1946" s="60" t="s">
        <v>614</v>
      </c>
      <c r="D1946" s="60" t="s">
        <v>538</v>
      </c>
      <c r="E1946" s="61"/>
      <c r="F1946" s="61" t="s">
        <v>26</v>
      </c>
      <c r="G1946" s="36">
        <f t="shared" si="373"/>
        <v>6327</v>
      </c>
      <c r="H1946" s="36">
        <v>1861</v>
      </c>
      <c r="I1946" s="36">
        <v>3240</v>
      </c>
      <c r="J1946" s="36">
        <v>1800</v>
      </c>
      <c r="K1946" s="36">
        <f t="shared" si="365"/>
        <v>13228</v>
      </c>
      <c r="L1946" s="36">
        <v>13500</v>
      </c>
      <c r="M1946" s="9">
        <f t="shared" si="366"/>
        <v>1.0205624433020866</v>
      </c>
      <c r="N1946" s="5">
        <v>1</v>
      </c>
      <c r="O1946" s="10">
        <f t="shared" si="367"/>
        <v>1.0205624433020866</v>
      </c>
    </row>
    <row r="1947" spans="2:15" ht="13.5" hidden="1" customHeight="1">
      <c r="B1947" s="33">
        <f t="shared" si="368"/>
        <v>52</v>
      </c>
      <c r="C1947" s="60" t="s">
        <v>618</v>
      </c>
      <c r="D1947" s="60" t="s">
        <v>542</v>
      </c>
      <c r="E1947" s="61"/>
      <c r="F1947" s="61" t="s">
        <v>26</v>
      </c>
      <c r="G1947" s="36">
        <f t="shared" si="373"/>
        <v>6327</v>
      </c>
      <c r="H1947" s="36">
        <v>1861</v>
      </c>
      <c r="I1947" s="36">
        <v>3240</v>
      </c>
      <c r="J1947" s="36">
        <v>1800</v>
      </c>
      <c r="K1947" s="36">
        <f t="shared" si="365"/>
        <v>13228</v>
      </c>
      <c r="L1947" s="36">
        <v>13500</v>
      </c>
      <c r="M1947" s="9">
        <f t="shared" si="366"/>
        <v>1.0205624433020866</v>
      </c>
      <c r="N1947" s="5">
        <v>1</v>
      </c>
      <c r="O1947" s="10">
        <f t="shared" si="367"/>
        <v>1.0205624433020866</v>
      </c>
    </row>
    <row r="1948" spans="2:15" ht="13.5" hidden="1" customHeight="1">
      <c r="B1948" s="33">
        <f t="shared" si="368"/>
        <v>53</v>
      </c>
      <c r="C1948" s="60" t="s">
        <v>621</v>
      </c>
      <c r="D1948" s="60" t="s">
        <v>545</v>
      </c>
      <c r="E1948" s="61"/>
      <c r="F1948" s="61" t="s">
        <v>26</v>
      </c>
      <c r="G1948" s="36">
        <f t="shared" si="373"/>
        <v>6327</v>
      </c>
      <c r="H1948" s="36">
        <v>1861</v>
      </c>
      <c r="I1948" s="36">
        <v>3240</v>
      </c>
      <c r="J1948" s="36">
        <v>1800</v>
      </c>
      <c r="K1948" s="36">
        <f t="shared" si="365"/>
        <v>13228</v>
      </c>
      <c r="L1948" s="36">
        <v>13500</v>
      </c>
      <c r="M1948" s="9">
        <f t="shared" si="366"/>
        <v>1.0205624433020866</v>
      </c>
      <c r="N1948" s="5">
        <v>1</v>
      </c>
      <c r="O1948" s="10">
        <f t="shared" si="367"/>
        <v>1.0205624433020866</v>
      </c>
    </row>
    <row r="1949" spans="2:15" ht="13.5" hidden="1" customHeight="1">
      <c r="B1949" s="33">
        <f t="shared" si="368"/>
        <v>54</v>
      </c>
      <c r="C1949" s="60" t="s">
        <v>622</v>
      </c>
      <c r="D1949" s="60" t="s">
        <v>546</v>
      </c>
      <c r="E1949" s="61"/>
      <c r="F1949" s="61" t="s">
        <v>26</v>
      </c>
      <c r="G1949" s="36">
        <f>333*19</f>
        <v>6327</v>
      </c>
      <c r="H1949" s="36">
        <v>1861</v>
      </c>
      <c r="I1949" s="36">
        <v>3240</v>
      </c>
      <c r="J1949" s="36">
        <v>1800</v>
      </c>
      <c r="K1949" s="36">
        <f t="shared" si="365"/>
        <v>13228</v>
      </c>
      <c r="L1949" s="36">
        <v>13500</v>
      </c>
      <c r="M1949" s="9">
        <f t="shared" si="366"/>
        <v>1.0205624433020866</v>
      </c>
      <c r="N1949" s="5">
        <v>1</v>
      </c>
      <c r="O1949" s="10">
        <f t="shared" si="367"/>
        <v>1.0205624433020866</v>
      </c>
    </row>
    <row r="1950" spans="2:15" ht="13.5" hidden="1" customHeight="1">
      <c r="B1950" s="33">
        <f t="shared" si="368"/>
        <v>55</v>
      </c>
      <c r="C1950" s="60" t="s">
        <v>632</v>
      </c>
      <c r="D1950" s="60" t="s">
        <v>555</v>
      </c>
      <c r="E1950" s="61"/>
      <c r="F1950" s="61" t="s">
        <v>26</v>
      </c>
      <c r="G1950" s="36">
        <f>333*19</f>
        <v>6327</v>
      </c>
      <c r="H1950" s="36">
        <v>1861</v>
      </c>
      <c r="I1950" s="36">
        <v>3240</v>
      </c>
      <c r="J1950" s="36">
        <v>1800</v>
      </c>
      <c r="K1950" s="36">
        <f t="shared" si="365"/>
        <v>13228</v>
      </c>
      <c r="L1950" s="36">
        <v>13500</v>
      </c>
      <c r="M1950" s="9">
        <f t="shared" si="366"/>
        <v>1.0205624433020866</v>
      </c>
      <c r="N1950" s="5">
        <v>1</v>
      </c>
      <c r="O1950" s="10">
        <f t="shared" si="367"/>
        <v>1.0205624433020866</v>
      </c>
    </row>
    <row r="1951" spans="2:15" ht="13.5" hidden="1" customHeight="1">
      <c r="B1951" s="33">
        <f t="shared" si="368"/>
        <v>56</v>
      </c>
      <c r="C1951" s="60" t="s">
        <v>633</v>
      </c>
      <c r="D1951" s="60" t="s">
        <v>556</v>
      </c>
      <c r="E1951" s="61"/>
      <c r="F1951" s="61" t="s">
        <v>26</v>
      </c>
      <c r="G1951" s="36">
        <f>333*13</f>
        <v>4329</v>
      </c>
      <c r="H1951" s="36">
        <v>1861</v>
      </c>
      <c r="I1951" s="36">
        <v>3240</v>
      </c>
      <c r="J1951" s="36">
        <v>1800</v>
      </c>
      <c r="K1951" s="36">
        <f t="shared" si="365"/>
        <v>11230</v>
      </c>
      <c r="L1951" s="36">
        <v>13500</v>
      </c>
      <c r="M1951" s="9">
        <f t="shared" si="366"/>
        <v>1.2021371326803205</v>
      </c>
      <c r="N1951" s="5">
        <v>1</v>
      </c>
      <c r="O1951" s="10">
        <f t="shared" si="367"/>
        <v>1.2021371326803205</v>
      </c>
    </row>
    <row r="1952" spans="2:15" ht="13.5" hidden="1" customHeight="1">
      <c r="B1952" s="33">
        <f t="shared" si="368"/>
        <v>57</v>
      </c>
      <c r="C1952" s="60" t="s">
        <v>638</v>
      </c>
      <c r="D1952" s="60" t="s">
        <v>561</v>
      </c>
      <c r="E1952" s="61"/>
      <c r="F1952" s="61" t="s">
        <v>26</v>
      </c>
      <c r="G1952" s="36">
        <f t="shared" ref="G1952:G1956" si="374">333*19</f>
        <v>6327</v>
      </c>
      <c r="H1952" s="36">
        <v>1861</v>
      </c>
      <c r="I1952" s="36">
        <v>3240</v>
      </c>
      <c r="J1952" s="36">
        <v>1800</v>
      </c>
      <c r="K1952" s="36">
        <f t="shared" si="365"/>
        <v>13228</v>
      </c>
      <c r="L1952" s="36">
        <v>13500</v>
      </c>
      <c r="M1952" s="9">
        <f t="shared" si="366"/>
        <v>1.0205624433020866</v>
      </c>
      <c r="N1952" s="5">
        <v>1</v>
      </c>
      <c r="O1952" s="10">
        <f t="shared" si="367"/>
        <v>1.0205624433020866</v>
      </c>
    </row>
    <row r="1953" spans="2:15" ht="13.5" hidden="1" customHeight="1">
      <c r="B1953" s="33">
        <f t="shared" si="368"/>
        <v>58</v>
      </c>
      <c r="C1953" s="60" t="s">
        <v>641</v>
      </c>
      <c r="D1953" s="60" t="s">
        <v>564</v>
      </c>
      <c r="E1953" s="61"/>
      <c r="F1953" s="61" t="s">
        <v>26</v>
      </c>
      <c r="G1953" s="36">
        <f t="shared" si="374"/>
        <v>6327</v>
      </c>
      <c r="H1953" s="36">
        <v>1861</v>
      </c>
      <c r="I1953" s="36">
        <v>3240</v>
      </c>
      <c r="J1953" s="36">
        <v>1800</v>
      </c>
      <c r="K1953" s="36">
        <f t="shared" si="365"/>
        <v>13228</v>
      </c>
      <c r="L1953" s="36">
        <v>13500</v>
      </c>
      <c r="M1953" s="9">
        <f t="shared" si="366"/>
        <v>1.0205624433020866</v>
      </c>
      <c r="N1953" s="5">
        <v>1</v>
      </c>
      <c r="O1953" s="10">
        <f t="shared" si="367"/>
        <v>1.0205624433020866</v>
      </c>
    </row>
    <row r="1954" spans="2:15" ht="13.5" hidden="1" customHeight="1">
      <c r="B1954" s="33">
        <f t="shared" si="368"/>
        <v>59</v>
      </c>
      <c r="C1954" s="60" t="s">
        <v>654</v>
      </c>
      <c r="D1954" s="60" t="s">
        <v>576</v>
      </c>
      <c r="E1954" s="61"/>
      <c r="F1954" s="61" t="s">
        <v>26</v>
      </c>
      <c r="G1954" s="36">
        <f t="shared" si="374"/>
        <v>6327</v>
      </c>
      <c r="H1954" s="36">
        <v>1861</v>
      </c>
      <c r="I1954" s="36">
        <v>3240</v>
      </c>
      <c r="J1954" s="36">
        <v>1800</v>
      </c>
      <c r="K1954" s="36">
        <f t="shared" si="365"/>
        <v>13228</v>
      </c>
      <c r="L1954" s="36">
        <v>13500</v>
      </c>
      <c r="M1954" s="9">
        <f t="shared" si="366"/>
        <v>1.0205624433020866</v>
      </c>
      <c r="N1954" s="5">
        <v>1</v>
      </c>
      <c r="O1954" s="10">
        <f t="shared" si="367"/>
        <v>1.0205624433020866</v>
      </c>
    </row>
    <row r="1955" spans="2:15" ht="13.5" hidden="1" customHeight="1">
      <c r="B1955" s="33">
        <f t="shared" si="368"/>
        <v>60</v>
      </c>
      <c r="C1955" s="60" t="s">
        <v>664</v>
      </c>
      <c r="D1955" s="60" t="s">
        <v>587</v>
      </c>
      <c r="E1955" s="61"/>
      <c r="F1955" s="61" t="s">
        <v>26</v>
      </c>
      <c r="G1955" s="36">
        <f t="shared" si="374"/>
        <v>6327</v>
      </c>
      <c r="H1955" s="36">
        <v>1861</v>
      </c>
      <c r="I1955" s="36">
        <v>3240</v>
      </c>
      <c r="J1955" s="36">
        <v>1800</v>
      </c>
      <c r="K1955" s="36">
        <f t="shared" si="365"/>
        <v>13228</v>
      </c>
      <c r="L1955" s="36">
        <v>13500</v>
      </c>
      <c r="M1955" s="9">
        <f t="shared" si="366"/>
        <v>1.0205624433020866</v>
      </c>
      <c r="N1955" s="5">
        <v>1</v>
      </c>
      <c r="O1955" s="10">
        <f t="shared" si="367"/>
        <v>1.0205624433020866</v>
      </c>
    </row>
    <row r="1956" spans="2:15" ht="13.5" hidden="1" customHeight="1">
      <c r="B1956" s="33">
        <f t="shared" si="368"/>
        <v>61</v>
      </c>
      <c r="C1956" s="60" t="s">
        <v>337</v>
      </c>
      <c r="D1956" s="60" t="s">
        <v>518</v>
      </c>
      <c r="E1956" s="61"/>
      <c r="F1956" s="61" t="s">
        <v>26</v>
      </c>
      <c r="G1956" s="36">
        <f t="shared" si="374"/>
        <v>6327</v>
      </c>
      <c r="H1956" s="36">
        <v>1861</v>
      </c>
      <c r="I1956" s="36">
        <v>3240</v>
      </c>
      <c r="J1956" s="36">
        <v>1800</v>
      </c>
      <c r="K1956" s="36">
        <f t="shared" si="365"/>
        <v>13228</v>
      </c>
      <c r="L1956" s="36">
        <v>13500</v>
      </c>
      <c r="M1956" s="9">
        <f t="shared" si="366"/>
        <v>1.0205624433020866</v>
      </c>
      <c r="N1956" s="5">
        <v>1</v>
      </c>
      <c r="O1956" s="10">
        <f t="shared" si="367"/>
        <v>1.0205624433020866</v>
      </c>
    </row>
    <row r="1957" spans="2:15" ht="13.5" hidden="1" customHeight="1">
      <c r="B1957" s="33">
        <f t="shared" si="368"/>
        <v>62</v>
      </c>
      <c r="C1957" s="60" t="s">
        <v>603</v>
      </c>
      <c r="D1957" s="60" t="s">
        <v>526</v>
      </c>
      <c r="E1957" s="61"/>
      <c r="F1957" s="61" t="s">
        <v>32</v>
      </c>
      <c r="G1957" s="36">
        <f>300*17</f>
        <v>5100</v>
      </c>
      <c r="H1957" s="36">
        <v>1861</v>
      </c>
      <c r="I1957" s="36">
        <v>3240</v>
      </c>
      <c r="J1957" s="36">
        <v>900</v>
      </c>
      <c r="K1957" s="36">
        <f t="shared" si="365"/>
        <v>11101</v>
      </c>
      <c r="L1957" s="36">
        <v>13500</v>
      </c>
      <c r="M1957" s="9">
        <f t="shared" si="366"/>
        <v>1.2161066570579226</v>
      </c>
      <c r="N1957" s="5">
        <v>1</v>
      </c>
      <c r="O1957" s="10">
        <f t="shared" si="367"/>
        <v>1.2161066570579226</v>
      </c>
    </row>
    <row r="1958" spans="2:15" ht="13.5" hidden="1" customHeight="1">
      <c r="B1958" s="33">
        <f t="shared" si="368"/>
        <v>63</v>
      </c>
      <c r="C1958" s="60" t="s">
        <v>607</v>
      </c>
      <c r="D1958" s="60" t="s">
        <v>531</v>
      </c>
      <c r="E1958" s="61"/>
      <c r="F1958" s="61" t="s">
        <v>32</v>
      </c>
      <c r="G1958" s="36">
        <f t="shared" ref="G1958:G1961" si="375">300*17</f>
        <v>5100</v>
      </c>
      <c r="H1958" s="36">
        <v>1861</v>
      </c>
      <c r="I1958" s="36">
        <v>3240</v>
      </c>
      <c r="J1958" s="36">
        <v>900</v>
      </c>
      <c r="K1958" s="36">
        <f t="shared" si="365"/>
        <v>11101</v>
      </c>
      <c r="L1958" s="36">
        <v>13500</v>
      </c>
      <c r="M1958" s="9">
        <f t="shared" si="366"/>
        <v>1.2161066570579226</v>
      </c>
      <c r="N1958" s="5">
        <v>1</v>
      </c>
      <c r="O1958" s="10">
        <f t="shared" si="367"/>
        <v>1.2161066570579226</v>
      </c>
    </row>
    <row r="1959" spans="2:15" ht="13.5" hidden="1" customHeight="1">
      <c r="B1959" s="33">
        <f t="shared" si="368"/>
        <v>64</v>
      </c>
      <c r="C1959" s="60" t="s">
        <v>619</v>
      </c>
      <c r="D1959" s="60" t="s">
        <v>543</v>
      </c>
      <c r="E1959" s="61"/>
      <c r="F1959" s="61" t="s">
        <v>32</v>
      </c>
      <c r="G1959" s="36">
        <f t="shared" si="375"/>
        <v>5100</v>
      </c>
      <c r="H1959" s="36">
        <v>1861</v>
      </c>
      <c r="I1959" s="36">
        <v>3240</v>
      </c>
      <c r="J1959" s="36">
        <v>900</v>
      </c>
      <c r="K1959" s="36">
        <f t="shared" si="365"/>
        <v>11101</v>
      </c>
      <c r="L1959" s="36">
        <v>13500</v>
      </c>
      <c r="M1959" s="9">
        <f t="shared" si="366"/>
        <v>1.2161066570579226</v>
      </c>
      <c r="N1959" s="5">
        <v>1</v>
      </c>
      <c r="O1959" s="10">
        <f t="shared" si="367"/>
        <v>1.2161066570579226</v>
      </c>
    </row>
    <row r="1960" spans="2:15" ht="13.5" hidden="1" customHeight="1">
      <c r="B1960" s="33">
        <f t="shared" si="368"/>
        <v>65</v>
      </c>
      <c r="C1960" s="60" t="s">
        <v>626</v>
      </c>
      <c r="D1960" s="60" t="s">
        <v>549</v>
      </c>
      <c r="E1960" s="61"/>
      <c r="F1960" s="61" t="s">
        <v>30</v>
      </c>
      <c r="G1960" s="36">
        <f>300*21</f>
        <v>6300</v>
      </c>
      <c r="H1960" s="36">
        <v>1861</v>
      </c>
      <c r="I1960" s="36">
        <v>3240</v>
      </c>
      <c r="J1960" s="36">
        <v>500</v>
      </c>
      <c r="K1960" s="36">
        <f t="shared" ref="K1960:K1978" si="376">SUM(G1960:J1960)</f>
        <v>11901</v>
      </c>
      <c r="L1960" s="36">
        <v>13500</v>
      </c>
      <c r="M1960" s="9">
        <f t="shared" ref="M1960:M1978" si="377">L1960/K1960</f>
        <v>1.1343584572724981</v>
      </c>
      <c r="N1960" s="5">
        <v>1</v>
      </c>
      <c r="O1960" s="10">
        <f t="shared" ref="O1960:O1978" si="378">N1960*M1960</f>
        <v>1.1343584572724981</v>
      </c>
    </row>
    <row r="1961" spans="2:15" ht="13.5" hidden="1" customHeight="1">
      <c r="B1961" s="33">
        <f t="shared" si="368"/>
        <v>66</v>
      </c>
      <c r="C1961" s="60" t="s">
        <v>668</v>
      </c>
      <c r="D1961" s="60" t="s">
        <v>591</v>
      </c>
      <c r="E1961" s="61"/>
      <c r="F1961" s="61" t="s">
        <v>32</v>
      </c>
      <c r="G1961" s="36">
        <f t="shared" si="375"/>
        <v>5100</v>
      </c>
      <c r="H1961" s="36">
        <v>1861</v>
      </c>
      <c r="I1961" s="36">
        <v>3240</v>
      </c>
      <c r="J1961" s="36">
        <v>900</v>
      </c>
      <c r="K1961" s="36">
        <f t="shared" si="376"/>
        <v>11101</v>
      </c>
      <c r="L1961" s="36">
        <v>13500</v>
      </c>
      <c r="M1961" s="9">
        <f t="shared" si="377"/>
        <v>1.2161066570579226</v>
      </c>
      <c r="N1961" s="5">
        <v>1</v>
      </c>
      <c r="O1961" s="10">
        <f t="shared" si="378"/>
        <v>1.2161066570579226</v>
      </c>
    </row>
    <row r="1962" spans="2:15" ht="13.5" hidden="1" customHeight="1">
      <c r="B1962" s="33">
        <f t="shared" ref="B1962:B1978" si="379">+B1961+1</f>
        <v>67</v>
      </c>
      <c r="C1962" s="60" t="s">
        <v>608</v>
      </c>
      <c r="D1962" s="60" t="s">
        <v>532</v>
      </c>
      <c r="E1962" s="61"/>
      <c r="F1962" s="61" t="s">
        <v>24</v>
      </c>
      <c r="G1962" s="36">
        <f>277*6</f>
        <v>1662</v>
      </c>
      <c r="H1962" s="36">
        <v>1861</v>
      </c>
      <c r="I1962" s="36">
        <v>7890</v>
      </c>
      <c r="J1962" s="36">
        <v>0</v>
      </c>
      <c r="K1962" s="36">
        <f t="shared" si="376"/>
        <v>11413</v>
      </c>
      <c r="L1962" s="36">
        <v>13500</v>
      </c>
      <c r="M1962" s="9">
        <f t="shared" si="377"/>
        <v>1.1828616489967581</v>
      </c>
      <c r="N1962" s="5">
        <v>1</v>
      </c>
      <c r="O1962" s="10">
        <f t="shared" si="378"/>
        <v>1.1828616489967581</v>
      </c>
    </row>
    <row r="1963" spans="2:15" ht="13.5" hidden="1" customHeight="1">
      <c r="B1963" s="33">
        <f t="shared" si="379"/>
        <v>68</v>
      </c>
      <c r="C1963" s="60" t="s">
        <v>645</v>
      </c>
      <c r="D1963" s="60" t="s">
        <v>567</v>
      </c>
      <c r="E1963" s="61"/>
      <c r="F1963" s="61" t="s">
        <v>24</v>
      </c>
      <c r="G1963" s="36">
        <f t="shared" ref="G1963:G1964" si="380">277*6</f>
        <v>1662</v>
      </c>
      <c r="H1963" s="36">
        <v>1861</v>
      </c>
      <c r="I1963" s="36">
        <v>7890</v>
      </c>
      <c r="J1963" s="36">
        <v>0</v>
      </c>
      <c r="K1963" s="36">
        <f t="shared" si="376"/>
        <v>11413</v>
      </c>
      <c r="L1963" s="36">
        <v>13500</v>
      </c>
      <c r="M1963" s="9">
        <f t="shared" si="377"/>
        <v>1.1828616489967581</v>
      </c>
      <c r="N1963" s="5">
        <v>1</v>
      </c>
      <c r="O1963" s="10">
        <f t="shared" si="378"/>
        <v>1.1828616489967581</v>
      </c>
    </row>
    <row r="1964" spans="2:15" ht="13.5" hidden="1" customHeight="1">
      <c r="B1964" s="33">
        <f t="shared" si="379"/>
        <v>69</v>
      </c>
      <c r="C1964" s="60" t="s">
        <v>658</v>
      </c>
      <c r="D1964" s="60" t="s">
        <v>581</v>
      </c>
      <c r="E1964" s="61"/>
      <c r="F1964" s="61" t="s">
        <v>24</v>
      </c>
      <c r="G1964" s="36">
        <f t="shared" si="380"/>
        <v>1662</v>
      </c>
      <c r="H1964" s="36">
        <v>1861</v>
      </c>
      <c r="I1964" s="36">
        <v>7890</v>
      </c>
      <c r="J1964" s="36">
        <v>0</v>
      </c>
      <c r="K1964" s="36">
        <f t="shared" si="376"/>
        <v>11413</v>
      </c>
      <c r="L1964" s="36">
        <v>13500</v>
      </c>
      <c r="M1964" s="9">
        <f t="shared" si="377"/>
        <v>1.1828616489967581</v>
      </c>
      <c r="N1964" s="5">
        <v>1</v>
      </c>
      <c r="O1964" s="10">
        <f t="shared" si="378"/>
        <v>1.1828616489967581</v>
      </c>
    </row>
    <row r="1965" spans="2:15" ht="13.5" hidden="1" customHeight="1">
      <c r="B1965" s="33">
        <f t="shared" si="379"/>
        <v>70</v>
      </c>
      <c r="C1965" s="60" t="s">
        <v>597</v>
      </c>
      <c r="D1965" s="60" t="s">
        <v>519</v>
      </c>
      <c r="E1965" s="61"/>
      <c r="F1965" s="61" t="s">
        <v>43</v>
      </c>
      <c r="G1965" s="36">
        <f>333*18.5</f>
        <v>6160.5</v>
      </c>
      <c r="H1965" s="36">
        <v>1861</v>
      </c>
      <c r="I1965" s="36">
        <v>3790</v>
      </c>
      <c r="J1965" s="36">
        <v>500</v>
      </c>
      <c r="K1965" s="36">
        <f t="shared" si="376"/>
        <v>12311.5</v>
      </c>
      <c r="L1965" s="36">
        <v>13500</v>
      </c>
      <c r="M1965" s="9">
        <f t="shared" si="377"/>
        <v>1.0965357592494822</v>
      </c>
      <c r="N1965" s="5">
        <v>1</v>
      </c>
      <c r="O1965" s="10">
        <f t="shared" si="378"/>
        <v>1.0965357592494822</v>
      </c>
    </row>
    <row r="1966" spans="2:15" ht="13.5" hidden="1" customHeight="1">
      <c r="B1966" s="33">
        <f t="shared" si="379"/>
        <v>71</v>
      </c>
      <c r="C1966" s="60" t="s">
        <v>600</v>
      </c>
      <c r="D1966" s="60" t="s">
        <v>523</v>
      </c>
      <c r="E1966" s="61"/>
      <c r="F1966" s="61" t="s">
        <v>43</v>
      </c>
      <c r="G1966" s="36">
        <f t="shared" ref="G1966:G1973" si="381">333*18.5</f>
        <v>6160.5</v>
      </c>
      <c r="H1966" s="36">
        <v>1861</v>
      </c>
      <c r="I1966" s="36">
        <v>3790</v>
      </c>
      <c r="J1966" s="36">
        <v>500</v>
      </c>
      <c r="K1966" s="36">
        <f t="shared" si="376"/>
        <v>12311.5</v>
      </c>
      <c r="L1966" s="36">
        <v>13500</v>
      </c>
      <c r="M1966" s="9">
        <f t="shared" si="377"/>
        <v>1.0965357592494822</v>
      </c>
      <c r="N1966" s="5">
        <v>1</v>
      </c>
      <c r="O1966" s="10">
        <f t="shared" si="378"/>
        <v>1.0965357592494822</v>
      </c>
    </row>
    <row r="1967" spans="2:15" ht="13.5" hidden="1" customHeight="1">
      <c r="B1967" s="33">
        <f t="shared" si="379"/>
        <v>72</v>
      </c>
      <c r="C1967" s="60" t="s">
        <v>617</v>
      </c>
      <c r="D1967" s="60" t="s">
        <v>541</v>
      </c>
      <c r="E1967" s="61"/>
      <c r="F1967" s="61" t="s">
        <v>43</v>
      </c>
      <c r="G1967" s="36">
        <f t="shared" si="381"/>
        <v>6160.5</v>
      </c>
      <c r="H1967" s="36">
        <v>1861</v>
      </c>
      <c r="I1967" s="36">
        <v>3790</v>
      </c>
      <c r="J1967" s="36">
        <v>500</v>
      </c>
      <c r="K1967" s="36">
        <f t="shared" si="376"/>
        <v>12311.5</v>
      </c>
      <c r="L1967" s="36">
        <v>13500</v>
      </c>
      <c r="M1967" s="9">
        <f t="shared" si="377"/>
        <v>1.0965357592494822</v>
      </c>
      <c r="N1967" s="5">
        <v>1</v>
      </c>
      <c r="O1967" s="10">
        <f t="shared" si="378"/>
        <v>1.0965357592494822</v>
      </c>
    </row>
    <row r="1968" spans="2:15" ht="13.5" hidden="1" customHeight="1">
      <c r="B1968" s="33">
        <f t="shared" si="379"/>
        <v>73</v>
      </c>
      <c r="C1968" s="60" t="s">
        <v>630</v>
      </c>
      <c r="D1968" s="60" t="s">
        <v>553</v>
      </c>
      <c r="E1968" s="61"/>
      <c r="F1968" s="61" t="s">
        <v>43</v>
      </c>
      <c r="G1968" s="36">
        <f t="shared" si="381"/>
        <v>6160.5</v>
      </c>
      <c r="H1968" s="36">
        <v>1861</v>
      </c>
      <c r="I1968" s="36">
        <v>3790</v>
      </c>
      <c r="J1968" s="36">
        <v>500</v>
      </c>
      <c r="K1968" s="36">
        <f t="shared" si="376"/>
        <v>12311.5</v>
      </c>
      <c r="L1968" s="36">
        <v>13500</v>
      </c>
      <c r="M1968" s="9">
        <f t="shared" si="377"/>
        <v>1.0965357592494822</v>
      </c>
      <c r="N1968" s="5">
        <v>1</v>
      </c>
      <c r="O1968" s="10">
        <f t="shared" si="378"/>
        <v>1.0965357592494822</v>
      </c>
    </row>
    <row r="1969" spans="1:15" ht="13.5" hidden="1" customHeight="1">
      <c r="B1969" s="33">
        <f t="shared" si="379"/>
        <v>74</v>
      </c>
      <c r="C1969" s="60" t="s">
        <v>634</v>
      </c>
      <c r="D1969" s="60" t="s">
        <v>557</v>
      </c>
      <c r="E1969" s="61"/>
      <c r="F1969" s="61" t="s">
        <v>43</v>
      </c>
      <c r="G1969" s="36">
        <f t="shared" si="381"/>
        <v>6160.5</v>
      </c>
      <c r="H1969" s="36">
        <v>1861</v>
      </c>
      <c r="I1969" s="36">
        <v>3790</v>
      </c>
      <c r="J1969" s="36">
        <v>500</v>
      </c>
      <c r="K1969" s="36">
        <f t="shared" si="376"/>
        <v>12311.5</v>
      </c>
      <c r="L1969" s="36">
        <v>13500</v>
      </c>
      <c r="M1969" s="9">
        <f t="shared" si="377"/>
        <v>1.0965357592494822</v>
      </c>
      <c r="N1969" s="5">
        <v>1</v>
      </c>
      <c r="O1969" s="10">
        <f t="shared" si="378"/>
        <v>1.0965357592494822</v>
      </c>
    </row>
    <row r="1970" spans="1:15" ht="13.5" hidden="1" customHeight="1">
      <c r="B1970" s="33">
        <f t="shared" si="379"/>
        <v>75</v>
      </c>
      <c r="C1970" s="60" t="s">
        <v>639</v>
      </c>
      <c r="D1970" s="60" t="s">
        <v>562</v>
      </c>
      <c r="E1970" s="61"/>
      <c r="F1970" s="61" t="s">
        <v>43</v>
      </c>
      <c r="G1970" s="36">
        <f>333*18</f>
        <v>5994</v>
      </c>
      <c r="H1970" s="36">
        <v>1861</v>
      </c>
      <c r="I1970" s="36">
        <v>3790</v>
      </c>
      <c r="J1970" s="36">
        <v>500</v>
      </c>
      <c r="K1970" s="36">
        <f t="shared" si="376"/>
        <v>12145</v>
      </c>
      <c r="L1970" s="36">
        <v>13500</v>
      </c>
      <c r="M1970" s="9">
        <f t="shared" si="377"/>
        <v>1.1115685467270482</v>
      </c>
      <c r="N1970" s="5">
        <v>1</v>
      </c>
      <c r="O1970" s="10">
        <f t="shared" si="378"/>
        <v>1.1115685467270482</v>
      </c>
    </row>
    <row r="1971" spans="1:15" ht="13.5" hidden="1" customHeight="1">
      <c r="B1971" s="33">
        <f t="shared" si="379"/>
        <v>76</v>
      </c>
      <c r="C1971" s="60" t="s">
        <v>649</v>
      </c>
      <c r="D1971" s="60" t="s">
        <v>571</v>
      </c>
      <c r="E1971" s="61"/>
      <c r="F1971" s="61" t="s">
        <v>43</v>
      </c>
      <c r="G1971" s="36">
        <f t="shared" si="381"/>
        <v>6160.5</v>
      </c>
      <c r="H1971" s="36">
        <v>1861</v>
      </c>
      <c r="I1971" s="36">
        <v>3790</v>
      </c>
      <c r="J1971" s="36">
        <v>500</v>
      </c>
      <c r="K1971" s="36">
        <f t="shared" si="376"/>
        <v>12311.5</v>
      </c>
      <c r="L1971" s="36">
        <v>13500</v>
      </c>
      <c r="M1971" s="9">
        <f t="shared" si="377"/>
        <v>1.0965357592494822</v>
      </c>
      <c r="N1971" s="5">
        <v>1</v>
      </c>
      <c r="O1971" s="10">
        <f t="shared" si="378"/>
        <v>1.0965357592494822</v>
      </c>
    </row>
    <row r="1972" spans="1:15" ht="13.5" hidden="1" customHeight="1">
      <c r="B1972" s="33">
        <f t="shared" si="379"/>
        <v>77</v>
      </c>
      <c r="C1972" s="60" t="s">
        <v>592</v>
      </c>
      <c r="D1972" s="60" t="s">
        <v>512</v>
      </c>
      <c r="E1972" s="61"/>
      <c r="F1972" s="61" t="s">
        <v>43</v>
      </c>
      <c r="G1972" s="36">
        <f t="shared" si="381"/>
        <v>6160.5</v>
      </c>
      <c r="H1972" s="36">
        <v>1861</v>
      </c>
      <c r="I1972" s="36">
        <v>3790</v>
      </c>
      <c r="J1972" s="36">
        <v>500</v>
      </c>
      <c r="K1972" s="36">
        <f t="shared" si="376"/>
        <v>12311.5</v>
      </c>
      <c r="L1972" s="36">
        <v>13500</v>
      </c>
      <c r="M1972" s="9">
        <f t="shared" si="377"/>
        <v>1.0965357592494822</v>
      </c>
      <c r="N1972" s="5">
        <v>1</v>
      </c>
      <c r="O1972" s="10">
        <f t="shared" si="378"/>
        <v>1.0965357592494822</v>
      </c>
    </row>
    <row r="1973" spans="1:15" ht="13.5" hidden="1" customHeight="1">
      <c r="B1973" s="33">
        <f t="shared" si="379"/>
        <v>78</v>
      </c>
      <c r="C1973" s="60" t="s">
        <v>596</v>
      </c>
      <c r="D1973" s="60" t="s">
        <v>516</v>
      </c>
      <c r="E1973" s="61"/>
      <c r="F1973" s="61" t="s">
        <v>43</v>
      </c>
      <c r="G1973" s="36">
        <f t="shared" si="381"/>
        <v>6160.5</v>
      </c>
      <c r="H1973" s="36">
        <v>1861</v>
      </c>
      <c r="I1973" s="36">
        <v>3790</v>
      </c>
      <c r="J1973" s="36">
        <v>500</v>
      </c>
      <c r="K1973" s="36">
        <f t="shared" si="376"/>
        <v>12311.5</v>
      </c>
      <c r="L1973" s="36">
        <v>13500</v>
      </c>
      <c r="M1973" s="9">
        <f t="shared" si="377"/>
        <v>1.0965357592494822</v>
      </c>
      <c r="N1973" s="5">
        <v>1</v>
      </c>
      <c r="O1973" s="10">
        <f t="shared" si="378"/>
        <v>1.0965357592494822</v>
      </c>
    </row>
    <row r="1974" spans="1:15" ht="13.5" hidden="1" customHeight="1">
      <c r="B1974" s="33">
        <f t="shared" si="379"/>
        <v>79</v>
      </c>
      <c r="C1974" s="60" t="s">
        <v>605</v>
      </c>
      <c r="D1974" s="60" t="s">
        <v>529</v>
      </c>
      <c r="E1974" s="61"/>
      <c r="F1974" s="61" t="s">
        <v>27</v>
      </c>
      <c r="G1974" s="36">
        <f>333*24</f>
        <v>7992</v>
      </c>
      <c r="H1974" s="36">
        <v>1861</v>
      </c>
      <c r="I1974" s="36">
        <v>3240</v>
      </c>
      <c r="J1974" s="36">
        <v>500</v>
      </c>
      <c r="K1974" s="36">
        <f t="shared" si="376"/>
        <v>13593</v>
      </c>
      <c r="L1974" s="36">
        <v>13500</v>
      </c>
      <c r="M1974" s="9">
        <f t="shared" si="377"/>
        <v>0.99315824321341872</v>
      </c>
      <c r="N1974" s="5">
        <v>1</v>
      </c>
      <c r="O1974" s="10">
        <f t="shared" si="378"/>
        <v>0.99315824321341872</v>
      </c>
    </row>
    <row r="1975" spans="1:15" ht="13.5" hidden="1" customHeight="1">
      <c r="B1975" s="33">
        <f t="shared" si="379"/>
        <v>80</v>
      </c>
      <c r="C1975" s="60" t="s">
        <v>631</v>
      </c>
      <c r="D1975" s="60" t="s">
        <v>554</v>
      </c>
      <c r="E1975" s="61"/>
      <c r="F1975" s="61" t="s">
        <v>27</v>
      </c>
      <c r="G1975" s="36">
        <f t="shared" ref="G1975:G1976" si="382">333*24</f>
        <v>7992</v>
      </c>
      <c r="H1975" s="36">
        <v>1861</v>
      </c>
      <c r="I1975" s="36">
        <v>3240</v>
      </c>
      <c r="J1975" s="36">
        <v>500</v>
      </c>
      <c r="K1975" s="36">
        <f t="shared" si="376"/>
        <v>13593</v>
      </c>
      <c r="L1975" s="36">
        <v>13500</v>
      </c>
      <c r="M1975" s="9">
        <f t="shared" si="377"/>
        <v>0.99315824321341872</v>
      </c>
      <c r="N1975" s="5">
        <v>1</v>
      </c>
      <c r="O1975" s="10">
        <f t="shared" si="378"/>
        <v>0.99315824321341872</v>
      </c>
    </row>
    <row r="1976" spans="1:15" ht="13.5" hidden="1" customHeight="1">
      <c r="B1976" s="33">
        <f t="shared" si="379"/>
        <v>81</v>
      </c>
      <c r="C1976" s="60" t="s">
        <v>637</v>
      </c>
      <c r="D1976" s="60" t="s">
        <v>560</v>
      </c>
      <c r="E1976" s="61"/>
      <c r="F1976" s="61" t="s">
        <v>27</v>
      </c>
      <c r="G1976" s="36">
        <f t="shared" si="382"/>
        <v>7992</v>
      </c>
      <c r="H1976" s="36">
        <v>1861</v>
      </c>
      <c r="I1976" s="36">
        <v>3240</v>
      </c>
      <c r="J1976" s="36">
        <v>500</v>
      </c>
      <c r="K1976" s="36">
        <f t="shared" si="376"/>
        <v>13593</v>
      </c>
      <c r="L1976" s="36">
        <v>13500</v>
      </c>
      <c r="M1976" s="9">
        <f t="shared" si="377"/>
        <v>0.99315824321341872</v>
      </c>
      <c r="N1976" s="5">
        <v>1</v>
      </c>
      <c r="O1976" s="10">
        <f t="shared" si="378"/>
        <v>0.99315824321341872</v>
      </c>
    </row>
    <row r="1977" spans="1:15" ht="13.5" hidden="1" customHeight="1">
      <c r="B1977" s="33">
        <f t="shared" si="379"/>
        <v>82</v>
      </c>
      <c r="C1977" s="60" t="s">
        <v>665</v>
      </c>
      <c r="D1977" s="60" t="s">
        <v>588</v>
      </c>
      <c r="E1977" s="61"/>
      <c r="F1977" s="61" t="s">
        <v>30</v>
      </c>
      <c r="G1977" s="36">
        <f>300*21</f>
        <v>6300</v>
      </c>
      <c r="H1977" s="36">
        <v>1861</v>
      </c>
      <c r="I1977" s="36">
        <v>3240</v>
      </c>
      <c r="J1977" s="36">
        <v>500</v>
      </c>
      <c r="K1977" s="36">
        <f t="shared" si="376"/>
        <v>11901</v>
      </c>
      <c r="L1977" s="36">
        <v>13500</v>
      </c>
      <c r="M1977" s="9">
        <f t="shared" si="377"/>
        <v>1.1343584572724981</v>
      </c>
      <c r="N1977" s="5">
        <v>1</v>
      </c>
      <c r="O1977" s="10">
        <f t="shared" si="378"/>
        <v>1.1343584572724981</v>
      </c>
    </row>
    <row r="1978" spans="1:15" ht="13.5" hidden="1" customHeight="1">
      <c r="B1978" s="33">
        <f t="shared" si="379"/>
        <v>83</v>
      </c>
      <c r="C1978" s="60" t="s">
        <v>598</v>
      </c>
      <c r="D1978" s="60" t="s">
        <v>520</v>
      </c>
      <c r="E1978" s="61"/>
      <c r="F1978" s="61" t="s">
        <v>510</v>
      </c>
      <c r="G1978" s="36">
        <f>333*18.5</f>
        <v>6160.5</v>
      </c>
      <c r="H1978" s="36">
        <v>1861</v>
      </c>
      <c r="I1978" s="36">
        <v>3790</v>
      </c>
      <c r="J1978" s="36">
        <v>500</v>
      </c>
      <c r="K1978" s="36">
        <f t="shared" si="376"/>
        <v>12311.5</v>
      </c>
      <c r="L1978" s="36">
        <v>13500</v>
      </c>
      <c r="M1978" s="9">
        <f t="shared" si="377"/>
        <v>1.0965357592494822</v>
      </c>
      <c r="N1978" s="5">
        <v>1</v>
      </c>
      <c r="O1978" s="10">
        <f t="shared" si="378"/>
        <v>1.0965357592494822</v>
      </c>
    </row>
    <row r="1979" spans="1:15" ht="17.25" hidden="1" customHeight="1">
      <c r="A1979" s="66" t="s">
        <v>45</v>
      </c>
      <c r="B1979" s="66"/>
      <c r="C1979" s="66"/>
      <c r="D1979" s="66"/>
      <c r="E1979" s="66"/>
      <c r="F1979" s="66"/>
      <c r="G1979" s="66"/>
      <c r="H1979" s="66"/>
      <c r="I1979" s="66"/>
      <c r="J1979" s="66"/>
      <c r="K1979" s="66"/>
      <c r="L1979" s="66"/>
      <c r="M1979" s="66"/>
      <c r="N1979" s="22">
        <f>SUM(N1896:N1978)</f>
        <v>83</v>
      </c>
      <c r="O1979" s="23">
        <f>SUM(O1896:O1978)</f>
        <v>91.5652463775195</v>
      </c>
    </row>
    <row r="1980" spans="1:15" ht="13.5" hidden="1" customHeight="1">
      <c r="A1980" s="44" t="s">
        <v>671</v>
      </c>
      <c r="B1980" s="44"/>
      <c r="C1980" s="44"/>
      <c r="D1980" s="44"/>
      <c r="E1980" s="44"/>
      <c r="F1980" s="44"/>
      <c r="G1980" s="44"/>
      <c r="H1980" s="44"/>
      <c r="I1980" s="44"/>
      <c r="J1980" s="44"/>
      <c r="K1980" s="44"/>
      <c r="L1980" s="44"/>
      <c r="M1980" s="44"/>
      <c r="N1980" s="44"/>
      <c r="O1980" s="44"/>
    </row>
    <row r="1981" spans="1:15" ht="13.5" hidden="1" customHeight="1">
      <c r="B1981" s="33">
        <v>1</v>
      </c>
      <c r="C1981" s="60" t="s">
        <v>599</v>
      </c>
      <c r="D1981" s="60" t="s">
        <v>522</v>
      </c>
      <c r="E1981" s="61"/>
      <c r="F1981" s="61" t="s">
        <v>213</v>
      </c>
      <c r="G1981" s="36">
        <f>333*21.5</f>
        <v>7159.5</v>
      </c>
      <c r="H1981" s="36">
        <v>1861</v>
      </c>
      <c r="I1981" s="36">
        <v>3790</v>
      </c>
      <c r="J1981" s="36">
        <v>0</v>
      </c>
      <c r="K1981" s="36">
        <f t="shared" ref="K1981:K2044" si="383">SUM(G1981:J1981)</f>
        <v>12810.5</v>
      </c>
      <c r="L1981" s="36">
        <v>13500</v>
      </c>
      <c r="M1981" s="9">
        <f t="shared" ref="M1981:M2044" si="384">L1981/K1981</f>
        <v>1.0538230357909528</v>
      </c>
      <c r="N1981" s="5">
        <v>1</v>
      </c>
      <c r="O1981" s="10">
        <f t="shared" ref="O1981:O2044" si="385">N1981*M1981</f>
        <v>1.0538230357909528</v>
      </c>
    </row>
    <row r="1982" spans="1:15" ht="13.5" hidden="1" customHeight="1">
      <c r="B1982" s="33">
        <f>+B1981+1</f>
        <v>2</v>
      </c>
      <c r="C1982" s="60" t="s">
        <v>611</v>
      </c>
      <c r="D1982" s="60" t="s">
        <v>535</v>
      </c>
      <c r="E1982" s="61"/>
      <c r="F1982" s="61" t="s">
        <v>213</v>
      </c>
      <c r="G1982" s="36">
        <f t="shared" ref="G1982:G1986" si="386">333*21.5</f>
        <v>7159.5</v>
      </c>
      <c r="H1982" s="36">
        <v>1861</v>
      </c>
      <c r="I1982" s="36">
        <v>3790</v>
      </c>
      <c r="J1982" s="36">
        <v>0</v>
      </c>
      <c r="K1982" s="36">
        <f t="shared" si="383"/>
        <v>12810.5</v>
      </c>
      <c r="L1982" s="36">
        <v>13500</v>
      </c>
      <c r="M1982" s="9">
        <f t="shared" si="384"/>
        <v>1.0538230357909528</v>
      </c>
      <c r="N1982" s="5">
        <v>1</v>
      </c>
      <c r="O1982" s="10">
        <f t="shared" si="385"/>
        <v>1.0538230357909528</v>
      </c>
    </row>
    <row r="1983" spans="1:15" ht="13.5" hidden="1" customHeight="1">
      <c r="B1983" s="33">
        <f t="shared" ref="B1983:B2046" si="387">+B1982+1</f>
        <v>3</v>
      </c>
      <c r="C1983" s="60" t="s">
        <v>629</v>
      </c>
      <c r="D1983" s="60" t="s">
        <v>552</v>
      </c>
      <c r="E1983" s="61"/>
      <c r="F1983" s="61" t="s">
        <v>213</v>
      </c>
      <c r="G1983" s="36">
        <f t="shared" si="386"/>
        <v>7159.5</v>
      </c>
      <c r="H1983" s="36">
        <v>1861</v>
      </c>
      <c r="I1983" s="36">
        <v>3790</v>
      </c>
      <c r="J1983" s="36">
        <v>0</v>
      </c>
      <c r="K1983" s="36">
        <f t="shared" si="383"/>
        <v>12810.5</v>
      </c>
      <c r="L1983" s="36">
        <v>13500</v>
      </c>
      <c r="M1983" s="9">
        <f t="shared" si="384"/>
        <v>1.0538230357909528</v>
      </c>
      <c r="N1983" s="5">
        <v>1</v>
      </c>
      <c r="O1983" s="10">
        <f t="shared" si="385"/>
        <v>1.0538230357909528</v>
      </c>
    </row>
    <row r="1984" spans="1:15" ht="13.5" hidden="1" customHeight="1">
      <c r="B1984" s="33">
        <f t="shared" si="387"/>
        <v>4</v>
      </c>
      <c r="C1984" s="60" t="s">
        <v>635</v>
      </c>
      <c r="D1984" s="60" t="s">
        <v>558</v>
      </c>
      <c r="E1984" s="61"/>
      <c r="F1984" s="61" t="s">
        <v>213</v>
      </c>
      <c r="G1984" s="36">
        <f t="shared" si="386"/>
        <v>7159.5</v>
      </c>
      <c r="H1984" s="36">
        <v>1861</v>
      </c>
      <c r="I1984" s="36">
        <v>3790</v>
      </c>
      <c r="J1984" s="36">
        <v>0</v>
      </c>
      <c r="K1984" s="36">
        <f t="shared" si="383"/>
        <v>12810.5</v>
      </c>
      <c r="L1984" s="36">
        <v>13500</v>
      </c>
      <c r="M1984" s="9">
        <f t="shared" si="384"/>
        <v>1.0538230357909528</v>
      </c>
      <c r="N1984" s="5">
        <v>1</v>
      </c>
      <c r="O1984" s="10">
        <f t="shared" si="385"/>
        <v>1.0538230357909528</v>
      </c>
    </row>
    <row r="1985" spans="2:15" ht="13.5" hidden="1" customHeight="1">
      <c r="B1985" s="33">
        <f t="shared" si="387"/>
        <v>5</v>
      </c>
      <c r="C1985" s="60" t="s">
        <v>663</v>
      </c>
      <c r="D1985" s="60" t="s">
        <v>586</v>
      </c>
      <c r="E1985" s="61"/>
      <c r="F1985" s="61" t="s">
        <v>213</v>
      </c>
      <c r="G1985" s="36">
        <f t="shared" si="386"/>
        <v>7159.5</v>
      </c>
      <c r="H1985" s="36">
        <v>1861</v>
      </c>
      <c r="I1985" s="36">
        <v>3790</v>
      </c>
      <c r="J1985" s="36">
        <v>0</v>
      </c>
      <c r="K1985" s="36">
        <f t="shared" si="383"/>
        <v>12810.5</v>
      </c>
      <c r="L1985" s="36">
        <v>13500</v>
      </c>
      <c r="M1985" s="9">
        <f t="shared" si="384"/>
        <v>1.0538230357909528</v>
      </c>
      <c r="N1985" s="5">
        <v>1</v>
      </c>
      <c r="O1985" s="10">
        <f t="shared" si="385"/>
        <v>1.0538230357909528</v>
      </c>
    </row>
    <row r="1986" spans="2:15" ht="13.5" hidden="1" customHeight="1">
      <c r="B1986" s="33">
        <f t="shared" si="387"/>
        <v>6</v>
      </c>
      <c r="C1986" s="60" t="s">
        <v>666</v>
      </c>
      <c r="D1986" s="60" t="s">
        <v>589</v>
      </c>
      <c r="E1986" s="61"/>
      <c r="F1986" s="61" t="s">
        <v>213</v>
      </c>
      <c r="G1986" s="36">
        <f t="shared" si="386"/>
        <v>7159.5</v>
      </c>
      <c r="H1986" s="36">
        <v>1861</v>
      </c>
      <c r="I1986" s="36">
        <v>3790</v>
      </c>
      <c r="J1986" s="36">
        <v>0</v>
      </c>
      <c r="K1986" s="36">
        <f t="shared" si="383"/>
        <v>12810.5</v>
      </c>
      <c r="L1986" s="36">
        <v>13500</v>
      </c>
      <c r="M1986" s="9">
        <f t="shared" si="384"/>
        <v>1.0538230357909528</v>
      </c>
      <c r="N1986" s="5">
        <v>1</v>
      </c>
      <c r="O1986" s="10">
        <f t="shared" si="385"/>
        <v>1.0538230357909528</v>
      </c>
    </row>
    <row r="1987" spans="2:15" ht="13.5" hidden="1" customHeight="1">
      <c r="B1987" s="33">
        <f t="shared" si="387"/>
        <v>7</v>
      </c>
      <c r="C1987" s="60" t="s">
        <v>648</v>
      </c>
      <c r="D1987" s="60" t="s">
        <v>570</v>
      </c>
      <c r="E1987" s="61"/>
      <c r="F1987" s="61" t="s">
        <v>140</v>
      </c>
      <c r="G1987" s="36">
        <f>300*12</f>
        <v>3600</v>
      </c>
      <c r="H1987" s="36">
        <v>1861</v>
      </c>
      <c r="I1987" s="36">
        <v>3240</v>
      </c>
      <c r="J1987" s="36">
        <v>0</v>
      </c>
      <c r="K1987" s="36">
        <f t="shared" si="383"/>
        <v>8701</v>
      </c>
      <c r="L1987" s="36">
        <v>13500</v>
      </c>
      <c r="M1987" s="9">
        <f t="shared" si="384"/>
        <v>1.5515457993334099</v>
      </c>
      <c r="N1987" s="5">
        <v>1</v>
      </c>
      <c r="O1987" s="10">
        <f t="shared" si="385"/>
        <v>1.5515457993334099</v>
      </c>
    </row>
    <row r="1988" spans="2:15" ht="13.5" hidden="1" customHeight="1">
      <c r="B1988" s="33">
        <f t="shared" si="387"/>
        <v>8</v>
      </c>
      <c r="C1988" s="60" t="s">
        <v>624</v>
      </c>
      <c r="D1988" s="60" t="s">
        <v>547</v>
      </c>
      <c r="E1988" s="61"/>
      <c r="F1988" s="61" t="s">
        <v>428</v>
      </c>
      <c r="G1988" s="36">
        <v>0</v>
      </c>
      <c r="H1988" s="36">
        <v>0</v>
      </c>
      <c r="I1988" s="36">
        <v>0</v>
      </c>
      <c r="J1988" s="36">
        <v>0</v>
      </c>
      <c r="K1988" s="36">
        <f t="shared" si="383"/>
        <v>0</v>
      </c>
      <c r="L1988" s="36">
        <v>13500</v>
      </c>
      <c r="M1988" s="9" t="e">
        <f t="shared" si="384"/>
        <v>#DIV/0!</v>
      </c>
      <c r="N1988" s="5">
        <v>1</v>
      </c>
      <c r="O1988" s="10" t="e">
        <f t="shared" si="385"/>
        <v>#DIV/0!</v>
      </c>
    </row>
    <row r="1989" spans="2:15" ht="13.5" hidden="1" customHeight="1">
      <c r="B1989" s="33">
        <f t="shared" si="387"/>
        <v>9</v>
      </c>
      <c r="C1989" s="60" t="s">
        <v>651</v>
      </c>
      <c r="D1989" s="60" t="s">
        <v>573</v>
      </c>
      <c r="E1989" s="61"/>
      <c r="F1989" s="61" t="s">
        <v>41</v>
      </c>
      <c r="G1989" s="36">
        <f>333*21</f>
        <v>6993</v>
      </c>
      <c r="H1989" s="36">
        <v>1861</v>
      </c>
      <c r="I1989" s="36">
        <v>3790</v>
      </c>
      <c r="J1989" s="36">
        <v>500</v>
      </c>
      <c r="K1989" s="36">
        <f t="shared" si="383"/>
        <v>13144</v>
      </c>
      <c r="L1989" s="36">
        <v>13500</v>
      </c>
      <c r="M1989" s="9">
        <f t="shared" si="384"/>
        <v>1.027084601339014</v>
      </c>
      <c r="N1989" s="5">
        <v>1</v>
      </c>
      <c r="O1989" s="10">
        <f t="shared" si="385"/>
        <v>1.027084601339014</v>
      </c>
    </row>
    <row r="1990" spans="2:15" ht="13.5" hidden="1" customHeight="1">
      <c r="B1990" s="33">
        <f t="shared" si="387"/>
        <v>10</v>
      </c>
      <c r="C1990" s="60" t="s">
        <v>656</v>
      </c>
      <c r="D1990" s="60" t="s">
        <v>579</v>
      </c>
      <c r="E1990" s="61"/>
      <c r="F1990" s="61" t="s">
        <v>41</v>
      </c>
      <c r="G1990" s="36">
        <f>333*15.5</f>
        <v>5161.5</v>
      </c>
      <c r="H1990" s="36">
        <v>1861</v>
      </c>
      <c r="I1990" s="36">
        <v>3790</v>
      </c>
      <c r="J1990" s="36">
        <v>500</v>
      </c>
      <c r="K1990" s="36">
        <f t="shared" si="383"/>
        <v>11312.5</v>
      </c>
      <c r="L1990" s="36">
        <v>13500</v>
      </c>
      <c r="M1990" s="9">
        <f t="shared" si="384"/>
        <v>1.1933701657458564</v>
      </c>
      <c r="N1990" s="5">
        <v>1</v>
      </c>
      <c r="O1990" s="10">
        <f t="shared" si="385"/>
        <v>1.1933701657458564</v>
      </c>
    </row>
    <row r="1991" spans="2:15" ht="13.5" hidden="1" customHeight="1">
      <c r="B1991" s="33">
        <f t="shared" si="387"/>
        <v>11</v>
      </c>
      <c r="C1991" s="60" t="s">
        <v>661</v>
      </c>
      <c r="D1991" s="60" t="s">
        <v>584</v>
      </c>
      <c r="E1991" s="61"/>
      <c r="F1991" s="61" t="s">
        <v>41</v>
      </c>
      <c r="G1991" s="36">
        <f>333*15.5</f>
        <v>5161.5</v>
      </c>
      <c r="H1991" s="36">
        <v>1861</v>
      </c>
      <c r="I1991" s="36">
        <v>3790</v>
      </c>
      <c r="J1991" s="36">
        <v>500</v>
      </c>
      <c r="K1991" s="36">
        <f t="shared" si="383"/>
        <v>11312.5</v>
      </c>
      <c r="L1991" s="36">
        <v>13500</v>
      </c>
      <c r="M1991" s="9">
        <f t="shared" si="384"/>
        <v>1.1933701657458564</v>
      </c>
      <c r="N1991" s="5">
        <v>1</v>
      </c>
      <c r="O1991" s="10">
        <f t="shared" si="385"/>
        <v>1.1933701657458564</v>
      </c>
    </row>
    <row r="1992" spans="2:15" ht="13.5" hidden="1" customHeight="1">
      <c r="B1992" s="33">
        <f t="shared" si="387"/>
        <v>12</v>
      </c>
      <c r="C1992" s="60" t="s">
        <v>660</v>
      </c>
      <c r="D1992" s="60" t="s">
        <v>583</v>
      </c>
      <c r="E1992" s="61"/>
      <c r="F1992" s="61" t="s">
        <v>42</v>
      </c>
      <c r="G1992" s="36">
        <f>333*21</f>
        <v>6993</v>
      </c>
      <c r="H1992" s="36">
        <v>1861</v>
      </c>
      <c r="I1992" s="36">
        <v>3240</v>
      </c>
      <c r="J1992" s="36">
        <v>500</v>
      </c>
      <c r="K1992" s="36">
        <f t="shared" si="383"/>
        <v>12594</v>
      </c>
      <c r="L1992" s="36">
        <v>13500</v>
      </c>
      <c r="M1992" s="9">
        <f t="shared" si="384"/>
        <v>1.0719390185802764</v>
      </c>
      <c r="N1992" s="5">
        <v>1</v>
      </c>
      <c r="O1992" s="10">
        <f t="shared" si="385"/>
        <v>1.0719390185802764</v>
      </c>
    </row>
    <row r="1993" spans="2:15" ht="13.5" hidden="1" customHeight="1">
      <c r="B1993" s="33">
        <f t="shared" si="387"/>
        <v>13</v>
      </c>
      <c r="C1993" s="60" t="s">
        <v>657</v>
      </c>
      <c r="D1993" s="60" t="s">
        <v>580</v>
      </c>
      <c r="E1993" s="61"/>
      <c r="F1993" s="61" t="s">
        <v>25</v>
      </c>
      <c r="G1993" s="36">
        <f>300*18</f>
        <v>5400</v>
      </c>
      <c r="H1993" s="36">
        <v>1861</v>
      </c>
      <c r="I1993" s="36">
        <v>340</v>
      </c>
      <c r="J1993" s="36">
        <v>500</v>
      </c>
      <c r="K1993" s="36">
        <f t="shared" si="383"/>
        <v>8101</v>
      </c>
      <c r="L1993" s="36">
        <v>13500</v>
      </c>
      <c r="M1993" s="9">
        <f t="shared" si="384"/>
        <v>1.6664609307492901</v>
      </c>
      <c r="N1993" s="5">
        <v>1</v>
      </c>
      <c r="O1993" s="10">
        <f t="shared" si="385"/>
        <v>1.6664609307492901</v>
      </c>
    </row>
    <row r="1994" spans="2:15" ht="13.5" hidden="1" customHeight="1">
      <c r="B1994" s="33">
        <f t="shared" si="387"/>
        <v>14</v>
      </c>
      <c r="C1994" s="60" t="s">
        <v>604</v>
      </c>
      <c r="D1994" s="60" t="s">
        <v>528</v>
      </c>
      <c r="E1994" s="61"/>
      <c r="F1994" s="61" t="s">
        <v>417</v>
      </c>
      <c r="G1994" s="36">
        <v>0</v>
      </c>
      <c r="H1994" s="36">
        <v>0</v>
      </c>
      <c r="I1994" s="36">
        <v>0</v>
      </c>
      <c r="J1994" s="36">
        <v>0</v>
      </c>
      <c r="K1994" s="36">
        <f t="shared" si="383"/>
        <v>0</v>
      </c>
      <c r="L1994" s="36">
        <v>13500</v>
      </c>
      <c r="M1994" s="9" t="e">
        <f t="shared" si="384"/>
        <v>#DIV/0!</v>
      </c>
      <c r="N1994" s="5">
        <v>1</v>
      </c>
      <c r="O1994" s="10" t="e">
        <f t="shared" si="385"/>
        <v>#DIV/0!</v>
      </c>
    </row>
    <row r="1995" spans="2:15" ht="13.5" hidden="1" customHeight="1">
      <c r="B1995" s="33">
        <f t="shared" si="387"/>
        <v>15</v>
      </c>
      <c r="C1995" s="60" t="s">
        <v>594</v>
      </c>
      <c r="D1995" s="60" t="s">
        <v>513</v>
      </c>
      <c r="E1995" s="61"/>
      <c r="F1995" s="61" t="s">
        <v>417</v>
      </c>
      <c r="G1995" s="36">
        <v>0</v>
      </c>
      <c r="H1995" s="36">
        <v>0</v>
      </c>
      <c r="I1995" s="36">
        <v>0</v>
      </c>
      <c r="J1995" s="36">
        <v>0</v>
      </c>
      <c r="K1995" s="36">
        <f t="shared" si="383"/>
        <v>0</v>
      </c>
      <c r="L1995" s="36">
        <v>13500</v>
      </c>
      <c r="M1995" s="9" t="e">
        <f t="shared" si="384"/>
        <v>#DIV/0!</v>
      </c>
      <c r="N1995" s="5">
        <v>1</v>
      </c>
      <c r="O1995" s="10" t="e">
        <f t="shared" si="385"/>
        <v>#DIV/0!</v>
      </c>
    </row>
    <row r="1996" spans="2:15" ht="13.5" hidden="1" customHeight="1">
      <c r="B1996" s="33">
        <f t="shared" si="387"/>
        <v>16</v>
      </c>
      <c r="C1996" s="60" t="s">
        <v>616</v>
      </c>
      <c r="D1996" s="60" t="s">
        <v>540</v>
      </c>
      <c r="E1996" s="61"/>
      <c r="F1996" s="61" t="s">
        <v>159</v>
      </c>
      <c r="G1996" s="36">
        <f>333*15</f>
        <v>4995</v>
      </c>
      <c r="H1996" s="36">
        <v>1861</v>
      </c>
      <c r="I1996" s="36">
        <v>3240</v>
      </c>
      <c r="J1996" s="36">
        <v>900</v>
      </c>
      <c r="K1996" s="36">
        <f t="shared" si="383"/>
        <v>10996</v>
      </c>
      <c r="L1996" s="36">
        <v>13500</v>
      </c>
      <c r="M1996" s="9">
        <f t="shared" si="384"/>
        <v>1.2277191706074937</v>
      </c>
      <c r="N1996" s="5">
        <v>1</v>
      </c>
      <c r="O1996" s="10">
        <f t="shared" si="385"/>
        <v>1.2277191706074937</v>
      </c>
    </row>
    <row r="1997" spans="2:15" ht="13.5" hidden="1" customHeight="1">
      <c r="B1997" s="33">
        <f t="shared" si="387"/>
        <v>17</v>
      </c>
      <c r="C1997" s="60" t="s">
        <v>628</v>
      </c>
      <c r="D1997" s="60" t="s">
        <v>551</v>
      </c>
      <c r="E1997" s="61"/>
      <c r="F1997" s="61" t="s">
        <v>159</v>
      </c>
      <c r="G1997" s="36">
        <f t="shared" ref="G1997:G2000" si="388">333*15</f>
        <v>4995</v>
      </c>
      <c r="H1997" s="36">
        <v>1861</v>
      </c>
      <c r="I1997" s="36">
        <v>3240</v>
      </c>
      <c r="J1997" s="36">
        <v>900</v>
      </c>
      <c r="K1997" s="36">
        <f t="shared" si="383"/>
        <v>10996</v>
      </c>
      <c r="L1997" s="36">
        <v>13500</v>
      </c>
      <c r="M1997" s="9">
        <f t="shared" si="384"/>
        <v>1.2277191706074937</v>
      </c>
      <c r="N1997" s="5">
        <v>1</v>
      </c>
      <c r="O1997" s="10">
        <f t="shared" si="385"/>
        <v>1.2277191706074937</v>
      </c>
    </row>
    <row r="1998" spans="2:15" ht="13.5" hidden="1" customHeight="1">
      <c r="B1998" s="33">
        <f t="shared" si="387"/>
        <v>18</v>
      </c>
      <c r="C1998" s="60" t="s">
        <v>650</v>
      </c>
      <c r="D1998" s="60" t="s">
        <v>572</v>
      </c>
      <c r="E1998" s="61"/>
      <c r="F1998" s="61" t="s">
        <v>159</v>
      </c>
      <c r="G1998" s="36">
        <f t="shared" si="388"/>
        <v>4995</v>
      </c>
      <c r="H1998" s="36">
        <v>1861</v>
      </c>
      <c r="I1998" s="36">
        <v>3240</v>
      </c>
      <c r="J1998" s="36">
        <v>900</v>
      </c>
      <c r="K1998" s="36">
        <f t="shared" si="383"/>
        <v>10996</v>
      </c>
      <c r="L1998" s="36">
        <v>13500</v>
      </c>
      <c r="M1998" s="9">
        <f t="shared" si="384"/>
        <v>1.2277191706074937</v>
      </c>
      <c r="N1998" s="5">
        <v>1</v>
      </c>
      <c r="O1998" s="10">
        <f t="shared" si="385"/>
        <v>1.2277191706074937</v>
      </c>
    </row>
    <row r="1999" spans="2:15" ht="13.5" hidden="1" customHeight="1">
      <c r="B1999" s="33">
        <f t="shared" si="387"/>
        <v>19</v>
      </c>
      <c r="C1999" s="60" t="s">
        <v>662</v>
      </c>
      <c r="D1999" s="60" t="s">
        <v>585</v>
      </c>
      <c r="E1999" s="61"/>
      <c r="F1999" s="61" t="s">
        <v>159</v>
      </c>
      <c r="G1999" s="36">
        <f t="shared" si="388"/>
        <v>4995</v>
      </c>
      <c r="H1999" s="36">
        <v>1861</v>
      </c>
      <c r="I1999" s="36">
        <v>3240</v>
      </c>
      <c r="J1999" s="36">
        <v>900</v>
      </c>
      <c r="K1999" s="36">
        <f t="shared" si="383"/>
        <v>10996</v>
      </c>
      <c r="L1999" s="36">
        <v>13500</v>
      </c>
      <c r="M1999" s="9">
        <f t="shared" si="384"/>
        <v>1.2277191706074937</v>
      </c>
      <c r="N1999" s="5">
        <v>1</v>
      </c>
      <c r="O1999" s="10">
        <f t="shared" si="385"/>
        <v>1.2277191706074937</v>
      </c>
    </row>
    <row r="2000" spans="2:15" ht="13.5" hidden="1" customHeight="1">
      <c r="B2000" s="33">
        <f t="shared" si="387"/>
        <v>20</v>
      </c>
      <c r="C2000" s="60" t="s">
        <v>160</v>
      </c>
      <c r="D2000" s="60" t="s">
        <v>515</v>
      </c>
      <c r="E2000" s="61"/>
      <c r="F2000" s="61" t="s">
        <v>159</v>
      </c>
      <c r="G2000" s="36">
        <f t="shared" si="388"/>
        <v>4995</v>
      </c>
      <c r="H2000" s="36">
        <v>1861</v>
      </c>
      <c r="I2000" s="36">
        <v>3240</v>
      </c>
      <c r="J2000" s="36">
        <v>900</v>
      </c>
      <c r="K2000" s="36">
        <f t="shared" si="383"/>
        <v>10996</v>
      </c>
      <c r="L2000" s="36">
        <v>13500</v>
      </c>
      <c r="M2000" s="9">
        <f t="shared" si="384"/>
        <v>1.2277191706074937</v>
      </c>
      <c r="N2000" s="5">
        <v>1</v>
      </c>
      <c r="O2000" s="10">
        <f t="shared" si="385"/>
        <v>1.2277191706074937</v>
      </c>
    </row>
    <row r="2001" spans="2:15" ht="13.5" hidden="1" customHeight="1">
      <c r="B2001" s="33">
        <f t="shared" si="387"/>
        <v>21</v>
      </c>
      <c r="C2001" s="60" t="s">
        <v>623</v>
      </c>
      <c r="D2001" s="60" t="s">
        <v>150</v>
      </c>
      <c r="E2001" s="61"/>
      <c r="F2001" s="61" t="s">
        <v>37</v>
      </c>
      <c r="G2001" s="36">
        <f>333*18</f>
        <v>5994</v>
      </c>
      <c r="H2001" s="36">
        <v>1861</v>
      </c>
      <c r="I2001" s="36">
        <v>3240</v>
      </c>
      <c r="J2001" s="36">
        <v>0</v>
      </c>
      <c r="K2001" s="36">
        <f t="shared" si="383"/>
        <v>11095</v>
      </c>
      <c r="L2001" s="36">
        <v>13500</v>
      </c>
      <c r="M2001" s="9">
        <f t="shared" si="384"/>
        <v>1.2167643082469581</v>
      </c>
      <c r="N2001" s="5">
        <v>1</v>
      </c>
      <c r="O2001" s="10">
        <f t="shared" si="385"/>
        <v>1.2167643082469581</v>
      </c>
    </row>
    <row r="2002" spans="2:15" ht="13.5" hidden="1" customHeight="1">
      <c r="B2002" s="33">
        <f t="shared" si="387"/>
        <v>22</v>
      </c>
      <c r="C2002" s="60" t="s">
        <v>644</v>
      </c>
      <c r="D2002" s="60" t="s">
        <v>153</v>
      </c>
      <c r="E2002" s="61"/>
      <c r="F2002" s="61" t="s">
        <v>37</v>
      </c>
      <c r="G2002" s="36">
        <f>333*18</f>
        <v>5994</v>
      </c>
      <c r="H2002" s="36">
        <v>1861</v>
      </c>
      <c r="I2002" s="36">
        <v>3240</v>
      </c>
      <c r="J2002" s="36">
        <v>0</v>
      </c>
      <c r="K2002" s="36">
        <f t="shared" si="383"/>
        <v>11095</v>
      </c>
      <c r="L2002" s="36">
        <v>13500</v>
      </c>
      <c r="M2002" s="9">
        <f t="shared" si="384"/>
        <v>1.2167643082469581</v>
      </c>
      <c r="N2002" s="5">
        <v>1</v>
      </c>
      <c r="O2002" s="10">
        <f t="shared" si="385"/>
        <v>1.2167643082469581</v>
      </c>
    </row>
    <row r="2003" spans="2:15" ht="13.5" hidden="1" customHeight="1">
      <c r="B2003" s="33">
        <f t="shared" si="387"/>
        <v>23</v>
      </c>
      <c r="C2003" s="60" t="s">
        <v>599</v>
      </c>
      <c r="D2003" s="60" t="s">
        <v>521</v>
      </c>
      <c r="E2003" s="61"/>
      <c r="F2003" s="61" t="s">
        <v>511</v>
      </c>
      <c r="G2003" s="36">
        <f>333*18.5</f>
        <v>6160.5</v>
      </c>
      <c r="H2003" s="36">
        <v>1861</v>
      </c>
      <c r="I2003" s="36">
        <v>3790</v>
      </c>
      <c r="J2003" s="36">
        <v>750</v>
      </c>
      <c r="K2003" s="36">
        <f t="shared" si="383"/>
        <v>12561.5</v>
      </c>
      <c r="L2003" s="36">
        <v>13500</v>
      </c>
      <c r="M2003" s="9">
        <f t="shared" si="384"/>
        <v>1.0747124149186005</v>
      </c>
      <c r="N2003" s="5">
        <v>1</v>
      </c>
      <c r="O2003" s="10">
        <f t="shared" si="385"/>
        <v>1.0747124149186005</v>
      </c>
    </row>
    <row r="2004" spans="2:15" ht="13.5" hidden="1" customHeight="1">
      <c r="B2004" s="33">
        <f t="shared" si="387"/>
        <v>24</v>
      </c>
      <c r="C2004" s="60" t="s">
        <v>602</v>
      </c>
      <c r="D2004" s="60" t="s">
        <v>525</v>
      </c>
      <c r="E2004" s="61"/>
      <c r="F2004" s="61" t="s">
        <v>511</v>
      </c>
      <c r="G2004" s="36">
        <f t="shared" ref="G2004:G2009" si="389">333*18.5</f>
        <v>6160.5</v>
      </c>
      <c r="H2004" s="36">
        <v>1861</v>
      </c>
      <c r="I2004" s="36">
        <v>3790</v>
      </c>
      <c r="J2004" s="36">
        <v>750</v>
      </c>
      <c r="K2004" s="36">
        <f t="shared" si="383"/>
        <v>12561.5</v>
      </c>
      <c r="L2004" s="36">
        <v>13500</v>
      </c>
      <c r="M2004" s="9">
        <f t="shared" si="384"/>
        <v>1.0747124149186005</v>
      </c>
      <c r="N2004" s="5">
        <v>1</v>
      </c>
      <c r="O2004" s="10">
        <f t="shared" si="385"/>
        <v>1.0747124149186005</v>
      </c>
    </row>
    <row r="2005" spans="2:15" ht="13.5" hidden="1" customHeight="1">
      <c r="B2005" s="33">
        <f t="shared" si="387"/>
        <v>25</v>
      </c>
      <c r="C2005" s="60" t="s">
        <v>609</v>
      </c>
      <c r="D2005" s="60" t="s">
        <v>533</v>
      </c>
      <c r="E2005" s="61"/>
      <c r="F2005" s="61" t="s">
        <v>511</v>
      </c>
      <c r="G2005" s="36">
        <f t="shared" si="389"/>
        <v>6160.5</v>
      </c>
      <c r="H2005" s="36">
        <v>1861</v>
      </c>
      <c r="I2005" s="36">
        <v>3790</v>
      </c>
      <c r="J2005" s="36">
        <v>750</v>
      </c>
      <c r="K2005" s="36">
        <f t="shared" si="383"/>
        <v>12561.5</v>
      </c>
      <c r="L2005" s="36">
        <v>13500</v>
      </c>
      <c r="M2005" s="9">
        <f t="shared" si="384"/>
        <v>1.0747124149186005</v>
      </c>
      <c r="N2005" s="5">
        <v>1</v>
      </c>
      <c r="O2005" s="10">
        <f t="shared" si="385"/>
        <v>1.0747124149186005</v>
      </c>
    </row>
    <row r="2006" spans="2:15" ht="13.5" hidden="1" customHeight="1">
      <c r="B2006" s="33">
        <f t="shared" si="387"/>
        <v>26</v>
      </c>
      <c r="C2006" s="60" t="s">
        <v>612</v>
      </c>
      <c r="D2006" s="60" t="s">
        <v>536</v>
      </c>
      <c r="E2006" s="61"/>
      <c r="F2006" s="61" t="s">
        <v>511</v>
      </c>
      <c r="G2006" s="36">
        <f t="shared" si="389"/>
        <v>6160.5</v>
      </c>
      <c r="H2006" s="36">
        <v>1861</v>
      </c>
      <c r="I2006" s="36">
        <v>3790</v>
      </c>
      <c r="J2006" s="36">
        <v>750</v>
      </c>
      <c r="K2006" s="36">
        <f t="shared" si="383"/>
        <v>12561.5</v>
      </c>
      <c r="L2006" s="36">
        <v>13500</v>
      </c>
      <c r="M2006" s="9">
        <f t="shared" si="384"/>
        <v>1.0747124149186005</v>
      </c>
      <c r="N2006" s="5">
        <v>1</v>
      </c>
      <c r="O2006" s="10">
        <f t="shared" si="385"/>
        <v>1.0747124149186005</v>
      </c>
    </row>
    <row r="2007" spans="2:15" ht="13.5" hidden="1" customHeight="1">
      <c r="B2007" s="33">
        <f t="shared" si="387"/>
        <v>27</v>
      </c>
      <c r="C2007" s="60" t="s">
        <v>613</v>
      </c>
      <c r="D2007" s="60" t="s">
        <v>537</v>
      </c>
      <c r="E2007" s="61"/>
      <c r="F2007" s="61" t="s">
        <v>511</v>
      </c>
      <c r="G2007" s="36">
        <f t="shared" si="389"/>
        <v>6160.5</v>
      </c>
      <c r="H2007" s="36">
        <v>1861</v>
      </c>
      <c r="I2007" s="36">
        <v>3790</v>
      </c>
      <c r="J2007" s="36">
        <v>750</v>
      </c>
      <c r="K2007" s="36">
        <f t="shared" si="383"/>
        <v>12561.5</v>
      </c>
      <c r="L2007" s="36">
        <v>13500</v>
      </c>
      <c r="M2007" s="9">
        <f t="shared" si="384"/>
        <v>1.0747124149186005</v>
      </c>
      <c r="N2007" s="5">
        <v>1</v>
      </c>
      <c r="O2007" s="10">
        <f t="shared" si="385"/>
        <v>1.0747124149186005</v>
      </c>
    </row>
    <row r="2008" spans="2:15" ht="13.5" hidden="1" customHeight="1">
      <c r="B2008" s="33">
        <f t="shared" si="387"/>
        <v>28</v>
      </c>
      <c r="C2008" s="60" t="s">
        <v>615</v>
      </c>
      <c r="D2008" s="60" t="s">
        <v>539</v>
      </c>
      <c r="E2008" s="61"/>
      <c r="F2008" s="61" t="s">
        <v>511</v>
      </c>
      <c r="G2008" s="36">
        <f t="shared" si="389"/>
        <v>6160.5</v>
      </c>
      <c r="H2008" s="36">
        <v>1861</v>
      </c>
      <c r="I2008" s="36">
        <v>3790</v>
      </c>
      <c r="J2008" s="36">
        <v>750</v>
      </c>
      <c r="K2008" s="36">
        <f t="shared" si="383"/>
        <v>12561.5</v>
      </c>
      <c r="L2008" s="36">
        <v>13500</v>
      </c>
      <c r="M2008" s="9">
        <f t="shared" si="384"/>
        <v>1.0747124149186005</v>
      </c>
      <c r="N2008" s="5">
        <v>1</v>
      </c>
      <c r="O2008" s="10">
        <f t="shared" si="385"/>
        <v>1.0747124149186005</v>
      </c>
    </row>
    <row r="2009" spans="2:15" ht="13.5" hidden="1" customHeight="1">
      <c r="B2009" s="33">
        <f t="shared" si="387"/>
        <v>29</v>
      </c>
      <c r="C2009" s="60" t="s">
        <v>620</v>
      </c>
      <c r="D2009" s="60" t="s">
        <v>544</v>
      </c>
      <c r="E2009" s="61"/>
      <c r="F2009" s="61" t="s">
        <v>511</v>
      </c>
      <c r="G2009" s="36">
        <f t="shared" si="389"/>
        <v>6160.5</v>
      </c>
      <c r="H2009" s="36">
        <v>1861</v>
      </c>
      <c r="I2009" s="36">
        <v>3790</v>
      </c>
      <c r="J2009" s="36">
        <v>750</v>
      </c>
      <c r="K2009" s="36">
        <f t="shared" si="383"/>
        <v>12561.5</v>
      </c>
      <c r="L2009" s="36">
        <v>13500</v>
      </c>
      <c r="M2009" s="9">
        <f t="shared" si="384"/>
        <v>1.0747124149186005</v>
      </c>
      <c r="N2009" s="5">
        <v>1</v>
      </c>
      <c r="O2009" s="10">
        <f t="shared" si="385"/>
        <v>1.0747124149186005</v>
      </c>
    </row>
    <row r="2010" spans="2:15" ht="13.5" hidden="1" customHeight="1">
      <c r="B2010" s="33">
        <f t="shared" si="387"/>
        <v>30</v>
      </c>
      <c r="C2010" s="60" t="s">
        <v>627</v>
      </c>
      <c r="D2010" s="60" t="s">
        <v>550</v>
      </c>
      <c r="E2010" s="61"/>
      <c r="F2010" s="61" t="s">
        <v>511</v>
      </c>
      <c r="G2010" s="36">
        <f>333*21</f>
        <v>6993</v>
      </c>
      <c r="H2010" s="36">
        <v>1861</v>
      </c>
      <c r="I2010" s="36">
        <v>3790</v>
      </c>
      <c r="J2010" s="36">
        <v>750</v>
      </c>
      <c r="K2010" s="36">
        <f t="shared" si="383"/>
        <v>13394</v>
      </c>
      <c r="L2010" s="36">
        <v>13500</v>
      </c>
      <c r="M2010" s="9">
        <f t="shared" si="384"/>
        <v>1.0079139913394057</v>
      </c>
      <c r="N2010" s="5">
        <v>1</v>
      </c>
      <c r="O2010" s="10">
        <f t="shared" si="385"/>
        <v>1.0079139913394057</v>
      </c>
    </row>
    <row r="2011" spans="2:15" ht="13.5" hidden="1" customHeight="1">
      <c r="B2011" s="33">
        <f t="shared" si="387"/>
        <v>31</v>
      </c>
      <c r="C2011" s="60" t="s">
        <v>642</v>
      </c>
      <c r="D2011" s="60" t="s">
        <v>565</v>
      </c>
      <c r="E2011" s="61"/>
      <c r="F2011" s="61" t="s">
        <v>511</v>
      </c>
      <c r="G2011" s="36">
        <f>333*18.5</f>
        <v>6160.5</v>
      </c>
      <c r="H2011" s="36">
        <v>1861</v>
      </c>
      <c r="I2011" s="36">
        <v>3790</v>
      </c>
      <c r="J2011" s="36">
        <v>750</v>
      </c>
      <c r="K2011" s="36">
        <f t="shared" si="383"/>
        <v>12561.5</v>
      </c>
      <c r="L2011" s="36">
        <v>13500</v>
      </c>
      <c r="M2011" s="9">
        <f t="shared" si="384"/>
        <v>1.0747124149186005</v>
      </c>
      <c r="N2011" s="5">
        <v>1</v>
      </c>
      <c r="O2011" s="10">
        <f t="shared" si="385"/>
        <v>1.0747124149186005</v>
      </c>
    </row>
    <row r="2012" spans="2:15" ht="13.5" hidden="1" customHeight="1">
      <c r="B2012" s="33">
        <f t="shared" si="387"/>
        <v>32</v>
      </c>
      <c r="C2012" s="60" t="s">
        <v>646</v>
      </c>
      <c r="D2012" s="60" t="s">
        <v>568</v>
      </c>
      <c r="E2012" s="61"/>
      <c r="F2012" s="61" t="s">
        <v>511</v>
      </c>
      <c r="G2012" s="36">
        <f>333*18.5</f>
        <v>6160.5</v>
      </c>
      <c r="H2012" s="36">
        <v>1861</v>
      </c>
      <c r="I2012" s="36">
        <v>3790</v>
      </c>
      <c r="J2012" s="36">
        <v>750</v>
      </c>
      <c r="K2012" s="36">
        <f t="shared" si="383"/>
        <v>12561.5</v>
      </c>
      <c r="L2012" s="36">
        <v>13500</v>
      </c>
      <c r="M2012" s="9">
        <f t="shared" si="384"/>
        <v>1.0747124149186005</v>
      </c>
      <c r="N2012" s="5">
        <v>1</v>
      </c>
      <c r="O2012" s="10">
        <f t="shared" si="385"/>
        <v>1.0747124149186005</v>
      </c>
    </row>
    <row r="2013" spans="2:15" ht="13.5" hidden="1" customHeight="1">
      <c r="B2013" s="33">
        <f t="shared" si="387"/>
        <v>33</v>
      </c>
      <c r="C2013" s="60" t="s">
        <v>647</v>
      </c>
      <c r="D2013" s="60" t="s">
        <v>569</v>
      </c>
      <c r="E2013" s="61"/>
      <c r="F2013" s="61" t="s">
        <v>511</v>
      </c>
      <c r="G2013" s="36">
        <f>333*20</f>
        <v>6660</v>
      </c>
      <c r="H2013" s="36">
        <v>1861</v>
      </c>
      <c r="I2013" s="36">
        <v>3790</v>
      </c>
      <c r="J2013" s="36">
        <v>750</v>
      </c>
      <c r="K2013" s="36">
        <f t="shared" si="383"/>
        <v>13061</v>
      </c>
      <c r="L2013" s="36">
        <v>13500</v>
      </c>
      <c r="M2013" s="9">
        <f t="shared" si="384"/>
        <v>1.0336115151979175</v>
      </c>
      <c r="N2013" s="5">
        <v>1</v>
      </c>
      <c r="O2013" s="10">
        <f t="shared" si="385"/>
        <v>1.0336115151979175</v>
      </c>
    </row>
    <row r="2014" spans="2:15" ht="13.5" hidden="1" customHeight="1">
      <c r="B2014" s="33">
        <f t="shared" si="387"/>
        <v>34</v>
      </c>
      <c r="C2014" s="60" t="s">
        <v>653</v>
      </c>
      <c r="D2014" s="60" t="s">
        <v>575</v>
      </c>
      <c r="E2014" s="61"/>
      <c r="F2014" s="61" t="s">
        <v>511</v>
      </c>
      <c r="G2014" s="36">
        <f>333*18.5</f>
        <v>6160.5</v>
      </c>
      <c r="H2014" s="36">
        <v>1861</v>
      </c>
      <c r="I2014" s="36">
        <v>3790</v>
      </c>
      <c r="J2014" s="36">
        <v>750</v>
      </c>
      <c r="K2014" s="36">
        <f t="shared" si="383"/>
        <v>12561.5</v>
      </c>
      <c r="L2014" s="36">
        <v>13500</v>
      </c>
      <c r="M2014" s="9">
        <f t="shared" si="384"/>
        <v>1.0747124149186005</v>
      </c>
      <c r="N2014" s="5">
        <v>1</v>
      </c>
      <c r="O2014" s="10">
        <f t="shared" si="385"/>
        <v>1.0747124149186005</v>
      </c>
    </row>
    <row r="2015" spans="2:15" ht="13.5" hidden="1" customHeight="1">
      <c r="B2015" s="33">
        <f t="shared" si="387"/>
        <v>35</v>
      </c>
      <c r="C2015" s="60" t="s">
        <v>654</v>
      </c>
      <c r="D2015" s="60" t="s">
        <v>577</v>
      </c>
      <c r="E2015" s="61"/>
      <c r="F2015" s="61" t="s">
        <v>511</v>
      </c>
      <c r="G2015" s="36">
        <f t="shared" ref="G2015:G2016" si="390">333*18.5</f>
        <v>6160.5</v>
      </c>
      <c r="H2015" s="36">
        <v>1861</v>
      </c>
      <c r="I2015" s="36">
        <v>3790</v>
      </c>
      <c r="J2015" s="36">
        <v>750</v>
      </c>
      <c r="K2015" s="36">
        <f t="shared" si="383"/>
        <v>12561.5</v>
      </c>
      <c r="L2015" s="36">
        <v>13500</v>
      </c>
      <c r="M2015" s="9">
        <f t="shared" si="384"/>
        <v>1.0747124149186005</v>
      </c>
      <c r="N2015" s="5">
        <v>1</v>
      </c>
      <c r="O2015" s="10">
        <f t="shared" si="385"/>
        <v>1.0747124149186005</v>
      </c>
    </row>
    <row r="2016" spans="2:15" ht="13.5" hidden="1" customHeight="1">
      <c r="B2016" s="33">
        <f t="shared" si="387"/>
        <v>36</v>
      </c>
      <c r="C2016" s="60" t="s">
        <v>655</v>
      </c>
      <c r="D2016" s="60" t="s">
        <v>578</v>
      </c>
      <c r="E2016" s="61"/>
      <c r="F2016" s="61" t="s">
        <v>511</v>
      </c>
      <c r="G2016" s="36">
        <f t="shared" si="390"/>
        <v>6160.5</v>
      </c>
      <c r="H2016" s="36">
        <v>1861</v>
      </c>
      <c r="I2016" s="36">
        <v>3790</v>
      </c>
      <c r="J2016" s="36">
        <v>750</v>
      </c>
      <c r="K2016" s="36">
        <f t="shared" si="383"/>
        <v>12561.5</v>
      </c>
      <c r="L2016" s="36">
        <v>13500</v>
      </c>
      <c r="M2016" s="9">
        <f t="shared" si="384"/>
        <v>1.0747124149186005</v>
      </c>
      <c r="N2016" s="5">
        <v>1</v>
      </c>
      <c r="O2016" s="10">
        <f t="shared" si="385"/>
        <v>1.0747124149186005</v>
      </c>
    </row>
    <row r="2017" spans="2:15" ht="13.5" hidden="1" customHeight="1">
      <c r="B2017" s="33">
        <f t="shared" si="387"/>
        <v>37</v>
      </c>
      <c r="C2017" s="60" t="s">
        <v>636</v>
      </c>
      <c r="D2017" s="60" t="s">
        <v>559</v>
      </c>
      <c r="E2017" s="61"/>
      <c r="F2017" s="61" t="s">
        <v>445</v>
      </c>
      <c r="G2017" s="36">
        <f>333*18</f>
        <v>5994</v>
      </c>
      <c r="H2017" s="36">
        <v>1861</v>
      </c>
      <c r="I2017" s="36">
        <v>3240</v>
      </c>
      <c r="J2017" s="36">
        <v>750</v>
      </c>
      <c r="K2017" s="36">
        <f t="shared" si="383"/>
        <v>11845</v>
      </c>
      <c r="L2017" s="36">
        <v>13500</v>
      </c>
      <c r="M2017" s="9">
        <f t="shared" si="384"/>
        <v>1.1397214014352046</v>
      </c>
      <c r="N2017" s="5">
        <v>1</v>
      </c>
      <c r="O2017" s="10">
        <f t="shared" si="385"/>
        <v>1.1397214014352046</v>
      </c>
    </row>
    <row r="2018" spans="2:15" ht="13.5" hidden="1" customHeight="1">
      <c r="B2018" s="33">
        <f t="shared" si="387"/>
        <v>38</v>
      </c>
      <c r="C2018" s="60" t="s">
        <v>640</v>
      </c>
      <c r="D2018" s="60" t="s">
        <v>563</v>
      </c>
      <c r="E2018" s="61"/>
      <c r="F2018" s="61" t="s">
        <v>445</v>
      </c>
      <c r="G2018" s="36">
        <f>333*18</f>
        <v>5994</v>
      </c>
      <c r="H2018" s="36">
        <v>1861</v>
      </c>
      <c r="I2018" s="36">
        <v>3240</v>
      </c>
      <c r="J2018" s="36">
        <v>750</v>
      </c>
      <c r="K2018" s="36">
        <f t="shared" si="383"/>
        <v>11845</v>
      </c>
      <c r="L2018" s="36">
        <v>13500</v>
      </c>
      <c r="M2018" s="9">
        <f t="shared" si="384"/>
        <v>1.1397214014352046</v>
      </c>
      <c r="N2018" s="5">
        <v>1</v>
      </c>
      <c r="O2018" s="10">
        <f t="shared" si="385"/>
        <v>1.1397214014352046</v>
      </c>
    </row>
    <row r="2019" spans="2:15" ht="13.5" hidden="1" customHeight="1">
      <c r="B2019" s="33">
        <f t="shared" si="387"/>
        <v>39</v>
      </c>
      <c r="C2019" s="60" t="s">
        <v>652</v>
      </c>
      <c r="D2019" s="60" t="s">
        <v>574</v>
      </c>
      <c r="E2019" s="61"/>
      <c r="F2019" s="61" t="s">
        <v>445</v>
      </c>
      <c r="G2019" s="36">
        <f>333*15</f>
        <v>4995</v>
      </c>
      <c r="H2019" s="36">
        <v>1861</v>
      </c>
      <c r="I2019" s="36">
        <v>3240</v>
      </c>
      <c r="J2019" s="36">
        <v>750</v>
      </c>
      <c r="K2019" s="36">
        <f t="shared" si="383"/>
        <v>10846</v>
      </c>
      <c r="L2019" s="36">
        <v>13500</v>
      </c>
      <c r="M2019" s="9">
        <f t="shared" si="384"/>
        <v>1.2446985063617924</v>
      </c>
      <c r="N2019" s="5">
        <v>1</v>
      </c>
      <c r="O2019" s="10">
        <f t="shared" si="385"/>
        <v>1.2446985063617924</v>
      </c>
    </row>
    <row r="2020" spans="2:15" ht="13.5" hidden="1" customHeight="1">
      <c r="B2020" s="33">
        <f t="shared" si="387"/>
        <v>40</v>
      </c>
      <c r="C2020" s="60" t="s">
        <v>659</v>
      </c>
      <c r="D2020" s="60" t="s">
        <v>582</v>
      </c>
      <c r="E2020" s="61"/>
      <c r="F2020" s="61" t="s">
        <v>418</v>
      </c>
      <c r="G2020" s="36">
        <f>300*3</f>
        <v>900</v>
      </c>
      <c r="H2020" s="36">
        <v>1861</v>
      </c>
      <c r="I2020" s="36">
        <v>3240</v>
      </c>
      <c r="J2020" s="36">
        <v>750</v>
      </c>
      <c r="K2020" s="36">
        <f t="shared" si="383"/>
        <v>6751</v>
      </c>
      <c r="L2020" s="36">
        <v>13500</v>
      </c>
      <c r="M2020" s="9">
        <f t="shared" si="384"/>
        <v>1.9997037475929491</v>
      </c>
      <c r="N2020" s="5">
        <v>1</v>
      </c>
      <c r="O2020" s="10">
        <f t="shared" si="385"/>
        <v>1.9997037475929491</v>
      </c>
    </row>
    <row r="2021" spans="2:15" ht="13.5" hidden="1" customHeight="1">
      <c r="B2021" s="33">
        <f t="shared" si="387"/>
        <v>41</v>
      </c>
      <c r="C2021" s="60" t="s">
        <v>667</v>
      </c>
      <c r="D2021" s="60" t="s">
        <v>590</v>
      </c>
      <c r="E2021" s="61"/>
      <c r="F2021" s="61" t="s">
        <v>418</v>
      </c>
      <c r="G2021" s="36">
        <f>300*3</f>
        <v>900</v>
      </c>
      <c r="H2021" s="36">
        <v>1861</v>
      </c>
      <c r="I2021" s="36">
        <v>3240</v>
      </c>
      <c r="J2021" s="36">
        <v>750</v>
      </c>
      <c r="K2021" s="36">
        <f t="shared" si="383"/>
        <v>6751</v>
      </c>
      <c r="L2021" s="36">
        <v>13500</v>
      </c>
      <c r="M2021" s="9">
        <f t="shared" si="384"/>
        <v>1.9997037475929491</v>
      </c>
      <c r="N2021" s="5">
        <v>1</v>
      </c>
      <c r="O2021" s="10">
        <f t="shared" si="385"/>
        <v>1.9997037475929491</v>
      </c>
    </row>
    <row r="2022" spans="2:15" ht="13.5" hidden="1" customHeight="1">
      <c r="B2022" s="33">
        <f t="shared" si="387"/>
        <v>42</v>
      </c>
      <c r="C2022" s="60" t="s">
        <v>603</v>
      </c>
      <c r="D2022" s="60" t="s">
        <v>527</v>
      </c>
      <c r="E2022" s="61"/>
      <c r="F2022" s="61" t="s">
        <v>31</v>
      </c>
      <c r="G2022" s="36">
        <f>333*20.5</f>
        <v>6826.5</v>
      </c>
      <c r="H2022" s="36">
        <v>1861</v>
      </c>
      <c r="I2022" s="36">
        <v>3790</v>
      </c>
      <c r="J2022" s="36">
        <v>900</v>
      </c>
      <c r="K2022" s="36">
        <f t="shared" si="383"/>
        <v>13377.5</v>
      </c>
      <c r="L2022" s="36">
        <v>13500</v>
      </c>
      <c r="M2022" s="9">
        <f t="shared" si="384"/>
        <v>1.0091571668846944</v>
      </c>
      <c r="N2022" s="5">
        <v>1</v>
      </c>
      <c r="O2022" s="10">
        <f t="shared" si="385"/>
        <v>1.0091571668846944</v>
      </c>
    </row>
    <row r="2023" spans="2:15" ht="13.5" hidden="1" customHeight="1">
      <c r="B2023" s="33">
        <f t="shared" si="387"/>
        <v>43</v>
      </c>
      <c r="C2023" s="60" t="s">
        <v>606</v>
      </c>
      <c r="D2023" s="60" t="s">
        <v>530</v>
      </c>
      <c r="E2023" s="61"/>
      <c r="F2023" s="61" t="s">
        <v>31</v>
      </c>
      <c r="G2023" s="36">
        <f t="shared" ref="G2023:G2028" si="391">333*20.5</f>
        <v>6826.5</v>
      </c>
      <c r="H2023" s="36">
        <v>1861</v>
      </c>
      <c r="I2023" s="36">
        <v>3790</v>
      </c>
      <c r="J2023" s="36">
        <v>900</v>
      </c>
      <c r="K2023" s="36">
        <f t="shared" si="383"/>
        <v>13377.5</v>
      </c>
      <c r="L2023" s="36">
        <v>13500</v>
      </c>
      <c r="M2023" s="9">
        <f t="shared" si="384"/>
        <v>1.0091571668846944</v>
      </c>
      <c r="N2023" s="5">
        <v>1</v>
      </c>
      <c r="O2023" s="10">
        <f t="shared" si="385"/>
        <v>1.0091571668846944</v>
      </c>
    </row>
    <row r="2024" spans="2:15" ht="13.5" hidden="1" customHeight="1">
      <c r="B2024" s="33">
        <f t="shared" si="387"/>
        <v>44</v>
      </c>
      <c r="C2024" s="60" t="s">
        <v>625</v>
      </c>
      <c r="D2024" s="60" t="s">
        <v>548</v>
      </c>
      <c r="E2024" s="61"/>
      <c r="F2024" s="61" t="s">
        <v>31</v>
      </c>
      <c r="G2024" s="36">
        <f t="shared" si="391"/>
        <v>6826.5</v>
      </c>
      <c r="H2024" s="36">
        <v>1861</v>
      </c>
      <c r="I2024" s="36">
        <v>3790</v>
      </c>
      <c r="J2024" s="36">
        <v>900</v>
      </c>
      <c r="K2024" s="36">
        <f t="shared" si="383"/>
        <v>13377.5</v>
      </c>
      <c r="L2024" s="36">
        <v>13500</v>
      </c>
      <c r="M2024" s="9">
        <f t="shared" si="384"/>
        <v>1.0091571668846944</v>
      </c>
      <c r="N2024" s="5">
        <v>1</v>
      </c>
      <c r="O2024" s="10">
        <f t="shared" si="385"/>
        <v>1.0091571668846944</v>
      </c>
    </row>
    <row r="2025" spans="2:15" ht="13.5" hidden="1" customHeight="1">
      <c r="B2025" s="33">
        <f t="shared" si="387"/>
        <v>45</v>
      </c>
      <c r="C2025" s="60" t="s">
        <v>643</v>
      </c>
      <c r="D2025" s="60" t="s">
        <v>566</v>
      </c>
      <c r="E2025" s="61"/>
      <c r="F2025" s="61" t="s">
        <v>31</v>
      </c>
      <c r="G2025" s="36">
        <f t="shared" si="391"/>
        <v>6826.5</v>
      </c>
      <c r="H2025" s="36">
        <v>1861</v>
      </c>
      <c r="I2025" s="36">
        <v>3790</v>
      </c>
      <c r="J2025" s="36">
        <v>900</v>
      </c>
      <c r="K2025" s="36">
        <f t="shared" si="383"/>
        <v>13377.5</v>
      </c>
      <c r="L2025" s="36">
        <v>13500</v>
      </c>
      <c r="M2025" s="9">
        <f t="shared" si="384"/>
        <v>1.0091571668846944</v>
      </c>
      <c r="N2025" s="5">
        <v>1</v>
      </c>
      <c r="O2025" s="10">
        <f t="shared" si="385"/>
        <v>1.0091571668846944</v>
      </c>
    </row>
    <row r="2026" spans="2:15" ht="13.5" hidden="1" customHeight="1">
      <c r="B2026" s="33">
        <f t="shared" si="387"/>
        <v>46</v>
      </c>
      <c r="C2026" s="60" t="s">
        <v>593</v>
      </c>
      <c r="D2026" s="60" t="s">
        <v>669</v>
      </c>
      <c r="E2026" s="61"/>
      <c r="F2026" s="61" t="s">
        <v>31</v>
      </c>
      <c r="G2026" s="36">
        <f>333*17.5</f>
        <v>5827.5</v>
      </c>
      <c r="H2026" s="36">
        <v>1861</v>
      </c>
      <c r="I2026" s="36">
        <v>3790</v>
      </c>
      <c r="J2026" s="36">
        <v>900</v>
      </c>
      <c r="K2026" s="36">
        <f t="shared" si="383"/>
        <v>12378.5</v>
      </c>
      <c r="L2026" s="36">
        <v>13500</v>
      </c>
      <c r="M2026" s="9">
        <f t="shared" si="384"/>
        <v>1.0906006382033364</v>
      </c>
      <c r="N2026" s="5">
        <v>1</v>
      </c>
      <c r="O2026" s="10">
        <f t="shared" si="385"/>
        <v>1.0906006382033364</v>
      </c>
    </row>
    <row r="2027" spans="2:15" ht="13.5" hidden="1" customHeight="1">
      <c r="B2027" s="33">
        <f t="shared" si="387"/>
        <v>47</v>
      </c>
      <c r="C2027" s="60" t="s">
        <v>595</v>
      </c>
      <c r="D2027" s="60" t="s">
        <v>514</v>
      </c>
      <c r="E2027" s="61"/>
      <c r="F2027" s="61" t="s">
        <v>31</v>
      </c>
      <c r="G2027" s="36">
        <f t="shared" si="391"/>
        <v>6826.5</v>
      </c>
      <c r="H2027" s="36">
        <v>1861</v>
      </c>
      <c r="I2027" s="36">
        <v>3790</v>
      </c>
      <c r="J2027" s="36">
        <v>900</v>
      </c>
      <c r="K2027" s="36">
        <f t="shared" si="383"/>
        <v>13377.5</v>
      </c>
      <c r="L2027" s="36">
        <v>13500</v>
      </c>
      <c r="M2027" s="9">
        <f t="shared" si="384"/>
        <v>1.0091571668846944</v>
      </c>
      <c r="N2027" s="5">
        <v>1</v>
      </c>
      <c r="O2027" s="10">
        <f t="shared" si="385"/>
        <v>1.0091571668846944</v>
      </c>
    </row>
    <row r="2028" spans="2:15" ht="13.5" hidden="1" customHeight="1">
      <c r="B2028" s="33">
        <f t="shared" si="387"/>
        <v>48</v>
      </c>
      <c r="C2028" s="60" t="s">
        <v>336</v>
      </c>
      <c r="D2028" s="60" t="s">
        <v>517</v>
      </c>
      <c r="E2028" s="61"/>
      <c r="F2028" s="61" t="s">
        <v>31</v>
      </c>
      <c r="G2028" s="36">
        <f t="shared" si="391"/>
        <v>6826.5</v>
      </c>
      <c r="H2028" s="36">
        <v>1861</v>
      </c>
      <c r="I2028" s="36">
        <v>3790</v>
      </c>
      <c r="J2028" s="36">
        <v>900</v>
      </c>
      <c r="K2028" s="36">
        <f t="shared" si="383"/>
        <v>13377.5</v>
      </c>
      <c r="L2028" s="36">
        <v>13500</v>
      </c>
      <c r="M2028" s="9">
        <f t="shared" si="384"/>
        <v>1.0091571668846944</v>
      </c>
      <c r="N2028" s="5">
        <v>1</v>
      </c>
      <c r="O2028" s="10">
        <f t="shared" si="385"/>
        <v>1.0091571668846944</v>
      </c>
    </row>
    <row r="2029" spans="2:15" ht="13.5" hidden="1" customHeight="1">
      <c r="B2029" s="33">
        <f t="shared" si="387"/>
        <v>49</v>
      </c>
      <c r="C2029" s="60" t="s">
        <v>601</v>
      </c>
      <c r="D2029" s="60" t="s">
        <v>524</v>
      </c>
      <c r="E2029" s="61"/>
      <c r="F2029" s="61" t="s">
        <v>26</v>
      </c>
      <c r="G2029" s="36">
        <f>333*19</f>
        <v>6327</v>
      </c>
      <c r="H2029" s="36">
        <v>1861</v>
      </c>
      <c r="I2029" s="36">
        <v>3240</v>
      </c>
      <c r="J2029" s="36">
        <v>1800</v>
      </c>
      <c r="K2029" s="36">
        <f t="shared" si="383"/>
        <v>13228</v>
      </c>
      <c r="L2029" s="36">
        <v>13500</v>
      </c>
      <c r="M2029" s="9">
        <f t="shared" si="384"/>
        <v>1.0205624433020866</v>
      </c>
      <c r="N2029" s="5">
        <v>1</v>
      </c>
      <c r="O2029" s="10">
        <f t="shared" si="385"/>
        <v>1.0205624433020866</v>
      </c>
    </row>
    <row r="2030" spans="2:15" ht="13.5" hidden="1" customHeight="1">
      <c r="B2030" s="33">
        <f t="shared" si="387"/>
        <v>50</v>
      </c>
      <c r="C2030" s="60" t="s">
        <v>610</v>
      </c>
      <c r="D2030" s="60" t="s">
        <v>534</v>
      </c>
      <c r="E2030" s="61"/>
      <c r="F2030" s="61" t="s">
        <v>26</v>
      </c>
      <c r="G2030" s="36">
        <f t="shared" ref="G2030:G2033" si="392">333*19</f>
        <v>6327</v>
      </c>
      <c r="H2030" s="36">
        <v>1861</v>
      </c>
      <c r="I2030" s="36">
        <v>3240</v>
      </c>
      <c r="J2030" s="36">
        <v>1800</v>
      </c>
      <c r="K2030" s="36">
        <f t="shared" si="383"/>
        <v>13228</v>
      </c>
      <c r="L2030" s="36">
        <v>13500</v>
      </c>
      <c r="M2030" s="9">
        <f t="shared" si="384"/>
        <v>1.0205624433020866</v>
      </c>
      <c r="N2030" s="5">
        <v>1</v>
      </c>
      <c r="O2030" s="10">
        <f t="shared" si="385"/>
        <v>1.0205624433020866</v>
      </c>
    </row>
    <row r="2031" spans="2:15" ht="13.5" hidden="1" customHeight="1">
      <c r="B2031" s="33">
        <f t="shared" si="387"/>
        <v>51</v>
      </c>
      <c r="C2031" s="60" t="s">
        <v>614</v>
      </c>
      <c r="D2031" s="60" t="s">
        <v>538</v>
      </c>
      <c r="E2031" s="61"/>
      <c r="F2031" s="61" t="s">
        <v>26</v>
      </c>
      <c r="G2031" s="36">
        <f t="shared" si="392"/>
        <v>6327</v>
      </c>
      <c r="H2031" s="36">
        <v>1861</v>
      </c>
      <c r="I2031" s="36">
        <v>3240</v>
      </c>
      <c r="J2031" s="36">
        <v>1800</v>
      </c>
      <c r="K2031" s="36">
        <f t="shared" si="383"/>
        <v>13228</v>
      </c>
      <c r="L2031" s="36">
        <v>13500</v>
      </c>
      <c r="M2031" s="9">
        <f t="shared" si="384"/>
        <v>1.0205624433020866</v>
      </c>
      <c r="N2031" s="5">
        <v>1</v>
      </c>
      <c r="O2031" s="10">
        <f t="shared" si="385"/>
        <v>1.0205624433020866</v>
      </c>
    </row>
    <row r="2032" spans="2:15" ht="13.5" hidden="1" customHeight="1">
      <c r="B2032" s="33">
        <f t="shared" si="387"/>
        <v>52</v>
      </c>
      <c r="C2032" s="60" t="s">
        <v>618</v>
      </c>
      <c r="D2032" s="60" t="s">
        <v>542</v>
      </c>
      <c r="E2032" s="61"/>
      <c r="F2032" s="61" t="s">
        <v>26</v>
      </c>
      <c r="G2032" s="36">
        <f t="shared" si="392"/>
        <v>6327</v>
      </c>
      <c r="H2032" s="36">
        <v>1861</v>
      </c>
      <c r="I2032" s="36">
        <v>3240</v>
      </c>
      <c r="J2032" s="36">
        <v>1800</v>
      </c>
      <c r="K2032" s="36">
        <f t="shared" si="383"/>
        <v>13228</v>
      </c>
      <c r="L2032" s="36">
        <v>13500</v>
      </c>
      <c r="M2032" s="9">
        <f t="shared" si="384"/>
        <v>1.0205624433020866</v>
      </c>
      <c r="N2032" s="5">
        <v>1</v>
      </c>
      <c r="O2032" s="10">
        <f t="shared" si="385"/>
        <v>1.0205624433020866</v>
      </c>
    </row>
    <row r="2033" spans="2:15" ht="13.5" hidden="1" customHeight="1">
      <c r="B2033" s="33">
        <f t="shared" si="387"/>
        <v>53</v>
      </c>
      <c r="C2033" s="60" t="s">
        <v>621</v>
      </c>
      <c r="D2033" s="60" t="s">
        <v>545</v>
      </c>
      <c r="E2033" s="61"/>
      <c r="F2033" s="61" t="s">
        <v>26</v>
      </c>
      <c r="G2033" s="36">
        <f t="shared" si="392"/>
        <v>6327</v>
      </c>
      <c r="H2033" s="36">
        <v>1861</v>
      </c>
      <c r="I2033" s="36">
        <v>3240</v>
      </c>
      <c r="J2033" s="36">
        <v>1800</v>
      </c>
      <c r="K2033" s="36">
        <f t="shared" si="383"/>
        <v>13228</v>
      </c>
      <c r="L2033" s="36">
        <v>13500</v>
      </c>
      <c r="M2033" s="9">
        <f t="shared" si="384"/>
        <v>1.0205624433020866</v>
      </c>
      <c r="N2033" s="5">
        <v>1</v>
      </c>
      <c r="O2033" s="10">
        <f t="shared" si="385"/>
        <v>1.0205624433020866</v>
      </c>
    </row>
    <row r="2034" spans="2:15" ht="13.5" hidden="1" customHeight="1">
      <c r="B2034" s="33">
        <f t="shared" si="387"/>
        <v>54</v>
      </c>
      <c r="C2034" s="60" t="s">
        <v>622</v>
      </c>
      <c r="D2034" s="60" t="s">
        <v>546</v>
      </c>
      <c r="E2034" s="61"/>
      <c r="F2034" s="61" t="s">
        <v>26</v>
      </c>
      <c r="G2034" s="36">
        <f>333*19</f>
        <v>6327</v>
      </c>
      <c r="H2034" s="36">
        <v>1861</v>
      </c>
      <c r="I2034" s="36">
        <v>3240</v>
      </c>
      <c r="J2034" s="36">
        <v>1800</v>
      </c>
      <c r="K2034" s="36">
        <f t="shared" si="383"/>
        <v>13228</v>
      </c>
      <c r="L2034" s="36">
        <v>13500</v>
      </c>
      <c r="M2034" s="9">
        <f t="shared" si="384"/>
        <v>1.0205624433020866</v>
      </c>
      <c r="N2034" s="5">
        <v>1</v>
      </c>
      <c r="O2034" s="10">
        <f t="shared" si="385"/>
        <v>1.0205624433020866</v>
      </c>
    </row>
    <row r="2035" spans="2:15" ht="13.5" hidden="1" customHeight="1">
      <c r="B2035" s="33">
        <f t="shared" si="387"/>
        <v>55</v>
      </c>
      <c r="C2035" s="60" t="s">
        <v>632</v>
      </c>
      <c r="D2035" s="60" t="s">
        <v>555</v>
      </c>
      <c r="E2035" s="61"/>
      <c r="F2035" s="61" t="s">
        <v>26</v>
      </c>
      <c r="G2035" s="36">
        <f t="shared" ref="G2035:G2041" si="393">333*19</f>
        <v>6327</v>
      </c>
      <c r="H2035" s="36">
        <v>1861</v>
      </c>
      <c r="I2035" s="36">
        <v>3240</v>
      </c>
      <c r="J2035" s="36">
        <v>1800</v>
      </c>
      <c r="K2035" s="36">
        <f t="shared" si="383"/>
        <v>13228</v>
      </c>
      <c r="L2035" s="36">
        <v>13500</v>
      </c>
      <c r="M2035" s="9">
        <f t="shared" si="384"/>
        <v>1.0205624433020866</v>
      </c>
      <c r="N2035" s="5">
        <v>1</v>
      </c>
      <c r="O2035" s="10">
        <f t="shared" si="385"/>
        <v>1.0205624433020866</v>
      </c>
    </row>
    <row r="2036" spans="2:15" ht="13.5" hidden="1" customHeight="1">
      <c r="B2036" s="33">
        <f t="shared" si="387"/>
        <v>56</v>
      </c>
      <c r="C2036" s="60" t="s">
        <v>633</v>
      </c>
      <c r="D2036" s="60" t="s">
        <v>556</v>
      </c>
      <c r="E2036" s="61"/>
      <c r="F2036" s="61" t="s">
        <v>26</v>
      </c>
      <c r="G2036" s="36">
        <f t="shared" si="393"/>
        <v>6327</v>
      </c>
      <c r="H2036" s="36">
        <v>1861</v>
      </c>
      <c r="I2036" s="36">
        <v>3240</v>
      </c>
      <c r="J2036" s="36">
        <v>1800</v>
      </c>
      <c r="K2036" s="36">
        <f t="shared" si="383"/>
        <v>13228</v>
      </c>
      <c r="L2036" s="36">
        <v>13500</v>
      </c>
      <c r="M2036" s="9">
        <f t="shared" si="384"/>
        <v>1.0205624433020866</v>
      </c>
      <c r="N2036" s="5">
        <v>1</v>
      </c>
      <c r="O2036" s="10">
        <f t="shared" si="385"/>
        <v>1.0205624433020866</v>
      </c>
    </row>
    <row r="2037" spans="2:15" ht="13.5" hidden="1" customHeight="1">
      <c r="B2037" s="33">
        <f t="shared" si="387"/>
        <v>57</v>
      </c>
      <c r="C2037" s="60" t="s">
        <v>638</v>
      </c>
      <c r="D2037" s="60" t="s">
        <v>561</v>
      </c>
      <c r="E2037" s="61"/>
      <c r="F2037" s="61" t="s">
        <v>26</v>
      </c>
      <c r="G2037" s="36">
        <f t="shared" si="393"/>
        <v>6327</v>
      </c>
      <c r="H2037" s="36">
        <v>1861</v>
      </c>
      <c r="I2037" s="36">
        <v>3240</v>
      </c>
      <c r="J2037" s="36">
        <v>1800</v>
      </c>
      <c r="K2037" s="36">
        <f t="shared" si="383"/>
        <v>13228</v>
      </c>
      <c r="L2037" s="36">
        <v>13500</v>
      </c>
      <c r="M2037" s="9">
        <f t="shared" si="384"/>
        <v>1.0205624433020866</v>
      </c>
      <c r="N2037" s="5">
        <v>1</v>
      </c>
      <c r="O2037" s="10">
        <f t="shared" si="385"/>
        <v>1.0205624433020866</v>
      </c>
    </row>
    <row r="2038" spans="2:15" ht="13.5" hidden="1" customHeight="1">
      <c r="B2038" s="33">
        <f t="shared" si="387"/>
        <v>58</v>
      </c>
      <c r="C2038" s="60" t="s">
        <v>641</v>
      </c>
      <c r="D2038" s="60" t="s">
        <v>564</v>
      </c>
      <c r="E2038" s="61"/>
      <c r="F2038" s="61" t="s">
        <v>26</v>
      </c>
      <c r="G2038" s="36">
        <f t="shared" si="393"/>
        <v>6327</v>
      </c>
      <c r="H2038" s="36">
        <v>1861</v>
      </c>
      <c r="I2038" s="36">
        <v>3240</v>
      </c>
      <c r="J2038" s="36">
        <v>1800</v>
      </c>
      <c r="K2038" s="36">
        <f t="shared" si="383"/>
        <v>13228</v>
      </c>
      <c r="L2038" s="36">
        <v>13500</v>
      </c>
      <c r="M2038" s="9">
        <f t="shared" si="384"/>
        <v>1.0205624433020866</v>
      </c>
      <c r="N2038" s="5">
        <v>1</v>
      </c>
      <c r="O2038" s="10">
        <f t="shared" si="385"/>
        <v>1.0205624433020866</v>
      </c>
    </row>
    <row r="2039" spans="2:15" ht="13.5" hidden="1" customHeight="1">
      <c r="B2039" s="33">
        <f t="shared" si="387"/>
        <v>59</v>
      </c>
      <c r="C2039" s="60" t="s">
        <v>654</v>
      </c>
      <c r="D2039" s="60" t="s">
        <v>576</v>
      </c>
      <c r="E2039" s="61"/>
      <c r="F2039" s="61" t="s">
        <v>26</v>
      </c>
      <c r="G2039" s="36">
        <f t="shared" si="393"/>
        <v>6327</v>
      </c>
      <c r="H2039" s="36">
        <v>1861</v>
      </c>
      <c r="I2039" s="36">
        <v>3240</v>
      </c>
      <c r="J2039" s="36">
        <v>1800</v>
      </c>
      <c r="K2039" s="36">
        <f t="shared" si="383"/>
        <v>13228</v>
      </c>
      <c r="L2039" s="36">
        <v>13500</v>
      </c>
      <c r="M2039" s="9">
        <f t="shared" si="384"/>
        <v>1.0205624433020866</v>
      </c>
      <c r="N2039" s="5">
        <v>1</v>
      </c>
      <c r="O2039" s="10">
        <f t="shared" si="385"/>
        <v>1.0205624433020866</v>
      </c>
    </row>
    <row r="2040" spans="2:15" ht="13.5" hidden="1" customHeight="1">
      <c r="B2040" s="33">
        <f t="shared" si="387"/>
        <v>60</v>
      </c>
      <c r="C2040" s="60" t="s">
        <v>664</v>
      </c>
      <c r="D2040" s="60" t="s">
        <v>587</v>
      </c>
      <c r="E2040" s="61"/>
      <c r="F2040" s="61" t="s">
        <v>26</v>
      </c>
      <c r="G2040" s="36">
        <f t="shared" si="393"/>
        <v>6327</v>
      </c>
      <c r="H2040" s="36">
        <v>1861</v>
      </c>
      <c r="I2040" s="36">
        <v>3240</v>
      </c>
      <c r="J2040" s="36">
        <v>1800</v>
      </c>
      <c r="K2040" s="36">
        <f t="shared" si="383"/>
        <v>13228</v>
      </c>
      <c r="L2040" s="36">
        <v>13500</v>
      </c>
      <c r="M2040" s="9">
        <f t="shared" si="384"/>
        <v>1.0205624433020866</v>
      </c>
      <c r="N2040" s="5">
        <v>1</v>
      </c>
      <c r="O2040" s="10">
        <f t="shared" si="385"/>
        <v>1.0205624433020866</v>
      </c>
    </row>
    <row r="2041" spans="2:15" ht="13.5" hidden="1" customHeight="1">
      <c r="B2041" s="33">
        <f t="shared" si="387"/>
        <v>61</v>
      </c>
      <c r="C2041" s="60" t="s">
        <v>337</v>
      </c>
      <c r="D2041" s="60" t="s">
        <v>518</v>
      </c>
      <c r="E2041" s="61"/>
      <c r="F2041" s="61" t="s">
        <v>26</v>
      </c>
      <c r="G2041" s="36">
        <f t="shared" si="393"/>
        <v>6327</v>
      </c>
      <c r="H2041" s="36">
        <v>1861</v>
      </c>
      <c r="I2041" s="36">
        <v>3240</v>
      </c>
      <c r="J2041" s="36">
        <v>1800</v>
      </c>
      <c r="K2041" s="36">
        <f t="shared" si="383"/>
        <v>13228</v>
      </c>
      <c r="L2041" s="36">
        <v>13500</v>
      </c>
      <c r="M2041" s="9">
        <f t="shared" si="384"/>
        <v>1.0205624433020866</v>
      </c>
      <c r="N2041" s="5">
        <v>1</v>
      </c>
      <c r="O2041" s="10">
        <f t="shared" si="385"/>
        <v>1.0205624433020866</v>
      </c>
    </row>
    <row r="2042" spans="2:15" ht="13.5" hidden="1" customHeight="1">
      <c r="B2042" s="33">
        <f t="shared" si="387"/>
        <v>62</v>
      </c>
      <c r="C2042" s="60" t="s">
        <v>603</v>
      </c>
      <c r="D2042" s="60" t="s">
        <v>526</v>
      </c>
      <c r="E2042" s="61"/>
      <c r="F2042" s="61" t="s">
        <v>32</v>
      </c>
      <c r="G2042" s="36">
        <f>300*17</f>
        <v>5100</v>
      </c>
      <c r="H2042" s="36">
        <v>1861</v>
      </c>
      <c r="I2042" s="36">
        <v>3240</v>
      </c>
      <c r="J2042" s="36">
        <v>900</v>
      </c>
      <c r="K2042" s="36">
        <f t="shared" si="383"/>
        <v>11101</v>
      </c>
      <c r="L2042" s="36">
        <v>13500</v>
      </c>
      <c r="M2042" s="9">
        <f t="shared" si="384"/>
        <v>1.2161066570579226</v>
      </c>
      <c r="N2042" s="5">
        <v>1</v>
      </c>
      <c r="O2042" s="10">
        <f t="shared" si="385"/>
        <v>1.2161066570579226</v>
      </c>
    </row>
    <row r="2043" spans="2:15" ht="13.5" hidden="1" customHeight="1">
      <c r="B2043" s="33">
        <f t="shared" si="387"/>
        <v>63</v>
      </c>
      <c r="C2043" s="60" t="s">
        <v>607</v>
      </c>
      <c r="D2043" s="60" t="s">
        <v>531</v>
      </c>
      <c r="E2043" s="61"/>
      <c r="F2043" s="61" t="s">
        <v>32</v>
      </c>
      <c r="G2043" s="36">
        <f t="shared" ref="G2043:G2044" si="394">300*17</f>
        <v>5100</v>
      </c>
      <c r="H2043" s="36">
        <v>1861</v>
      </c>
      <c r="I2043" s="36">
        <v>3240</v>
      </c>
      <c r="J2043" s="36">
        <v>900</v>
      </c>
      <c r="K2043" s="36">
        <f t="shared" si="383"/>
        <v>11101</v>
      </c>
      <c r="L2043" s="36">
        <v>13500</v>
      </c>
      <c r="M2043" s="9">
        <f t="shared" si="384"/>
        <v>1.2161066570579226</v>
      </c>
      <c r="N2043" s="5">
        <v>1</v>
      </c>
      <c r="O2043" s="10">
        <f t="shared" si="385"/>
        <v>1.2161066570579226</v>
      </c>
    </row>
    <row r="2044" spans="2:15" ht="13.5" hidden="1" customHeight="1">
      <c r="B2044" s="33">
        <f t="shared" si="387"/>
        <v>64</v>
      </c>
      <c r="C2044" s="60" t="s">
        <v>619</v>
      </c>
      <c r="D2044" s="60" t="s">
        <v>543</v>
      </c>
      <c r="E2044" s="61"/>
      <c r="F2044" s="61" t="s">
        <v>32</v>
      </c>
      <c r="G2044" s="36">
        <f t="shared" si="394"/>
        <v>5100</v>
      </c>
      <c r="H2044" s="36">
        <v>1861</v>
      </c>
      <c r="I2044" s="36">
        <v>3240</v>
      </c>
      <c r="J2044" s="36">
        <v>900</v>
      </c>
      <c r="K2044" s="36">
        <f t="shared" si="383"/>
        <v>11101</v>
      </c>
      <c r="L2044" s="36">
        <v>13500</v>
      </c>
      <c r="M2044" s="9">
        <f t="shared" si="384"/>
        <v>1.2161066570579226</v>
      </c>
      <c r="N2044" s="5">
        <v>1</v>
      </c>
      <c r="O2044" s="10">
        <f t="shared" si="385"/>
        <v>1.2161066570579226</v>
      </c>
    </row>
    <row r="2045" spans="2:15" ht="13.5" hidden="1" customHeight="1">
      <c r="B2045" s="33">
        <f t="shared" si="387"/>
        <v>65</v>
      </c>
      <c r="C2045" s="60" t="s">
        <v>626</v>
      </c>
      <c r="D2045" s="60" t="s">
        <v>549</v>
      </c>
      <c r="E2045" s="61"/>
      <c r="F2045" s="61" t="s">
        <v>30</v>
      </c>
      <c r="G2045" s="36">
        <f>300*21</f>
        <v>6300</v>
      </c>
      <c r="H2045" s="36">
        <v>1861</v>
      </c>
      <c r="I2045" s="36">
        <v>3240</v>
      </c>
      <c r="J2045" s="36">
        <v>500</v>
      </c>
      <c r="K2045" s="36">
        <f t="shared" ref="K2045:K2063" si="395">SUM(G2045:J2045)</f>
        <v>11901</v>
      </c>
      <c r="L2045" s="36">
        <v>13500</v>
      </c>
      <c r="M2045" s="9">
        <f t="shared" ref="M2045:M2063" si="396">L2045/K2045</f>
        <v>1.1343584572724981</v>
      </c>
      <c r="N2045" s="5">
        <v>1</v>
      </c>
      <c r="O2045" s="10">
        <f t="shared" ref="O2045:O2063" si="397">N2045*M2045</f>
        <v>1.1343584572724981</v>
      </c>
    </row>
    <row r="2046" spans="2:15" ht="13.5" hidden="1" customHeight="1">
      <c r="B2046" s="33">
        <f t="shared" si="387"/>
        <v>66</v>
      </c>
      <c r="C2046" s="60" t="s">
        <v>668</v>
      </c>
      <c r="D2046" s="60" t="s">
        <v>591</v>
      </c>
      <c r="E2046" s="61"/>
      <c r="F2046" s="61" t="s">
        <v>32</v>
      </c>
      <c r="G2046" s="36">
        <f>300*17</f>
        <v>5100</v>
      </c>
      <c r="H2046" s="36">
        <v>1861</v>
      </c>
      <c r="I2046" s="36">
        <v>3240</v>
      </c>
      <c r="J2046" s="36">
        <v>900</v>
      </c>
      <c r="K2046" s="36">
        <f t="shared" si="395"/>
        <v>11101</v>
      </c>
      <c r="L2046" s="36">
        <v>13500</v>
      </c>
      <c r="M2046" s="9">
        <f t="shared" si="396"/>
        <v>1.2161066570579226</v>
      </c>
      <c r="N2046" s="5">
        <v>1</v>
      </c>
      <c r="O2046" s="10">
        <f t="shared" si="397"/>
        <v>1.2161066570579226</v>
      </c>
    </row>
    <row r="2047" spans="2:15" ht="13.5" hidden="1" customHeight="1">
      <c r="B2047" s="33">
        <f t="shared" ref="B2047:B2063" si="398">+B2046+1</f>
        <v>67</v>
      </c>
      <c r="C2047" s="60" t="s">
        <v>608</v>
      </c>
      <c r="D2047" s="60" t="s">
        <v>532</v>
      </c>
      <c r="E2047" s="61"/>
      <c r="F2047" s="61" t="s">
        <v>24</v>
      </c>
      <c r="G2047" s="36">
        <v>0</v>
      </c>
      <c r="H2047" s="36">
        <v>0</v>
      </c>
      <c r="I2047" s="36">
        <v>0</v>
      </c>
      <c r="J2047" s="36">
        <v>0</v>
      </c>
      <c r="K2047" s="36">
        <f t="shared" si="395"/>
        <v>0</v>
      </c>
      <c r="L2047" s="36">
        <v>13500</v>
      </c>
      <c r="M2047" s="9" t="e">
        <f t="shared" si="396"/>
        <v>#DIV/0!</v>
      </c>
      <c r="N2047" s="5">
        <v>1</v>
      </c>
      <c r="O2047" s="10" t="e">
        <f t="shared" si="397"/>
        <v>#DIV/0!</v>
      </c>
    </row>
    <row r="2048" spans="2:15" ht="13.5" hidden="1" customHeight="1">
      <c r="B2048" s="33">
        <f t="shared" si="398"/>
        <v>68</v>
      </c>
      <c r="C2048" s="60" t="s">
        <v>645</v>
      </c>
      <c r="D2048" s="60" t="s">
        <v>567</v>
      </c>
      <c r="E2048" s="61"/>
      <c r="F2048" s="61" t="s">
        <v>24</v>
      </c>
      <c r="G2048" s="36">
        <v>0</v>
      </c>
      <c r="H2048" s="36">
        <v>0</v>
      </c>
      <c r="I2048" s="36">
        <v>0</v>
      </c>
      <c r="J2048" s="36">
        <v>0</v>
      </c>
      <c r="K2048" s="36">
        <f t="shared" si="395"/>
        <v>0</v>
      </c>
      <c r="L2048" s="36">
        <v>13500</v>
      </c>
      <c r="M2048" s="9" t="e">
        <f t="shared" si="396"/>
        <v>#DIV/0!</v>
      </c>
      <c r="N2048" s="5">
        <v>1</v>
      </c>
      <c r="O2048" s="10" t="e">
        <f t="shared" si="397"/>
        <v>#DIV/0!</v>
      </c>
    </row>
    <row r="2049" spans="1:15" ht="13.5" hidden="1" customHeight="1">
      <c r="B2049" s="33">
        <f t="shared" si="398"/>
        <v>69</v>
      </c>
      <c r="C2049" s="60" t="s">
        <v>658</v>
      </c>
      <c r="D2049" s="60" t="s">
        <v>581</v>
      </c>
      <c r="E2049" s="61"/>
      <c r="F2049" s="61" t="s">
        <v>24</v>
      </c>
      <c r="G2049" s="36">
        <v>0</v>
      </c>
      <c r="H2049" s="36">
        <v>0</v>
      </c>
      <c r="I2049" s="36">
        <v>0</v>
      </c>
      <c r="J2049" s="36">
        <v>0</v>
      </c>
      <c r="K2049" s="36">
        <f t="shared" si="395"/>
        <v>0</v>
      </c>
      <c r="L2049" s="36">
        <v>13500</v>
      </c>
      <c r="M2049" s="9" t="e">
        <f t="shared" si="396"/>
        <v>#DIV/0!</v>
      </c>
      <c r="N2049" s="5">
        <v>1</v>
      </c>
      <c r="O2049" s="10" t="e">
        <f t="shared" si="397"/>
        <v>#DIV/0!</v>
      </c>
    </row>
    <row r="2050" spans="1:15" ht="13.5" hidden="1" customHeight="1">
      <c r="B2050" s="33">
        <f t="shared" si="398"/>
        <v>70</v>
      </c>
      <c r="C2050" s="60" t="s">
        <v>597</v>
      </c>
      <c r="D2050" s="60" t="s">
        <v>519</v>
      </c>
      <c r="E2050" s="61"/>
      <c r="F2050" s="61" t="s">
        <v>43</v>
      </c>
      <c r="G2050" s="36">
        <f>333*18.5</f>
        <v>6160.5</v>
      </c>
      <c r="H2050" s="36">
        <v>1861</v>
      </c>
      <c r="I2050" s="36">
        <v>3790</v>
      </c>
      <c r="J2050" s="36">
        <v>500</v>
      </c>
      <c r="K2050" s="36">
        <f t="shared" si="395"/>
        <v>12311.5</v>
      </c>
      <c r="L2050" s="36">
        <v>13500</v>
      </c>
      <c r="M2050" s="9">
        <f t="shared" si="396"/>
        <v>1.0965357592494822</v>
      </c>
      <c r="N2050" s="5">
        <v>1</v>
      </c>
      <c r="O2050" s="10">
        <f t="shared" si="397"/>
        <v>1.0965357592494822</v>
      </c>
    </row>
    <row r="2051" spans="1:15" ht="13.5" hidden="1" customHeight="1">
      <c r="B2051" s="33">
        <f t="shared" si="398"/>
        <v>71</v>
      </c>
      <c r="C2051" s="60" t="s">
        <v>600</v>
      </c>
      <c r="D2051" s="60" t="s">
        <v>523</v>
      </c>
      <c r="E2051" s="61"/>
      <c r="F2051" s="61" t="s">
        <v>43</v>
      </c>
      <c r="G2051" s="36">
        <f t="shared" ref="G2051:G2058" si="399">333*18.5</f>
        <v>6160.5</v>
      </c>
      <c r="H2051" s="36">
        <v>1861</v>
      </c>
      <c r="I2051" s="36">
        <v>3790</v>
      </c>
      <c r="J2051" s="36">
        <v>500</v>
      </c>
      <c r="K2051" s="36">
        <f t="shared" si="395"/>
        <v>12311.5</v>
      </c>
      <c r="L2051" s="36">
        <v>13500</v>
      </c>
      <c r="M2051" s="9">
        <f t="shared" si="396"/>
        <v>1.0965357592494822</v>
      </c>
      <c r="N2051" s="5">
        <v>1</v>
      </c>
      <c r="O2051" s="10">
        <f t="shared" si="397"/>
        <v>1.0965357592494822</v>
      </c>
    </row>
    <row r="2052" spans="1:15" ht="13.5" hidden="1" customHeight="1">
      <c r="B2052" s="33">
        <f t="shared" si="398"/>
        <v>72</v>
      </c>
      <c r="C2052" s="60" t="s">
        <v>617</v>
      </c>
      <c r="D2052" s="60" t="s">
        <v>541</v>
      </c>
      <c r="E2052" s="61"/>
      <c r="F2052" s="61" t="s">
        <v>43</v>
      </c>
      <c r="G2052" s="36">
        <f t="shared" si="399"/>
        <v>6160.5</v>
      </c>
      <c r="H2052" s="36">
        <v>1861</v>
      </c>
      <c r="I2052" s="36">
        <v>3790</v>
      </c>
      <c r="J2052" s="36">
        <v>500</v>
      </c>
      <c r="K2052" s="36">
        <f t="shared" si="395"/>
        <v>12311.5</v>
      </c>
      <c r="L2052" s="36">
        <v>13500</v>
      </c>
      <c r="M2052" s="9">
        <f t="shared" si="396"/>
        <v>1.0965357592494822</v>
      </c>
      <c r="N2052" s="5">
        <v>1</v>
      </c>
      <c r="O2052" s="10">
        <f t="shared" si="397"/>
        <v>1.0965357592494822</v>
      </c>
    </row>
    <row r="2053" spans="1:15" ht="13.5" hidden="1" customHeight="1">
      <c r="B2053" s="33">
        <f t="shared" si="398"/>
        <v>73</v>
      </c>
      <c r="C2053" s="60" t="s">
        <v>630</v>
      </c>
      <c r="D2053" s="60" t="s">
        <v>553</v>
      </c>
      <c r="E2053" s="61"/>
      <c r="F2053" s="61" t="s">
        <v>43</v>
      </c>
      <c r="G2053" s="36">
        <f t="shared" si="399"/>
        <v>6160.5</v>
      </c>
      <c r="H2053" s="36">
        <v>1861</v>
      </c>
      <c r="I2053" s="36">
        <v>3790</v>
      </c>
      <c r="J2053" s="36">
        <v>500</v>
      </c>
      <c r="K2053" s="36">
        <f t="shared" si="395"/>
        <v>12311.5</v>
      </c>
      <c r="L2053" s="36">
        <v>13500</v>
      </c>
      <c r="M2053" s="9">
        <f t="shared" si="396"/>
        <v>1.0965357592494822</v>
      </c>
      <c r="N2053" s="5">
        <v>1</v>
      </c>
      <c r="O2053" s="10">
        <f t="shared" si="397"/>
        <v>1.0965357592494822</v>
      </c>
    </row>
    <row r="2054" spans="1:15" ht="13.5" hidden="1" customHeight="1">
      <c r="B2054" s="33">
        <f t="shared" si="398"/>
        <v>74</v>
      </c>
      <c r="C2054" s="60" t="s">
        <v>634</v>
      </c>
      <c r="D2054" s="60" t="s">
        <v>557</v>
      </c>
      <c r="E2054" s="61"/>
      <c r="F2054" s="61" t="s">
        <v>43</v>
      </c>
      <c r="G2054" s="36">
        <f t="shared" si="399"/>
        <v>6160.5</v>
      </c>
      <c r="H2054" s="36">
        <v>1861</v>
      </c>
      <c r="I2054" s="36">
        <v>3790</v>
      </c>
      <c r="J2054" s="36">
        <v>500</v>
      </c>
      <c r="K2054" s="36">
        <f t="shared" si="395"/>
        <v>12311.5</v>
      </c>
      <c r="L2054" s="36">
        <v>13500</v>
      </c>
      <c r="M2054" s="9">
        <f t="shared" si="396"/>
        <v>1.0965357592494822</v>
      </c>
      <c r="N2054" s="5">
        <v>1</v>
      </c>
      <c r="O2054" s="10">
        <f t="shared" si="397"/>
        <v>1.0965357592494822</v>
      </c>
    </row>
    <row r="2055" spans="1:15" ht="13.5" hidden="1" customHeight="1">
      <c r="B2055" s="33">
        <f t="shared" si="398"/>
        <v>75</v>
      </c>
      <c r="C2055" s="60" t="s">
        <v>639</v>
      </c>
      <c r="D2055" s="60" t="s">
        <v>562</v>
      </c>
      <c r="E2055" s="61"/>
      <c r="F2055" s="61" t="s">
        <v>43</v>
      </c>
      <c r="G2055" s="36">
        <f t="shared" si="399"/>
        <v>6160.5</v>
      </c>
      <c r="H2055" s="36">
        <v>1861</v>
      </c>
      <c r="I2055" s="36">
        <v>3790</v>
      </c>
      <c r="J2055" s="36">
        <v>500</v>
      </c>
      <c r="K2055" s="36">
        <f t="shared" si="395"/>
        <v>12311.5</v>
      </c>
      <c r="L2055" s="36">
        <v>13500</v>
      </c>
      <c r="M2055" s="9">
        <f t="shared" si="396"/>
        <v>1.0965357592494822</v>
      </c>
      <c r="N2055" s="5">
        <v>1</v>
      </c>
      <c r="O2055" s="10">
        <f t="shared" si="397"/>
        <v>1.0965357592494822</v>
      </c>
    </row>
    <row r="2056" spans="1:15" ht="13.5" hidden="1" customHeight="1">
      <c r="B2056" s="33">
        <f t="shared" si="398"/>
        <v>76</v>
      </c>
      <c r="C2056" s="60" t="s">
        <v>649</v>
      </c>
      <c r="D2056" s="60" t="s">
        <v>571</v>
      </c>
      <c r="E2056" s="61"/>
      <c r="F2056" s="61" t="s">
        <v>43</v>
      </c>
      <c r="G2056" s="36">
        <f t="shared" si="399"/>
        <v>6160.5</v>
      </c>
      <c r="H2056" s="36">
        <v>1861</v>
      </c>
      <c r="I2056" s="36">
        <v>3790</v>
      </c>
      <c r="J2056" s="36">
        <v>500</v>
      </c>
      <c r="K2056" s="36">
        <f t="shared" si="395"/>
        <v>12311.5</v>
      </c>
      <c r="L2056" s="36">
        <v>13500</v>
      </c>
      <c r="M2056" s="9">
        <f t="shared" si="396"/>
        <v>1.0965357592494822</v>
      </c>
      <c r="N2056" s="5">
        <v>1</v>
      </c>
      <c r="O2056" s="10">
        <f t="shared" si="397"/>
        <v>1.0965357592494822</v>
      </c>
    </row>
    <row r="2057" spans="1:15" ht="13.5" hidden="1" customHeight="1">
      <c r="B2057" s="33">
        <f t="shared" si="398"/>
        <v>77</v>
      </c>
      <c r="C2057" s="60" t="s">
        <v>592</v>
      </c>
      <c r="D2057" s="60" t="s">
        <v>512</v>
      </c>
      <c r="E2057" s="61"/>
      <c r="F2057" s="61" t="s">
        <v>43</v>
      </c>
      <c r="G2057" s="36">
        <f t="shared" si="399"/>
        <v>6160.5</v>
      </c>
      <c r="H2057" s="36">
        <v>1861</v>
      </c>
      <c r="I2057" s="36">
        <v>3790</v>
      </c>
      <c r="J2057" s="36">
        <v>500</v>
      </c>
      <c r="K2057" s="36">
        <f t="shared" si="395"/>
        <v>12311.5</v>
      </c>
      <c r="L2057" s="36">
        <v>13500</v>
      </c>
      <c r="M2057" s="9">
        <f t="shared" si="396"/>
        <v>1.0965357592494822</v>
      </c>
      <c r="N2057" s="5">
        <v>1</v>
      </c>
      <c r="O2057" s="10">
        <f t="shared" si="397"/>
        <v>1.0965357592494822</v>
      </c>
    </row>
    <row r="2058" spans="1:15" ht="13.5" hidden="1" customHeight="1">
      <c r="B2058" s="33">
        <f t="shared" si="398"/>
        <v>78</v>
      </c>
      <c r="C2058" s="60" t="s">
        <v>596</v>
      </c>
      <c r="D2058" s="60" t="s">
        <v>516</v>
      </c>
      <c r="E2058" s="61"/>
      <c r="F2058" s="61" t="s">
        <v>43</v>
      </c>
      <c r="G2058" s="36">
        <f t="shared" si="399"/>
        <v>6160.5</v>
      </c>
      <c r="H2058" s="36">
        <v>1861</v>
      </c>
      <c r="I2058" s="36">
        <v>3790</v>
      </c>
      <c r="J2058" s="36">
        <v>500</v>
      </c>
      <c r="K2058" s="36">
        <f t="shared" si="395"/>
        <v>12311.5</v>
      </c>
      <c r="L2058" s="36">
        <v>13500</v>
      </c>
      <c r="M2058" s="9">
        <f t="shared" si="396"/>
        <v>1.0965357592494822</v>
      </c>
      <c r="N2058" s="5">
        <v>1</v>
      </c>
      <c r="O2058" s="10">
        <f t="shared" si="397"/>
        <v>1.0965357592494822</v>
      </c>
    </row>
    <row r="2059" spans="1:15" ht="13.5" hidden="1" customHeight="1">
      <c r="B2059" s="33">
        <f t="shared" si="398"/>
        <v>79</v>
      </c>
      <c r="C2059" s="60" t="s">
        <v>605</v>
      </c>
      <c r="D2059" s="60" t="s">
        <v>529</v>
      </c>
      <c r="E2059" s="61"/>
      <c r="F2059" s="61" t="s">
        <v>27</v>
      </c>
      <c r="G2059" s="36">
        <f>333*18</f>
        <v>5994</v>
      </c>
      <c r="H2059" s="36">
        <v>1861</v>
      </c>
      <c r="I2059" s="36">
        <v>3240</v>
      </c>
      <c r="J2059" s="36">
        <v>500</v>
      </c>
      <c r="K2059" s="36">
        <f t="shared" si="395"/>
        <v>11595</v>
      </c>
      <c r="L2059" s="36">
        <v>13500</v>
      </c>
      <c r="M2059" s="9">
        <f t="shared" si="396"/>
        <v>1.1642949547218628</v>
      </c>
      <c r="N2059" s="5">
        <v>1</v>
      </c>
      <c r="O2059" s="10">
        <f t="shared" si="397"/>
        <v>1.1642949547218628</v>
      </c>
    </row>
    <row r="2060" spans="1:15" ht="13.5" hidden="1" customHeight="1">
      <c r="B2060" s="33">
        <f t="shared" si="398"/>
        <v>80</v>
      </c>
      <c r="C2060" s="60" t="s">
        <v>631</v>
      </c>
      <c r="D2060" s="60" t="s">
        <v>554</v>
      </c>
      <c r="E2060" s="61"/>
      <c r="F2060" s="61" t="s">
        <v>27</v>
      </c>
      <c r="G2060" s="36">
        <f t="shared" ref="G2060:G2061" si="400">333*18</f>
        <v>5994</v>
      </c>
      <c r="H2060" s="36">
        <v>1861</v>
      </c>
      <c r="I2060" s="36">
        <v>3240</v>
      </c>
      <c r="J2060" s="36">
        <v>500</v>
      </c>
      <c r="K2060" s="36">
        <f t="shared" si="395"/>
        <v>11595</v>
      </c>
      <c r="L2060" s="36">
        <v>13500</v>
      </c>
      <c r="M2060" s="9">
        <f t="shared" si="396"/>
        <v>1.1642949547218628</v>
      </c>
      <c r="N2060" s="5">
        <v>1</v>
      </c>
      <c r="O2060" s="10">
        <f t="shared" si="397"/>
        <v>1.1642949547218628</v>
      </c>
    </row>
    <row r="2061" spans="1:15" ht="13.5" hidden="1" customHeight="1">
      <c r="B2061" s="33">
        <f t="shared" si="398"/>
        <v>81</v>
      </c>
      <c r="C2061" s="60" t="s">
        <v>637</v>
      </c>
      <c r="D2061" s="60" t="s">
        <v>560</v>
      </c>
      <c r="E2061" s="61"/>
      <c r="F2061" s="61" t="s">
        <v>27</v>
      </c>
      <c r="G2061" s="36">
        <f t="shared" si="400"/>
        <v>5994</v>
      </c>
      <c r="H2061" s="36">
        <v>1861</v>
      </c>
      <c r="I2061" s="36">
        <v>3240</v>
      </c>
      <c r="J2061" s="36">
        <v>500</v>
      </c>
      <c r="K2061" s="36">
        <f t="shared" si="395"/>
        <v>11595</v>
      </c>
      <c r="L2061" s="36">
        <v>13500</v>
      </c>
      <c r="M2061" s="9">
        <f t="shared" si="396"/>
        <v>1.1642949547218628</v>
      </c>
      <c r="N2061" s="5">
        <v>1</v>
      </c>
      <c r="O2061" s="10">
        <f t="shared" si="397"/>
        <v>1.1642949547218628</v>
      </c>
    </row>
    <row r="2062" spans="1:15" ht="13.5" hidden="1" customHeight="1">
      <c r="B2062" s="33">
        <f t="shared" si="398"/>
        <v>82</v>
      </c>
      <c r="C2062" s="60" t="s">
        <v>665</v>
      </c>
      <c r="D2062" s="60" t="s">
        <v>588</v>
      </c>
      <c r="E2062" s="61"/>
      <c r="F2062" s="61" t="s">
        <v>30</v>
      </c>
      <c r="G2062" s="36">
        <f>300*21</f>
        <v>6300</v>
      </c>
      <c r="H2062" s="36">
        <v>1861</v>
      </c>
      <c r="I2062" s="36">
        <v>3240</v>
      </c>
      <c r="J2062" s="36">
        <v>500</v>
      </c>
      <c r="K2062" s="36">
        <f t="shared" si="395"/>
        <v>11901</v>
      </c>
      <c r="L2062" s="36">
        <v>13500</v>
      </c>
      <c r="M2062" s="9">
        <f t="shared" si="396"/>
        <v>1.1343584572724981</v>
      </c>
      <c r="N2062" s="5">
        <v>1</v>
      </c>
      <c r="O2062" s="10">
        <f t="shared" si="397"/>
        <v>1.1343584572724981</v>
      </c>
    </row>
    <row r="2063" spans="1:15" ht="13.5" hidden="1" customHeight="1">
      <c r="B2063" s="33">
        <f t="shared" si="398"/>
        <v>83</v>
      </c>
      <c r="C2063" s="60" t="s">
        <v>598</v>
      </c>
      <c r="D2063" s="60" t="s">
        <v>520</v>
      </c>
      <c r="E2063" s="61"/>
      <c r="F2063" s="61" t="s">
        <v>510</v>
      </c>
      <c r="G2063" s="36">
        <f>333*18.5</f>
        <v>6160.5</v>
      </c>
      <c r="H2063" s="36">
        <v>1861</v>
      </c>
      <c r="I2063" s="36">
        <v>3790</v>
      </c>
      <c r="J2063" s="36">
        <v>500</v>
      </c>
      <c r="K2063" s="36">
        <f t="shared" si="395"/>
        <v>12311.5</v>
      </c>
      <c r="L2063" s="36">
        <v>13500</v>
      </c>
      <c r="M2063" s="9">
        <f t="shared" si="396"/>
        <v>1.0965357592494822</v>
      </c>
      <c r="N2063" s="5">
        <v>1</v>
      </c>
      <c r="O2063" s="10">
        <f t="shared" si="397"/>
        <v>1.0965357592494822</v>
      </c>
    </row>
    <row r="2064" spans="1:15" ht="17.25" hidden="1" customHeight="1">
      <c r="A2064" s="66" t="s">
        <v>45</v>
      </c>
      <c r="B2064" s="66"/>
      <c r="C2064" s="66"/>
      <c r="D2064" s="66"/>
      <c r="E2064" s="66"/>
      <c r="F2064" s="66"/>
      <c r="G2064" s="66"/>
      <c r="H2064" s="66"/>
      <c r="I2064" s="66"/>
      <c r="J2064" s="66"/>
      <c r="K2064" s="66"/>
      <c r="L2064" s="66"/>
      <c r="M2064" s="66"/>
      <c r="N2064" s="22">
        <f>SUM(N1981:N2063)</f>
        <v>83</v>
      </c>
      <c r="O2064" s="23" t="e">
        <f>SUM(O1981:O2063)</f>
        <v>#DIV/0!</v>
      </c>
    </row>
    <row r="2065" spans="1:15" ht="13.5" hidden="1" customHeight="1">
      <c r="A2065" s="44" t="s">
        <v>672</v>
      </c>
      <c r="B2065" s="44"/>
      <c r="C2065" s="44"/>
      <c r="D2065" s="44"/>
      <c r="E2065" s="44"/>
      <c r="F2065" s="44"/>
      <c r="G2065" s="44"/>
      <c r="H2065" s="44"/>
      <c r="I2065" s="44"/>
      <c r="J2065" s="44"/>
      <c r="K2065" s="44"/>
      <c r="L2065" s="44"/>
      <c r="M2065" s="44"/>
      <c r="N2065" s="44"/>
      <c r="O2065" s="44"/>
    </row>
    <row r="2066" spans="1:15" ht="13.5" hidden="1" customHeight="1">
      <c r="B2066" s="33">
        <v>1</v>
      </c>
      <c r="C2066" s="60" t="s">
        <v>599</v>
      </c>
      <c r="D2066" s="60" t="s">
        <v>522</v>
      </c>
      <c r="E2066" s="61"/>
      <c r="F2066" s="61" t="s">
        <v>213</v>
      </c>
      <c r="G2066" s="36">
        <f>333*23</f>
        <v>7659</v>
      </c>
      <c r="H2066" s="36">
        <v>1861</v>
      </c>
      <c r="I2066" s="36">
        <v>3790</v>
      </c>
      <c r="J2066" s="36">
        <v>0</v>
      </c>
      <c r="K2066" s="36">
        <f t="shared" ref="K2066:K2129" si="401">SUM(G2066:J2066)</f>
        <v>13310</v>
      </c>
      <c r="L2066" s="36">
        <v>13500</v>
      </c>
      <c r="M2066" s="9">
        <f t="shared" ref="M2066:M2129" si="402">L2066/K2066</f>
        <v>1.0142749812171299</v>
      </c>
      <c r="N2066" s="5">
        <v>1</v>
      </c>
      <c r="O2066" s="10">
        <f t="shared" ref="O2066:O2129" si="403">N2066*M2066</f>
        <v>1.0142749812171299</v>
      </c>
    </row>
    <row r="2067" spans="1:15" ht="13.5" hidden="1" customHeight="1">
      <c r="B2067" s="33">
        <f>+B2066+1</f>
        <v>2</v>
      </c>
      <c r="C2067" s="60" t="s">
        <v>611</v>
      </c>
      <c r="D2067" s="60" t="s">
        <v>535</v>
      </c>
      <c r="E2067" s="61"/>
      <c r="F2067" s="61" t="s">
        <v>213</v>
      </c>
      <c r="G2067" s="36">
        <f t="shared" ref="G2067:G2071" si="404">333*23</f>
        <v>7659</v>
      </c>
      <c r="H2067" s="36">
        <v>1861</v>
      </c>
      <c r="I2067" s="36">
        <v>3790</v>
      </c>
      <c r="J2067" s="36">
        <v>0</v>
      </c>
      <c r="K2067" s="36">
        <f t="shared" si="401"/>
        <v>13310</v>
      </c>
      <c r="L2067" s="36">
        <v>13500</v>
      </c>
      <c r="M2067" s="9">
        <f t="shared" si="402"/>
        <v>1.0142749812171299</v>
      </c>
      <c r="N2067" s="5">
        <v>1</v>
      </c>
      <c r="O2067" s="10">
        <f t="shared" si="403"/>
        <v>1.0142749812171299</v>
      </c>
    </row>
    <row r="2068" spans="1:15" ht="13.5" hidden="1" customHeight="1">
      <c r="B2068" s="33">
        <f t="shared" ref="B2068:B2131" si="405">+B2067+1</f>
        <v>3</v>
      </c>
      <c r="C2068" s="60" t="s">
        <v>629</v>
      </c>
      <c r="D2068" s="60" t="s">
        <v>552</v>
      </c>
      <c r="E2068" s="61"/>
      <c r="F2068" s="61" t="s">
        <v>213</v>
      </c>
      <c r="G2068" s="36">
        <f t="shared" si="404"/>
        <v>7659</v>
      </c>
      <c r="H2068" s="36">
        <v>1861</v>
      </c>
      <c r="I2068" s="36">
        <v>3790</v>
      </c>
      <c r="J2068" s="36">
        <v>0</v>
      </c>
      <c r="K2068" s="36">
        <f t="shared" si="401"/>
        <v>13310</v>
      </c>
      <c r="L2068" s="36">
        <v>13500</v>
      </c>
      <c r="M2068" s="9">
        <f t="shared" si="402"/>
        <v>1.0142749812171299</v>
      </c>
      <c r="N2068" s="5">
        <v>1</v>
      </c>
      <c r="O2068" s="10">
        <f t="shared" si="403"/>
        <v>1.0142749812171299</v>
      </c>
    </row>
    <row r="2069" spans="1:15" ht="13.5" hidden="1" customHeight="1">
      <c r="B2069" s="33">
        <f t="shared" si="405"/>
        <v>4</v>
      </c>
      <c r="C2069" s="60" t="s">
        <v>635</v>
      </c>
      <c r="D2069" s="60" t="s">
        <v>558</v>
      </c>
      <c r="E2069" s="61"/>
      <c r="F2069" s="61" t="s">
        <v>213</v>
      </c>
      <c r="G2069" s="36">
        <f t="shared" si="404"/>
        <v>7659</v>
      </c>
      <c r="H2069" s="36">
        <v>1861</v>
      </c>
      <c r="I2069" s="36">
        <v>3790</v>
      </c>
      <c r="J2069" s="36"/>
      <c r="K2069" s="36">
        <f t="shared" si="401"/>
        <v>13310</v>
      </c>
      <c r="L2069" s="36">
        <v>13500</v>
      </c>
      <c r="M2069" s="9">
        <f t="shared" si="402"/>
        <v>1.0142749812171299</v>
      </c>
      <c r="N2069" s="5">
        <v>1</v>
      </c>
      <c r="O2069" s="10">
        <f t="shared" si="403"/>
        <v>1.0142749812171299</v>
      </c>
    </row>
    <row r="2070" spans="1:15" ht="13.5" hidden="1" customHeight="1">
      <c r="B2070" s="33">
        <f t="shared" si="405"/>
        <v>5</v>
      </c>
      <c r="C2070" s="60" t="s">
        <v>663</v>
      </c>
      <c r="D2070" s="60" t="s">
        <v>586</v>
      </c>
      <c r="E2070" s="61"/>
      <c r="F2070" s="61" t="s">
        <v>213</v>
      </c>
      <c r="G2070" s="36">
        <f t="shared" si="404"/>
        <v>7659</v>
      </c>
      <c r="H2070" s="36">
        <v>1861</v>
      </c>
      <c r="I2070" s="36">
        <v>3790</v>
      </c>
      <c r="J2070" s="36">
        <v>0</v>
      </c>
      <c r="K2070" s="36">
        <f t="shared" si="401"/>
        <v>13310</v>
      </c>
      <c r="L2070" s="36">
        <v>13500</v>
      </c>
      <c r="M2070" s="9">
        <f t="shared" si="402"/>
        <v>1.0142749812171299</v>
      </c>
      <c r="N2070" s="5">
        <v>1</v>
      </c>
      <c r="O2070" s="10">
        <f t="shared" si="403"/>
        <v>1.0142749812171299</v>
      </c>
    </row>
    <row r="2071" spans="1:15" ht="13.5" hidden="1" customHeight="1">
      <c r="B2071" s="33">
        <f t="shared" si="405"/>
        <v>6</v>
      </c>
      <c r="C2071" s="60" t="s">
        <v>666</v>
      </c>
      <c r="D2071" s="60" t="s">
        <v>589</v>
      </c>
      <c r="E2071" s="61"/>
      <c r="F2071" s="61" t="s">
        <v>213</v>
      </c>
      <c r="G2071" s="36">
        <f t="shared" si="404"/>
        <v>7659</v>
      </c>
      <c r="H2071" s="36">
        <v>1861</v>
      </c>
      <c r="I2071" s="36">
        <v>3790</v>
      </c>
      <c r="J2071" s="36">
        <v>0</v>
      </c>
      <c r="K2071" s="36">
        <f t="shared" si="401"/>
        <v>13310</v>
      </c>
      <c r="L2071" s="36">
        <v>13500</v>
      </c>
      <c r="M2071" s="9">
        <f t="shared" si="402"/>
        <v>1.0142749812171299</v>
      </c>
      <c r="N2071" s="5">
        <v>1</v>
      </c>
      <c r="O2071" s="10">
        <f t="shared" si="403"/>
        <v>1.0142749812171299</v>
      </c>
    </row>
    <row r="2072" spans="1:15" ht="13.5" hidden="1" customHeight="1">
      <c r="B2072" s="33">
        <f t="shared" si="405"/>
        <v>7</v>
      </c>
      <c r="C2072" s="60" t="s">
        <v>648</v>
      </c>
      <c r="D2072" s="60" t="s">
        <v>570</v>
      </c>
      <c r="E2072" s="61"/>
      <c r="F2072" s="61" t="s">
        <v>140</v>
      </c>
      <c r="G2072" s="36">
        <f>300*9</f>
        <v>2700</v>
      </c>
      <c r="H2072" s="36">
        <v>1861</v>
      </c>
      <c r="I2072" s="36">
        <v>3240</v>
      </c>
      <c r="J2072" s="36">
        <v>0</v>
      </c>
      <c r="K2072" s="36">
        <f t="shared" si="401"/>
        <v>7801</v>
      </c>
      <c r="L2072" s="36">
        <v>13500</v>
      </c>
      <c r="M2072" s="9">
        <f t="shared" si="402"/>
        <v>1.7305473657223434</v>
      </c>
      <c r="N2072" s="5">
        <v>1</v>
      </c>
      <c r="O2072" s="10">
        <f t="shared" si="403"/>
        <v>1.7305473657223434</v>
      </c>
    </row>
    <row r="2073" spans="1:15" ht="13.5" hidden="1" customHeight="1">
      <c r="B2073" s="33">
        <f t="shared" si="405"/>
        <v>8</v>
      </c>
      <c r="C2073" s="60" t="s">
        <v>624</v>
      </c>
      <c r="D2073" s="60" t="s">
        <v>547</v>
      </c>
      <c r="E2073" s="61"/>
      <c r="F2073" s="61" t="s">
        <v>428</v>
      </c>
      <c r="G2073" s="36">
        <v>0</v>
      </c>
      <c r="H2073" s="36">
        <v>0</v>
      </c>
      <c r="I2073" s="36">
        <v>0</v>
      </c>
      <c r="J2073" s="36">
        <v>0</v>
      </c>
      <c r="K2073" s="36">
        <f t="shared" si="401"/>
        <v>0</v>
      </c>
      <c r="L2073" s="36">
        <v>13500</v>
      </c>
      <c r="M2073" s="9" t="e">
        <f t="shared" si="402"/>
        <v>#DIV/0!</v>
      </c>
      <c r="N2073" s="5">
        <v>1</v>
      </c>
      <c r="O2073" s="10" t="e">
        <f t="shared" si="403"/>
        <v>#DIV/0!</v>
      </c>
    </row>
    <row r="2074" spans="1:15" ht="13.5" hidden="1" customHeight="1">
      <c r="B2074" s="33">
        <f t="shared" si="405"/>
        <v>9</v>
      </c>
      <c r="C2074" s="60" t="s">
        <v>651</v>
      </c>
      <c r="D2074" s="60" t="s">
        <v>573</v>
      </c>
      <c r="E2074" s="61"/>
      <c r="F2074" s="61" t="s">
        <v>41</v>
      </c>
      <c r="G2074" s="36">
        <f>333*21</f>
        <v>6993</v>
      </c>
      <c r="H2074" s="36">
        <v>1861</v>
      </c>
      <c r="I2074" s="36">
        <v>3790</v>
      </c>
      <c r="J2074" s="36">
        <v>500</v>
      </c>
      <c r="K2074" s="36">
        <f t="shared" si="401"/>
        <v>13144</v>
      </c>
      <c r="L2074" s="36">
        <v>13500</v>
      </c>
      <c r="M2074" s="9">
        <f t="shared" si="402"/>
        <v>1.027084601339014</v>
      </c>
      <c r="N2074" s="5">
        <v>1</v>
      </c>
      <c r="O2074" s="10">
        <f t="shared" si="403"/>
        <v>1.027084601339014</v>
      </c>
    </row>
    <row r="2075" spans="1:15" ht="13.5" hidden="1" customHeight="1">
      <c r="B2075" s="33">
        <f t="shared" si="405"/>
        <v>10</v>
      </c>
      <c r="C2075" s="60" t="s">
        <v>656</v>
      </c>
      <c r="D2075" s="60" t="s">
        <v>579</v>
      </c>
      <c r="E2075" s="61"/>
      <c r="F2075" s="61" t="s">
        <v>41</v>
      </c>
      <c r="G2075" s="36">
        <f>333*17</f>
        <v>5661</v>
      </c>
      <c r="H2075" s="36">
        <v>1861</v>
      </c>
      <c r="I2075" s="36">
        <v>3790</v>
      </c>
      <c r="J2075" s="36">
        <v>500</v>
      </c>
      <c r="K2075" s="36">
        <f t="shared" si="401"/>
        <v>11812</v>
      </c>
      <c r="L2075" s="36">
        <v>13500</v>
      </c>
      <c r="M2075" s="9">
        <f t="shared" si="402"/>
        <v>1.1429055198103624</v>
      </c>
      <c r="N2075" s="5">
        <v>1</v>
      </c>
      <c r="O2075" s="10">
        <f t="shared" si="403"/>
        <v>1.1429055198103624</v>
      </c>
    </row>
    <row r="2076" spans="1:15" ht="13.5" hidden="1" customHeight="1">
      <c r="B2076" s="33">
        <f t="shared" si="405"/>
        <v>11</v>
      </c>
      <c r="C2076" s="60" t="s">
        <v>661</v>
      </c>
      <c r="D2076" s="60" t="s">
        <v>584</v>
      </c>
      <c r="E2076" s="61"/>
      <c r="F2076" s="61" t="s">
        <v>41</v>
      </c>
      <c r="G2076" s="36">
        <f>333*17</f>
        <v>5661</v>
      </c>
      <c r="H2076" s="36">
        <v>1861</v>
      </c>
      <c r="I2076" s="36">
        <v>3790</v>
      </c>
      <c r="J2076" s="36">
        <v>500</v>
      </c>
      <c r="K2076" s="36">
        <f t="shared" si="401"/>
        <v>11812</v>
      </c>
      <c r="L2076" s="36">
        <v>13500</v>
      </c>
      <c r="M2076" s="9">
        <f t="shared" si="402"/>
        <v>1.1429055198103624</v>
      </c>
      <c r="N2076" s="5">
        <v>1</v>
      </c>
      <c r="O2076" s="10">
        <f t="shared" si="403"/>
        <v>1.1429055198103624</v>
      </c>
    </row>
    <row r="2077" spans="1:15" ht="13.5" hidden="1" customHeight="1">
      <c r="B2077" s="33">
        <f t="shared" si="405"/>
        <v>12</v>
      </c>
      <c r="C2077" s="60" t="s">
        <v>660</v>
      </c>
      <c r="D2077" s="60" t="s">
        <v>583</v>
      </c>
      <c r="E2077" s="61"/>
      <c r="F2077" s="61" t="s">
        <v>42</v>
      </c>
      <c r="G2077" s="36">
        <f>333*21</f>
        <v>6993</v>
      </c>
      <c r="H2077" s="36">
        <v>1861</v>
      </c>
      <c r="I2077" s="36">
        <v>3240</v>
      </c>
      <c r="J2077" s="36">
        <v>500</v>
      </c>
      <c r="K2077" s="36">
        <f t="shared" si="401"/>
        <v>12594</v>
      </c>
      <c r="L2077" s="36">
        <v>13500</v>
      </c>
      <c r="M2077" s="9">
        <f t="shared" si="402"/>
        <v>1.0719390185802764</v>
      </c>
      <c r="N2077" s="5">
        <v>1</v>
      </c>
      <c r="O2077" s="10">
        <f t="shared" si="403"/>
        <v>1.0719390185802764</v>
      </c>
    </row>
    <row r="2078" spans="1:15" ht="13.5" hidden="1" customHeight="1">
      <c r="B2078" s="33">
        <f t="shared" si="405"/>
        <v>13</v>
      </c>
      <c r="C2078" s="60" t="s">
        <v>657</v>
      </c>
      <c r="D2078" s="60" t="s">
        <v>580</v>
      </c>
      <c r="E2078" s="61"/>
      <c r="F2078" s="61" t="s">
        <v>25</v>
      </c>
      <c r="G2078" s="36">
        <f>300*6</f>
        <v>1800</v>
      </c>
      <c r="H2078" s="36">
        <v>1861</v>
      </c>
      <c r="I2078" s="36">
        <v>3240</v>
      </c>
      <c r="J2078" s="36">
        <v>500</v>
      </c>
      <c r="K2078" s="36">
        <f t="shared" si="401"/>
        <v>7401</v>
      </c>
      <c r="L2078" s="36">
        <v>13500</v>
      </c>
      <c r="M2078" s="9">
        <f t="shared" si="402"/>
        <v>1.8240778273206324</v>
      </c>
      <c r="N2078" s="5">
        <v>1</v>
      </c>
      <c r="O2078" s="10">
        <f t="shared" si="403"/>
        <v>1.8240778273206324</v>
      </c>
    </row>
    <row r="2079" spans="1:15" ht="13.5" hidden="1" customHeight="1">
      <c r="B2079" s="33">
        <f t="shared" si="405"/>
        <v>14</v>
      </c>
      <c r="C2079" s="60" t="s">
        <v>604</v>
      </c>
      <c r="D2079" s="60" t="s">
        <v>528</v>
      </c>
      <c r="E2079" s="61"/>
      <c r="F2079" s="61" t="s">
        <v>417</v>
      </c>
      <c r="G2079" s="36">
        <v>0</v>
      </c>
      <c r="H2079" s="36">
        <v>0</v>
      </c>
      <c r="I2079" s="36">
        <v>0</v>
      </c>
      <c r="J2079" s="36">
        <v>0</v>
      </c>
      <c r="K2079" s="36">
        <f t="shared" si="401"/>
        <v>0</v>
      </c>
      <c r="L2079" s="36">
        <v>13500</v>
      </c>
      <c r="M2079" s="9" t="e">
        <f t="shared" si="402"/>
        <v>#DIV/0!</v>
      </c>
      <c r="N2079" s="5">
        <v>1</v>
      </c>
      <c r="O2079" s="10" t="e">
        <f t="shared" si="403"/>
        <v>#DIV/0!</v>
      </c>
    </row>
    <row r="2080" spans="1:15" ht="13.5" hidden="1" customHeight="1">
      <c r="B2080" s="33">
        <f t="shared" si="405"/>
        <v>15</v>
      </c>
      <c r="C2080" s="60" t="s">
        <v>594</v>
      </c>
      <c r="D2080" s="60" t="s">
        <v>513</v>
      </c>
      <c r="E2080" s="61"/>
      <c r="F2080" s="61" t="s">
        <v>417</v>
      </c>
      <c r="G2080" s="36">
        <v>0</v>
      </c>
      <c r="H2080" s="36">
        <v>0</v>
      </c>
      <c r="I2080" s="36">
        <v>0</v>
      </c>
      <c r="J2080" s="36">
        <v>0</v>
      </c>
      <c r="K2080" s="36">
        <f t="shared" si="401"/>
        <v>0</v>
      </c>
      <c r="L2080" s="36">
        <v>13500</v>
      </c>
      <c r="M2080" s="9" t="e">
        <f t="shared" si="402"/>
        <v>#DIV/0!</v>
      </c>
      <c r="N2080" s="5">
        <v>1</v>
      </c>
      <c r="O2080" s="10" t="e">
        <f t="shared" si="403"/>
        <v>#DIV/0!</v>
      </c>
    </row>
    <row r="2081" spans="2:15" ht="13.5" hidden="1" customHeight="1">
      <c r="B2081" s="33">
        <f t="shared" si="405"/>
        <v>16</v>
      </c>
      <c r="C2081" s="60" t="s">
        <v>616</v>
      </c>
      <c r="D2081" s="60" t="s">
        <v>540</v>
      </c>
      <c r="E2081" s="61"/>
      <c r="F2081" s="61" t="s">
        <v>159</v>
      </c>
      <c r="G2081" s="36">
        <f>333*22</f>
        <v>7326</v>
      </c>
      <c r="H2081" s="36">
        <v>1861</v>
      </c>
      <c r="I2081" s="36">
        <v>3240</v>
      </c>
      <c r="J2081" s="36">
        <v>1800</v>
      </c>
      <c r="K2081" s="36">
        <f t="shared" si="401"/>
        <v>14227</v>
      </c>
      <c r="L2081" s="36">
        <v>13500</v>
      </c>
      <c r="M2081" s="9">
        <f t="shared" si="402"/>
        <v>0.94889997891333377</v>
      </c>
      <c r="N2081" s="5">
        <v>1</v>
      </c>
      <c r="O2081" s="10">
        <f t="shared" si="403"/>
        <v>0.94889997891333377</v>
      </c>
    </row>
    <row r="2082" spans="2:15" ht="13.5" hidden="1" customHeight="1">
      <c r="B2082" s="33">
        <f t="shared" si="405"/>
        <v>17</v>
      </c>
      <c r="C2082" s="60" t="s">
        <v>628</v>
      </c>
      <c r="D2082" s="60" t="s">
        <v>551</v>
      </c>
      <c r="E2082" s="61"/>
      <c r="F2082" s="61" t="s">
        <v>159</v>
      </c>
      <c r="G2082" s="36">
        <f t="shared" ref="G2082:G2085" si="406">333*22</f>
        <v>7326</v>
      </c>
      <c r="H2082" s="36">
        <v>1861</v>
      </c>
      <c r="I2082" s="36">
        <v>3240</v>
      </c>
      <c r="J2082" s="36">
        <v>1800</v>
      </c>
      <c r="K2082" s="36">
        <f t="shared" si="401"/>
        <v>14227</v>
      </c>
      <c r="L2082" s="36">
        <v>13500</v>
      </c>
      <c r="M2082" s="9">
        <f t="shared" si="402"/>
        <v>0.94889997891333377</v>
      </c>
      <c r="N2082" s="5">
        <v>1</v>
      </c>
      <c r="O2082" s="10">
        <f t="shared" si="403"/>
        <v>0.94889997891333377</v>
      </c>
    </row>
    <row r="2083" spans="2:15" ht="13.5" hidden="1" customHeight="1">
      <c r="B2083" s="33">
        <f t="shared" si="405"/>
        <v>18</v>
      </c>
      <c r="C2083" s="60" t="s">
        <v>650</v>
      </c>
      <c r="D2083" s="60" t="s">
        <v>572</v>
      </c>
      <c r="E2083" s="61"/>
      <c r="F2083" s="61" t="s">
        <v>159</v>
      </c>
      <c r="G2083" s="36">
        <f t="shared" si="406"/>
        <v>7326</v>
      </c>
      <c r="H2083" s="36">
        <v>1861</v>
      </c>
      <c r="I2083" s="36">
        <v>3240</v>
      </c>
      <c r="J2083" s="36">
        <v>1800</v>
      </c>
      <c r="K2083" s="36">
        <f t="shared" si="401"/>
        <v>14227</v>
      </c>
      <c r="L2083" s="36">
        <v>13500</v>
      </c>
      <c r="M2083" s="9">
        <f t="shared" si="402"/>
        <v>0.94889997891333377</v>
      </c>
      <c r="N2083" s="5">
        <v>1</v>
      </c>
      <c r="O2083" s="10">
        <f t="shared" si="403"/>
        <v>0.94889997891333377</v>
      </c>
    </row>
    <row r="2084" spans="2:15" ht="13.5" hidden="1" customHeight="1">
      <c r="B2084" s="33">
        <f t="shared" si="405"/>
        <v>19</v>
      </c>
      <c r="C2084" s="60" t="s">
        <v>662</v>
      </c>
      <c r="D2084" s="60" t="s">
        <v>585</v>
      </c>
      <c r="E2084" s="61"/>
      <c r="F2084" s="61" t="s">
        <v>159</v>
      </c>
      <c r="G2084" s="36">
        <f t="shared" si="406"/>
        <v>7326</v>
      </c>
      <c r="H2084" s="36">
        <v>1861</v>
      </c>
      <c r="I2084" s="36">
        <v>3240</v>
      </c>
      <c r="J2084" s="36">
        <v>1800</v>
      </c>
      <c r="K2084" s="36">
        <f t="shared" si="401"/>
        <v>14227</v>
      </c>
      <c r="L2084" s="36">
        <v>13500</v>
      </c>
      <c r="M2084" s="9">
        <f t="shared" si="402"/>
        <v>0.94889997891333377</v>
      </c>
      <c r="N2084" s="5">
        <v>1</v>
      </c>
      <c r="O2084" s="10">
        <f t="shared" si="403"/>
        <v>0.94889997891333377</v>
      </c>
    </row>
    <row r="2085" spans="2:15" ht="13.5" hidden="1" customHeight="1">
      <c r="B2085" s="33">
        <f t="shared" si="405"/>
        <v>20</v>
      </c>
      <c r="C2085" s="60" t="s">
        <v>160</v>
      </c>
      <c r="D2085" s="60" t="s">
        <v>515</v>
      </c>
      <c r="E2085" s="61"/>
      <c r="F2085" s="61" t="s">
        <v>159</v>
      </c>
      <c r="G2085" s="36">
        <f t="shared" si="406"/>
        <v>7326</v>
      </c>
      <c r="H2085" s="36">
        <v>1861</v>
      </c>
      <c r="I2085" s="36">
        <v>3240</v>
      </c>
      <c r="J2085" s="36">
        <v>1800</v>
      </c>
      <c r="K2085" s="36">
        <f t="shared" si="401"/>
        <v>14227</v>
      </c>
      <c r="L2085" s="36">
        <v>13500</v>
      </c>
      <c r="M2085" s="9">
        <f t="shared" si="402"/>
        <v>0.94889997891333377</v>
      </c>
      <c r="N2085" s="5">
        <v>1</v>
      </c>
      <c r="O2085" s="10">
        <f t="shared" si="403"/>
        <v>0.94889997891333377</v>
      </c>
    </row>
    <row r="2086" spans="2:15" ht="13.5" hidden="1" customHeight="1">
      <c r="B2086" s="33">
        <f t="shared" si="405"/>
        <v>21</v>
      </c>
      <c r="C2086" s="60" t="s">
        <v>623</v>
      </c>
      <c r="D2086" s="60" t="s">
        <v>150</v>
      </c>
      <c r="E2086" s="61"/>
      <c r="F2086" s="61" t="s">
        <v>37</v>
      </c>
      <c r="G2086" s="36">
        <f>333*21</f>
        <v>6993</v>
      </c>
      <c r="H2086" s="36">
        <v>1861</v>
      </c>
      <c r="I2086" s="36">
        <v>3240</v>
      </c>
      <c r="J2086" s="36">
        <v>0</v>
      </c>
      <c r="K2086" s="36">
        <f t="shared" si="401"/>
        <v>12094</v>
      </c>
      <c r="L2086" s="36">
        <v>13500</v>
      </c>
      <c r="M2086" s="9">
        <f t="shared" si="402"/>
        <v>1.1162559947081196</v>
      </c>
      <c r="N2086" s="5">
        <v>1</v>
      </c>
      <c r="O2086" s="10">
        <f t="shared" si="403"/>
        <v>1.1162559947081196</v>
      </c>
    </row>
    <row r="2087" spans="2:15" ht="13.5" hidden="1" customHeight="1">
      <c r="B2087" s="33">
        <f t="shared" si="405"/>
        <v>22</v>
      </c>
      <c r="C2087" s="60" t="s">
        <v>644</v>
      </c>
      <c r="D2087" s="60" t="s">
        <v>153</v>
      </c>
      <c r="E2087" s="61"/>
      <c r="F2087" s="61" t="s">
        <v>37</v>
      </c>
      <c r="G2087" s="36">
        <f>333*21</f>
        <v>6993</v>
      </c>
      <c r="H2087" s="36">
        <v>1861</v>
      </c>
      <c r="I2087" s="36">
        <v>3240</v>
      </c>
      <c r="J2087" s="36">
        <v>0</v>
      </c>
      <c r="K2087" s="36">
        <f t="shared" si="401"/>
        <v>12094</v>
      </c>
      <c r="L2087" s="36">
        <v>13500</v>
      </c>
      <c r="M2087" s="9">
        <f t="shared" si="402"/>
        <v>1.1162559947081196</v>
      </c>
      <c r="N2087" s="5">
        <v>1</v>
      </c>
      <c r="O2087" s="10">
        <f t="shared" si="403"/>
        <v>1.1162559947081196</v>
      </c>
    </row>
    <row r="2088" spans="2:15" ht="13.5" hidden="1" customHeight="1">
      <c r="B2088" s="33">
        <f t="shared" si="405"/>
        <v>23</v>
      </c>
      <c r="C2088" s="60" t="s">
        <v>599</v>
      </c>
      <c r="D2088" s="60" t="s">
        <v>521</v>
      </c>
      <c r="E2088" s="61"/>
      <c r="F2088" s="61" t="s">
        <v>511</v>
      </c>
      <c r="G2088" s="36">
        <f>333*20</f>
        <v>6660</v>
      </c>
      <c r="H2088" s="36">
        <v>1861</v>
      </c>
      <c r="I2088" s="36">
        <v>3790</v>
      </c>
      <c r="J2088" s="36">
        <v>750</v>
      </c>
      <c r="K2088" s="36">
        <f t="shared" si="401"/>
        <v>13061</v>
      </c>
      <c r="L2088" s="36">
        <v>13500</v>
      </c>
      <c r="M2088" s="9">
        <f t="shared" si="402"/>
        <v>1.0336115151979175</v>
      </c>
      <c r="N2088" s="5">
        <v>1</v>
      </c>
      <c r="O2088" s="10">
        <f t="shared" si="403"/>
        <v>1.0336115151979175</v>
      </c>
    </row>
    <row r="2089" spans="2:15" ht="13.5" hidden="1" customHeight="1">
      <c r="B2089" s="33">
        <f t="shared" si="405"/>
        <v>24</v>
      </c>
      <c r="C2089" s="60" t="s">
        <v>602</v>
      </c>
      <c r="D2089" s="60" t="s">
        <v>525</v>
      </c>
      <c r="E2089" s="61"/>
      <c r="F2089" s="61" t="s">
        <v>511</v>
      </c>
      <c r="G2089" s="36">
        <f>333*20</f>
        <v>6660</v>
      </c>
      <c r="H2089" s="36">
        <v>1861</v>
      </c>
      <c r="I2089" s="36">
        <v>3790</v>
      </c>
      <c r="J2089" s="36">
        <v>750</v>
      </c>
      <c r="K2089" s="36">
        <f t="shared" si="401"/>
        <v>13061</v>
      </c>
      <c r="L2089" s="36">
        <v>13500</v>
      </c>
      <c r="M2089" s="9">
        <f t="shared" si="402"/>
        <v>1.0336115151979175</v>
      </c>
      <c r="N2089" s="5">
        <v>1</v>
      </c>
      <c r="O2089" s="10">
        <f t="shared" si="403"/>
        <v>1.0336115151979175</v>
      </c>
    </row>
    <row r="2090" spans="2:15" ht="13.5" hidden="1" customHeight="1">
      <c r="B2090" s="33">
        <f t="shared" si="405"/>
        <v>25</v>
      </c>
      <c r="C2090" s="60" t="s">
        <v>609</v>
      </c>
      <c r="D2090" s="60" t="s">
        <v>533</v>
      </c>
      <c r="E2090" s="61"/>
      <c r="F2090" s="61" t="s">
        <v>511</v>
      </c>
      <c r="G2090" s="36">
        <f>333*17</f>
        <v>5661</v>
      </c>
      <c r="H2090" s="36">
        <v>1861</v>
      </c>
      <c r="I2090" s="36">
        <v>3790</v>
      </c>
      <c r="J2090" s="36">
        <v>750</v>
      </c>
      <c r="K2090" s="36">
        <f t="shared" si="401"/>
        <v>12062</v>
      </c>
      <c r="L2090" s="36">
        <v>13500</v>
      </c>
      <c r="M2090" s="9">
        <f t="shared" si="402"/>
        <v>1.1192173768860885</v>
      </c>
      <c r="N2090" s="5">
        <v>1</v>
      </c>
      <c r="O2090" s="10">
        <f t="shared" si="403"/>
        <v>1.1192173768860885</v>
      </c>
    </row>
    <row r="2091" spans="2:15" ht="13.5" hidden="1" customHeight="1">
      <c r="B2091" s="33">
        <f t="shared" si="405"/>
        <v>26</v>
      </c>
      <c r="C2091" s="60" t="s">
        <v>612</v>
      </c>
      <c r="D2091" s="60" t="s">
        <v>536</v>
      </c>
      <c r="E2091" s="61"/>
      <c r="F2091" s="61" t="s">
        <v>511</v>
      </c>
      <c r="G2091" s="36">
        <f>333*20</f>
        <v>6660</v>
      </c>
      <c r="H2091" s="36">
        <v>1861</v>
      </c>
      <c r="I2091" s="36">
        <v>3790</v>
      </c>
      <c r="J2091" s="36">
        <v>750</v>
      </c>
      <c r="K2091" s="36">
        <f t="shared" si="401"/>
        <v>13061</v>
      </c>
      <c r="L2091" s="36">
        <v>13500</v>
      </c>
      <c r="M2091" s="9">
        <f t="shared" si="402"/>
        <v>1.0336115151979175</v>
      </c>
      <c r="N2091" s="5">
        <v>1</v>
      </c>
      <c r="O2091" s="10">
        <f t="shared" si="403"/>
        <v>1.0336115151979175</v>
      </c>
    </row>
    <row r="2092" spans="2:15" ht="13.5" hidden="1" customHeight="1">
      <c r="B2092" s="33">
        <f t="shared" si="405"/>
        <v>27</v>
      </c>
      <c r="C2092" s="60" t="s">
        <v>613</v>
      </c>
      <c r="D2092" s="60" t="s">
        <v>537</v>
      </c>
      <c r="E2092" s="61"/>
      <c r="F2092" s="61" t="s">
        <v>511</v>
      </c>
      <c r="G2092" s="36">
        <f t="shared" ref="G2092:G2094" si="407">333*20</f>
        <v>6660</v>
      </c>
      <c r="H2092" s="36">
        <v>1861</v>
      </c>
      <c r="I2092" s="36">
        <v>3790</v>
      </c>
      <c r="J2092" s="36">
        <v>750</v>
      </c>
      <c r="K2092" s="36">
        <f t="shared" si="401"/>
        <v>13061</v>
      </c>
      <c r="L2092" s="36">
        <v>13500</v>
      </c>
      <c r="M2092" s="9">
        <f t="shared" si="402"/>
        <v>1.0336115151979175</v>
      </c>
      <c r="N2092" s="5">
        <v>1</v>
      </c>
      <c r="O2092" s="10">
        <f t="shared" si="403"/>
        <v>1.0336115151979175</v>
      </c>
    </row>
    <row r="2093" spans="2:15" ht="13.5" hidden="1" customHeight="1">
      <c r="B2093" s="33">
        <f t="shared" si="405"/>
        <v>28</v>
      </c>
      <c r="C2093" s="60" t="s">
        <v>615</v>
      </c>
      <c r="D2093" s="60" t="s">
        <v>539</v>
      </c>
      <c r="E2093" s="61"/>
      <c r="F2093" s="61" t="s">
        <v>511</v>
      </c>
      <c r="G2093" s="36">
        <f t="shared" si="407"/>
        <v>6660</v>
      </c>
      <c r="H2093" s="36">
        <v>1861</v>
      </c>
      <c r="I2093" s="36">
        <v>3790</v>
      </c>
      <c r="J2093" s="36">
        <v>750</v>
      </c>
      <c r="K2093" s="36">
        <f t="shared" si="401"/>
        <v>13061</v>
      </c>
      <c r="L2093" s="36">
        <v>13500</v>
      </c>
      <c r="M2093" s="9">
        <f t="shared" si="402"/>
        <v>1.0336115151979175</v>
      </c>
      <c r="N2093" s="5">
        <v>1</v>
      </c>
      <c r="O2093" s="10">
        <f t="shared" si="403"/>
        <v>1.0336115151979175</v>
      </c>
    </row>
    <row r="2094" spans="2:15" ht="13.5" hidden="1" customHeight="1">
      <c r="B2094" s="33">
        <f t="shared" si="405"/>
        <v>29</v>
      </c>
      <c r="C2094" s="60" t="s">
        <v>620</v>
      </c>
      <c r="D2094" s="60" t="s">
        <v>544</v>
      </c>
      <c r="E2094" s="61"/>
      <c r="F2094" s="61" t="s">
        <v>511</v>
      </c>
      <c r="G2094" s="36">
        <f t="shared" si="407"/>
        <v>6660</v>
      </c>
      <c r="H2094" s="36">
        <v>1861</v>
      </c>
      <c r="I2094" s="36">
        <v>3790</v>
      </c>
      <c r="J2094" s="36">
        <v>750</v>
      </c>
      <c r="K2094" s="36">
        <f t="shared" si="401"/>
        <v>13061</v>
      </c>
      <c r="L2094" s="36">
        <v>13500</v>
      </c>
      <c r="M2094" s="9">
        <f t="shared" si="402"/>
        <v>1.0336115151979175</v>
      </c>
      <c r="N2094" s="5">
        <v>1</v>
      </c>
      <c r="O2094" s="10">
        <f t="shared" si="403"/>
        <v>1.0336115151979175</v>
      </c>
    </row>
    <row r="2095" spans="2:15" ht="13.5" hidden="1" customHeight="1">
      <c r="B2095" s="33">
        <f t="shared" si="405"/>
        <v>30</v>
      </c>
      <c r="C2095" s="60" t="s">
        <v>627</v>
      </c>
      <c r="D2095" s="60" t="s">
        <v>550</v>
      </c>
      <c r="E2095" s="61"/>
      <c r="F2095" s="61" t="s">
        <v>511</v>
      </c>
      <c r="G2095" s="36">
        <f>333*19</f>
        <v>6327</v>
      </c>
      <c r="H2095" s="36">
        <v>1861</v>
      </c>
      <c r="I2095" s="36">
        <v>3790</v>
      </c>
      <c r="J2095" s="36">
        <v>750</v>
      </c>
      <c r="K2095" s="36">
        <f t="shared" si="401"/>
        <v>12728</v>
      </c>
      <c r="L2095" s="36">
        <v>13500</v>
      </c>
      <c r="M2095" s="9">
        <f t="shared" si="402"/>
        <v>1.0606536769327466</v>
      </c>
      <c r="N2095" s="5">
        <v>1</v>
      </c>
      <c r="O2095" s="10">
        <f t="shared" si="403"/>
        <v>1.0606536769327466</v>
      </c>
    </row>
    <row r="2096" spans="2:15" ht="13.5" hidden="1" customHeight="1">
      <c r="B2096" s="33">
        <f t="shared" si="405"/>
        <v>31</v>
      </c>
      <c r="C2096" s="60" t="s">
        <v>642</v>
      </c>
      <c r="D2096" s="60" t="s">
        <v>565</v>
      </c>
      <c r="E2096" s="61"/>
      <c r="F2096" s="61" t="s">
        <v>511</v>
      </c>
      <c r="G2096" s="36">
        <f>333*20</f>
        <v>6660</v>
      </c>
      <c r="H2096" s="36">
        <v>1861</v>
      </c>
      <c r="I2096" s="36">
        <v>3790</v>
      </c>
      <c r="J2096" s="36">
        <v>750</v>
      </c>
      <c r="K2096" s="36">
        <f t="shared" si="401"/>
        <v>13061</v>
      </c>
      <c r="L2096" s="36">
        <v>13500</v>
      </c>
      <c r="M2096" s="9">
        <f t="shared" si="402"/>
        <v>1.0336115151979175</v>
      </c>
      <c r="N2096" s="5">
        <v>1</v>
      </c>
      <c r="O2096" s="10">
        <f t="shared" si="403"/>
        <v>1.0336115151979175</v>
      </c>
    </row>
    <row r="2097" spans="2:15" ht="13.5" hidden="1" customHeight="1">
      <c r="B2097" s="33">
        <f t="shared" si="405"/>
        <v>32</v>
      </c>
      <c r="C2097" s="60" t="s">
        <v>646</v>
      </c>
      <c r="D2097" s="60" t="s">
        <v>568</v>
      </c>
      <c r="E2097" s="61"/>
      <c r="F2097" s="61" t="s">
        <v>511</v>
      </c>
      <c r="G2097" s="36">
        <f>333*20</f>
        <v>6660</v>
      </c>
      <c r="H2097" s="36">
        <v>1861</v>
      </c>
      <c r="I2097" s="36">
        <v>3790</v>
      </c>
      <c r="J2097" s="36">
        <v>750</v>
      </c>
      <c r="K2097" s="36">
        <f t="shared" si="401"/>
        <v>13061</v>
      </c>
      <c r="L2097" s="36">
        <v>13500</v>
      </c>
      <c r="M2097" s="9">
        <f t="shared" si="402"/>
        <v>1.0336115151979175</v>
      </c>
      <c r="N2097" s="5">
        <v>1</v>
      </c>
      <c r="O2097" s="10">
        <f t="shared" si="403"/>
        <v>1.0336115151979175</v>
      </c>
    </row>
    <row r="2098" spans="2:15" ht="13.5" hidden="1" customHeight="1">
      <c r="B2098" s="33">
        <f t="shared" si="405"/>
        <v>33</v>
      </c>
      <c r="C2098" s="60" t="s">
        <v>647</v>
      </c>
      <c r="D2098" s="60" t="s">
        <v>569</v>
      </c>
      <c r="E2098" s="61"/>
      <c r="F2098" s="61" t="s">
        <v>511</v>
      </c>
      <c r="G2098" s="36">
        <f t="shared" ref="G2098:G2101" si="408">333*20</f>
        <v>6660</v>
      </c>
      <c r="H2098" s="36">
        <v>1861</v>
      </c>
      <c r="I2098" s="36">
        <v>3790</v>
      </c>
      <c r="J2098" s="36">
        <v>750</v>
      </c>
      <c r="K2098" s="36">
        <f t="shared" si="401"/>
        <v>13061</v>
      </c>
      <c r="L2098" s="36">
        <v>13500</v>
      </c>
      <c r="M2098" s="9">
        <f t="shared" si="402"/>
        <v>1.0336115151979175</v>
      </c>
      <c r="N2098" s="5">
        <v>1</v>
      </c>
      <c r="O2098" s="10">
        <f t="shared" si="403"/>
        <v>1.0336115151979175</v>
      </c>
    </row>
    <row r="2099" spans="2:15" ht="13.5" hidden="1" customHeight="1">
      <c r="B2099" s="33">
        <f t="shared" si="405"/>
        <v>34</v>
      </c>
      <c r="C2099" s="60" t="s">
        <v>653</v>
      </c>
      <c r="D2099" s="60" t="s">
        <v>575</v>
      </c>
      <c r="E2099" s="61"/>
      <c r="F2099" s="61" t="s">
        <v>511</v>
      </c>
      <c r="G2099" s="36">
        <f t="shared" si="408"/>
        <v>6660</v>
      </c>
      <c r="H2099" s="36">
        <v>1861</v>
      </c>
      <c r="I2099" s="36">
        <v>3790</v>
      </c>
      <c r="J2099" s="36">
        <v>750</v>
      </c>
      <c r="K2099" s="36">
        <f t="shared" si="401"/>
        <v>13061</v>
      </c>
      <c r="L2099" s="36">
        <v>13500</v>
      </c>
      <c r="M2099" s="9">
        <f t="shared" si="402"/>
        <v>1.0336115151979175</v>
      </c>
      <c r="N2099" s="5">
        <v>1</v>
      </c>
      <c r="O2099" s="10">
        <f t="shared" si="403"/>
        <v>1.0336115151979175</v>
      </c>
    </row>
    <row r="2100" spans="2:15" ht="13.5" hidden="1" customHeight="1">
      <c r="B2100" s="33">
        <f t="shared" si="405"/>
        <v>35</v>
      </c>
      <c r="C2100" s="60" t="s">
        <v>654</v>
      </c>
      <c r="D2100" s="60" t="s">
        <v>577</v>
      </c>
      <c r="E2100" s="61"/>
      <c r="F2100" s="61" t="s">
        <v>511</v>
      </c>
      <c r="G2100" s="36">
        <f t="shared" si="408"/>
        <v>6660</v>
      </c>
      <c r="H2100" s="36">
        <v>1861</v>
      </c>
      <c r="I2100" s="36">
        <v>3790</v>
      </c>
      <c r="J2100" s="36">
        <v>750</v>
      </c>
      <c r="K2100" s="36">
        <f t="shared" si="401"/>
        <v>13061</v>
      </c>
      <c r="L2100" s="36">
        <v>13500</v>
      </c>
      <c r="M2100" s="9">
        <f t="shared" si="402"/>
        <v>1.0336115151979175</v>
      </c>
      <c r="N2100" s="5">
        <v>1</v>
      </c>
      <c r="O2100" s="10">
        <f t="shared" si="403"/>
        <v>1.0336115151979175</v>
      </c>
    </row>
    <row r="2101" spans="2:15" ht="13.5" hidden="1" customHeight="1">
      <c r="B2101" s="33">
        <f t="shared" si="405"/>
        <v>36</v>
      </c>
      <c r="C2101" s="60" t="s">
        <v>655</v>
      </c>
      <c r="D2101" s="60" t="s">
        <v>578</v>
      </c>
      <c r="E2101" s="61"/>
      <c r="F2101" s="61" t="s">
        <v>511</v>
      </c>
      <c r="G2101" s="36">
        <f t="shared" si="408"/>
        <v>6660</v>
      </c>
      <c r="H2101" s="36">
        <v>1861</v>
      </c>
      <c r="I2101" s="36">
        <v>3790</v>
      </c>
      <c r="J2101" s="36">
        <v>750</v>
      </c>
      <c r="K2101" s="36">
        <f t="shared" si="401"/>
        <v>13061</v>
      </c>
      <c r="L2101" s="36">
        <v>13500</v>
      </c>
      <c r="M2101" s="9">
        <f t="shared" si="402"/>
        <v>1.0336115151979175</v>
      </c>
      <c r="N2101" s="5">
        <v>1</v>
      </c>
      <c r="O2101" s="10">
        <f t="shared" si="403"/>
        <v>1.0336115151979175</v>
      </c>
    </row>
    <row r="2102" spans="2:15" ht="13.5" hidden="1" customHeight="1">
      <c r="B2102" s="33">
        <f t="shared" si="405"/>
        <v>37</v>
      </c>
      <c r="C2102" s="60" t="s">
        <v>636</v>
      </c>
      <c r="D2102" s="60" t="s">
        <v>559</v>
      </c>
      <c r="E2102" s="61"/>
      <c r="F2102" s="61" t="s">
        <v>445</v>
      </c>
      <c r="G2102" s="36">
        <f>333*5</f>
        <v>1665</v>
      </c>
      <c r="H2102" s="36">
        <v>1861</v>
      </c>
      <c r="I2102" s="36">
        <v>3240</v>
      </c>
      <c r="J2102" s="36">
        <v>750</v>
      </c>
      <c r="K2102" s="36">
        <f t="shared" si="401"/>
        <v>7516</v>
      </c>
      <c r="L2102" s="36">
        <v>13500</v>
      </c>
      <c r="M2102" s="9">
        <f t="shared" si="402"/>
        <v>1.7961681745609366</v>
      </c>
      <c r="N2102" s="5">
        <v>1</v>
      </c>
      <c r="O2102" s="10">
        <f t="shared" si="403"/>
        <v>1.7961681745609366</v>
      </c>
    </row>
    <row r="2103" spans="2:15" ht="13.5" hidden="1" customHeight="1">
      <c r="B2103" s="33">
        <f t="shared" si="405"/>
        <v>38</v>
      </c>
      <c r="C2103" s="60" t="s">
        <v>640</v>
      </c>
      <c r="D2103" s="60" t="s">
        <v>563</v>
      </c>
      <c r="E2103" s="61"/>
      <c r="F2103" s="61" t="s">
        <v>445</v>
      </c>
      <c r="G2103" s="36">
        <f t="shared" ref="G2103:G2104" si="409">333*5</f>
        <v>1665</v>
      </c>
      <c r="H2103" s="36">
        <v>1861</v>
      </c>
      <c r="I2103" s="36">
        <v>3240</v>
      </c>
      <c r="J2103" s="36">
        <v>750</v>
      </c>
      <c r="K2103" s="36">
        <f t="shared" si="401"/>
        <v>7516</v>
      </c>
      <c r="L2103" s="36">
        <v>13500</v>
      </c>
      <c r="M2103" s="9">
        <f t="shared" si="402"/>
        <v>1.7961681745609366</v>
      </c>
      <c r="N2103" s="5">
        <v>1</v>
      </c>
      <c r="O2103" s="10">
        <f t="shared" si="403"/>
        <v>1.7961681745609366</v>
      </c>
    </row>
    <row r="2104" spans="2:15" ht="13.5" hidden="1" customHeight="1">
      <c r="B2104" s="33">
        <f t="shared" si="405"/>
        <v>39</v>
      </c>
      <c r="C2104" s="60" t="s">
        <v>652</v>
      </c>
      <c r="D2104" s="60" t="s">
        <v>574</v>
      </c>
      <c r="E2104" s="61"/>
      <c r="F2104" s="61" t="s">
        <v>445</v>
      </c>
      <c r="G2104" s="36">
        <f t="shared" si="409"/>
        <v>1665</v>
      </c>
      <c r="H2104" s="36">
        <v>1861</v>
      </c>
      <c r="I2104" s="36">
        <v>3240</v>
      </c>
      <c r="J2104" s="36">
        <v>750</v>
      </c>
      <c r="K2104" s="36">
        <f t="shared" si="401"/>
        <v>7516</v>
      </c>
      <c r="L2104" s="36">
        <v>13500</v>
      </c>
      <c r="M2104" s="9">
        <f t="shared" si="402"/>
        <v>1.7961681745609366</v>
      </c>
      <c r="N2104" s="5">
        <v>1</v>
      </c>
      <c r="O2104" s="10">
        <f t="shared" si="403"/>
        <v>1.7961681745609366</v>
      </c>
    </row>
    <row r="2105" spans="2:15" ht="13.5" hidden="1" customHeight="1">
      <c r="B2105" s="33">
        <f t="shared" si="405"/>
        <v>40</v>
      </c>
      <c r="C2105" s="60" t="s">
        <v>659</v>
      </c>
      <c r="D2105" s="60" t="s">
        <v>582</v>
      </c>
      <c r="E2105" s="61"/>
      <c r="F2105" s="61" t="s">
        <v>418</v>
      </c>
      <c r="G2105" s="36">
        <f>300*19</f>
        <v>5700</v>
      </c>
      <c r="H2105" s="36">
        <v>1861</v>
      </c>
      <c r="I2105" s="36">
        <v>3240</v>
      </c>
      <c r="J2105" s="36">
        <v>750</v>
      </c>
      <c r="K2105" s="36">
        <f t="shared" si="401"/>
        <v>11551</v>
      </c>
      <c r="L2105" s="36">
        <v>13500</v>
      </c>
      <c r="M2105" s="9">
        <f t="shared" si="402"/>
        <v>1.168729980088304</v>
      </c>
      <c r="N2105" s="5">
        <v>1</v>
      </c>
      <c r="O2105" s="10">
        <f t="shared" si="403"/>
        <v>1.168729980088304</v>
      </c>
    </row>
    <row r="2106" spans="2:15" ht="13.5" hidden="1" customHeight="1">
      <c r="B2106" s="33">
        <f t="shared" si="405"/>
        <v>41</v>
      </c>
      <c r="C2106" s="60" t="s">
        <v>667</v>
      </c>
      <c r="D2106" s="60" t="s">
        <v>590</v>
      </c>
      <c r="E2106" s="61"/>
      <c r="F2106" s="61" t="s">
        <v>418</v>
      </c>
      <c r="G2106" s="36">
        <f>300*19</f>
        <v>5700</v>
      </c>
      <c r="H2106" s="36">
        <v>1861</v>
      </c>
      <c r="I2106" s="36">
        <v>3240</v>
      </c>
      <c r="J2106" s="36">
        <v>750</v>
      </c>
      <c r="K2106" s="36">
        <f t="shared" si="401"/>
        <v>11551</v>
      </c>
      <c r="L2106" s="36">
        <v>13500</v>
      </c>
      <c r="M2106" s="9">
        <f t="shared" si="402"/>
        <v>1.168729980088304</v>
      </c>
      <c r="N2106" s="5">
        <v>1</v>
      </c>
      <c r="O2106" s="10">
        <f t="shared" si="403"/>
        <v>1.168729980088304</v>
      </c>
    </row>
    <row r="2107" spans="2:15" ht="13.5" hidden="1" customHeight="1">
      <c r="B2107" s="33">
        <f t="shared" si="405"/>
        <v>42</v>
      </c>
      <c r="C2107" s="60" t="s">
        <v>603</v>
      </c>
      <c r="D2107" s="60" t="s">
        <v>527</v>
      </c>
      <c r="E2107" s="61"/>
      <c r="F2107" s="61" t="s">
        <v>31</v>
      </c>
      <c r="G2107" s="36">
        <f>333*22</f>
        <v>7326</v>
      </c>
      <c r="H2107" s="36">
        <v>1861</v>
      </c>
      <c r="I2107" s="36">
        <v>3790</v>
      </c>
      <c r="J2107" s="36">
        <v>900</v>
      </c>
      <c r="K2107" s="36">
        <f t="shared" si="401"/>
        <v>13877</v>
      </c>
      <c r="L2107" s="36">
        <v>13500</v>
      </c>
      <c r="M2107" s="9">
        <f t="shared" si="402"/>
        <v>0.97283274482957416</v>
      </c>
      <c r="N2107" s="5">
        <v>1</v>
      </c>
      <c r="O2107" s="10">
        <f t="shared" si="403"/>
        <v>0.97283274482957416</v>
      </c>
    </row>
    <row r="2108" spans="2:15" ht="13.5" hidden="1" customHeight="1">
      <c r="B2108" s="33">
        <f t="shared" si="405"/>
        <v>43</v>
      </c>
      <c r="C2108" s="60" t="s">
        <v>606</v>
      </c>
      <c r="D2108" s="60" t="s">
        <v>530</v>
      </c>
      <c r="E2108" s="61"/>
      <c r="F2108" s="61" t="s">
        <v>31</v>
      </c>
      <c r="G2108" s="36">
        <f t="shared" ref="G2108:G2114" si="410">333*22</f>
        <v>7326</v>
      </c>
      <c r="H2108" s="36">
        <v>1861</v>
      </c>
      <c r="I2108" s="36">
        <v>3790</v>
      </c>
      <c r="J2108" s="36">
        <v>900</v>
      </c>
      <c r="K2108" s="36">
        <f t="shared" si="401"/>
        <v>13877</v>
      </c>
      <c r="L2108" s="36">
        <v>13500</v>
      </c>
      <c r="M2108" s="9">
        <f t="shared" si="402"/>
        <v>0.97283274482957416</v>
      </c>
      <c r="N2108" s="5">
        <v>1</v>
      </c>
      <c r="O2108" s="10">
        <f t="shared" si="403"/>
        <v>0.97283274482957416</v>
      </c>
    </row>
    <row r="2109" spans="2:15" ht="13.5" hidden="1" customHeight="1">
      <c r="B2109" s="33">
        <f t="shared" si="405"/>
        <v>44</v>
      </c>
      <c r="C2109" s="60" t="s">
        <v>625</v>
      </c>
      <c r="D2109" s="60" t="s">
        <v>548</v>
      </c>
      <c r="E2109" s="61"/>
      <c r="F2109" s="61" t="s">
        <v>31</v>
      </c>
      <c r="G2109" s="36">
        <f t="shared" si="410"/>
        <v>7326</v>
      </c>
      <c r="H2109" s="36">
        <v>1861</v>
      </c>
      <c r="I2109" s="36">
        <v>3790</v>
      </c>
      <c r="J2109" s="36">
        <v>900</v>
      </c>
      <c r="K2109" s="36">
        <f t="shared" si="401"/>
        <v>13877</v>
      </c>
      <c r="L2109" s="36">
        <v>13500</v>
      </c>
      <c r="M2109" s="9">
        <f t="shared" si="402"/>
        <v>0.97283274482957416</v>
      </c>
      <c r="N2109" s="5">
        <v>1</v>
      </c>
      <c r="O2109" s="10">
        <f t="shared" si="403"/>
        <v>0.97283274482957416</v>
      </c>
    </row>
    <row r="2110" spans="2:15" ht="13.5" hidden="1" customHeight="1">
      <c r="B2110" s="33">
        <f t="shared" si="405"/>
        <v>45</v>
      </c>
      <c r="C2110" s="60" t="s">
        <v>643</v>
      </c>
      <c r="D2110" s="60" t="s">
        <v>566</v>
      </c>
      <c r="E2110" s="61"/>
      <c r="F2110" s="61" t="s">
        <v>31</v>
      </c>
      <c r="G2110" s="36">
        <f t="shared" si="410"/>
        <v>7326</v>
      </c>
      <c r="H2110" s="36">
        <v>1861</v>
      </c>
      <c r="I2110" s="36">
        <v>3790</v>
      </c>
      <c r="J2110" s="36">
        <v>900</v>
      </c>
      <c r="K2110" s="36">
        <f t="shared" si="401"/>
        <v>13877</v>
      </c>
      <c r="L2110" s="36">
        <v>13500</v>
      </c>
      <c r="M2110" s="9">
        <f t="shared" si="402"/>
        <v>0.97283274482957416</v>
      </c>
      <c r="N2110" s="5">
        <v>1</v>
      </c>
      <c r="O2110" s="10">
        <f t="shared" si="403"/>
        <v>0.97283274482957416</v>
      </c>
    </row>
    <row r="2111" spans="2:15" ht="13.5" hidden="1" customHeight="1">
      <c r="B2111" s="33">
        <f t="shared" si="405"/>
        <v>46</v>
      </c>
      <c r="C2111" s="60" t="s">
        <v>593</v>
      </c>
      <c r="D2111" s="60" t="s">
        <v>669</v>
      </c>
      <c r="E2111" s="61"/>
      <c r="F2111" s="61" t="s">
        <v>31</v>
      </c>
      <c r="G2111" s="36">
        <f t="shared" si="410"/>
        <v>7326</v>
      </c>
      <c r="H2111" s="36">
        <v>1861</v>
      </c>
      <c r="I2111" s="36">
        <v>3790</v>
      </c>
      <c r="J2111" s="36">
        <v>900</v>
      </c>
      <c r="K2111" s="36">
        <f t="shared" si="401"/>
        <v>13877</v>
      </c>
      <c r="L2111" s="36">
        <v>13500</v>
      </c>
      <c r="M2111" s="9">
        <f t="shared" si="402"/>
        <v>0.97283274482957416</v>
      </c>
      <c r="N2111" s="5">
        <v>1</v>
      </c>
      <c r="O2111" s="10">
        <f t="shared" si="403"/>
        <v>0.97283274482957416</v>
      </c>
    </row>
    <row r="2112" spans="2:15" ht="13.5" hidden="1" customHeight="1">
      <c r="B2112" s="33">
        <f t="shared" si="405"/>
        <v>47</v>
      </c>
      <c r="C2112" s="60" t="s">
        <v>595</v>
      </c>
      <c r="D2112" s="60" t="s">
        <v>514</v>
      </c>
      <c r="E2112" s="61"/>
      <c r="F2112" s="61" t="s">
        <v>31</v>
      </c>
      <c r="G2112" s="36">
        <f t="shared" si="410"/>
        <v>7326</v>
      </c>
      <c r="H2112" s="36">
        <v>1861</v>
      </c>
      <c r="I2112" s="36">
        <v>3790</v>
      </c>
      <c r="J2112" s="36">
        <v>900</v>
      </c>
      <c r="K2112" s="36">
        <f t="shared" si="401"/>
        <v>13877</v>
      </c>
      <c r="L2112" s="36">
        <v>13500</v>
      </c>
      <c r="M2112" s="9">
        <f t="shared" si="402"/>
        <v>0.97283274482957416</v>
      </c>
      <c r="N2112" s="5">
        <v>1</v>
      </c>
      <c r="O2112" s="10">
        <f t="shared" si="403"/>
        <v>0.97283274482957416</v>
      </c>
    </row>
    <row r="2113" spans="2:15" ht="13.5" hidden="1" customHeight="1">
      <c r="B2113" s="33">
        <f t="shared" si="405"/>
        <v>48</v>
      </c>
      <c r="C2113" s="60" t="s">
        <v>336</v>
      </c>
      <c r="D2113" s="60" t="s">
        <v>517</v>
      </c>
      <c r="E2113" s="61"/>
      <c r="F2113" s="61" t="s">
        <v>31</v>
      </c>
      <c r="G2113" s="36">
        <f t="shared" si="410"/>
        <v>7326</v>
      </c>
      <c r="H2113" s="36">
        <v>1861</v>
      </c>
      <c r="I2113" s="36">
        <v>3790</v>
      </c>
      <c r="J2113" s="36">
        <v>900</v>
      </c>
      <c r="K2113" s="36">
        <f t="shared" si="401"/>
        <v>13877</v>
      </c>
      <c r="L2113" s="36">
        <v>13500</v>
      </c>
      <c r="M2113" s="9">
        <f t="shared" si="402"/>
        <v>0.97283274482957416</v>
      </c>
      <c r="N2113" s="5">
        <v>1</v>
      </c>
      <c r="O2113" s="10">
        <f t="shared" si="403"/>
        <v>0.97283274482957416</v>
      </c>
    </row>
    <row r="2114" spans="2:15" ht="13.5" hidden="1" customHeight="1">
      <c r="B2114" s="33">
        <f t="shared" si="405"/>
        <v>49</v>
      </c>
      <c r="C2114" s="60" t="s">
        <v>601</v>
      </c>
      <c r="D2114" s="60" t="s">
        <v>524</v>
      </c>
      <c r="E2114" s="61"/>
      <c r="F2114" s="61" t="s">
        <v>26</v>
      </c>
      <c r="G2114" s="36">
        <f t="shared" si="410"/>
        <v>7326</v>
      </c>
      <c r="H2114" s="36">
        <v>1861</v>
      </c>
      <c r="I2114" s="36">
        <v>3240</v>
      </c>
      <c r="J2114" s="36">
        <v>900</v>
      </c>
      <c r="K2114" s="36">
        <f t="shared" si="401"/>
        <v>13327</v>
      </c>
      <c r="L2114" s="36">
        <v>13500</v>
      </c>
      <c r="M2114" s="9">
        <f t="shared" si="402"/>
        <v>1.0129811660538757</v>
      </c>
      <c r="N2114" s="5">
        <v>1</v>
      </c>
      <c r="O2114" s="10">
        <f t="shared" si="403"/>
        <v>1.0129811660538757</v>
      </c>
    </row>
    <row r="2115" spans="2:15" ht="13.5" hidden="1" customHeight="1">
      <c r="B2115" s="33">
        <f t="shared" si="405"/>
        <v>50</v>
      </c>
      <c r="C2115" s="60" t="s">
        <v>610</v>
      </c>
      <c r="D2115" s="60" t="s">
        <v>534</v>
      </c>
      <c r="E2115" s="61"/>
      <c r="F2115" s="61" t="s">
        <v>26</v>
      </c>
      <c r="G2115" s="36">
        <f>333*17</f>
        <v>5661</v>
      </c>
      <c r="H2115" s="36">
        <v>1861</v>
      </c>
      <c r="I2115" s="36">
        <v>3240</v>
      </c>
      <c r="J2115" s="36">
        <v>900</v>
      </c>
      <c r="K2115" s="36">
        <f t="shared" si="401"/>
        <v>11662</v>
      </c>
      <c r="L2115" s="36">
        <v>13500</v>
      </c>
      <c r="M2115" s="9">
        <f t="shared" si="402"/>
        <v>1.1576058995026581</v>
      </c>
      <c r="N2115" s="5">
        <v>1</v>
      </c>
      <c r="O2115" s="10">
        <f t="shared" si="403"/>
        <v>1.1576058995026581</v>
      </c>
    </row>
    <row r="2116" spans="2:15" ht="13.5" hidden="1" customHeight="1">
      <c r="B2116" s="33">
        <f t="shared" si="405"/>
        <v>51</v>
      </c>
      <c r="C2116" s="60" t="s">
        <v>614</v>
      </c>
      <c r="D2116" s="60" t="s">
        <v>538</v>
      </c>
      <c r="E2116" s="61"/>
      <c r="F2116" s="61" t="s">
        <v>26</v>
      </c>
      <c r="G2116" s="36">
        <f>333*22</f>
        <v>7326</v>
      </c>
      <c r="H2116" s="36">
        <v>1861</v>
      </c>
      <c r="I2116" s="36">
        <v>3240</v>
      </c>
      <c r="J2116" s="36">
        <v>900</v>
      </c>
      <c r="K2116" s="36">
        <f t="shared" si="401"/>
        <v>13327</v>
      </c>
      <c r="L2116" s="36">
        <v>13500</v>
      </c>
      <c r="M2116" s="9">
        <f t="shared" si="402"/>
        <v>1.0129811660538757</v>
      </c>
      <c r="N2116" s="5">
        <v>1</v>
      </c>
      <c r="O2116" s="10">
        <f t="shared" si="403"/>
        <v>1.0129811660538757</v>
      </c>
    </row>
    <row r="2117" spans="2:15" ht="13.5" hidden="1" customHeight="1">
      <c r="B2117" s="33">
        <f t="shared" si="405"/>
        <v>52</v>
      </c>
      <c r="C2117" s="60" t="s">
        <v>618</v>
      </c>
      <c r="D2117" s="60" t="s">
        <v>542</v>
      </c>
      <c r="E2117" s="61"/>
      <c r="F2117" s="61" t="s">
        <v>26</v>
      </c>
      <c r="G2117" s="36">
        <f t="shared" ref="G2117:G2118" si="411">333*22</f>
        <v>7326</v>
      </c>
      <c r="H2117" s="36">
        <v>1861</v>
      </c>
      <c r="I2117" s="36">
        <v>3240</v>
      </c>
      <c r="J2117" s="36">
        <v>900</v>
      </c>
      <c r="K2117" s="36">
        <f t="shared" si="401"/>
        <v>13327</v>
      </c>
      <c r="L2117" s="36">
        <v>13500</v>
      </c>
      <c r="M2117" s="9">
        <f t="shared" si="402"/>
        <v>1.0129811660538757</v>
      </c>
      <c r="N2117" s="5">
        <v>1</v>
      </c>
      <c r="O2117" s="10">
        <f t="shared" si="403"/>
        <v>1.0129811660538757</v>
      </c>
    </row>
    <row r="2118" spans="2:15" ht="13.5" hidden="1" customHeight="1">
      <c r="B2118" s="33">
        <f t="shared" si="405"/>
        <v>53</v>
      </c>
      <c r="C2118" s="60" t="s">
        <v>621</v>
      </c>
      <c r="D2118" s="60" t="s">
        <v>545</v>
      </c>
      <c r="E2118" s="61"/>
      <c r="F2118" s="61" t="s">
        <v>26</v>
      </c>
      <c r="G2118" s="36">
        <f t="shared" si="411"/>
        <v>7326</v>
      </c>
      <c r="H2118" s="36">
        <v>1861</v>
      </c>
      <c r="I2118" s="36">
        <v>3240</v>
      </c>
      <c r="J2118" s="36">
        <v>900</v>
      </c>
      <c r="K2118" s="36">
        <f t="shared" si="401"/>
        <v>13327</v>
      </c>
      <c r="L2118" s="36">
        <v>13500</v>
      </c>
      <c r="M2118" s="9">
        <f t="shared" si="402"/>
        <v>1.0129811660538757</v>
      </c>
      <c r="N2118" s="5">
        <v>1</v>
      </c>
      <c r="O2118" s="10">
        <f t="shared" si="403"/>
        <v>1.0129811660538757</v>
      </c>
    </row>
    <row r="2119" spans="2:15" ht="13.5" hidden="1" customHeight="1">
      <c r="B2119" s="33">
        <f t="shared" si="405"/>
        <v>54</v>
      </c>
      <c r="C2119" s="60" t="s">
        <v>622</v>
      </c>
      <c r="D2119" s="60" t="s">
        <v>546</v>
      </c>
      <c r="E2119" s="61"/>
      <c r="F2119" s="61" t="s">
        <v>26</v>
      </c>
      <c r="G2119" s="36">
        <f>333*22</f>
        <v>7326</v>
      </c>
      <c r="H2119" s="36">
        <v>1861</v>
      </c>
      <c r="I2119" s="36">
        <v>3240</v>
      </c>
      <c r="J2119" s="36">
        <v>900</v>
      </c>
      <c r="K2119" s="36">
        <f t="shared" si="401"/>
        <v>13327</v>
      </c>
      <c r="L2119" s="36">
        <v>13500</v>
      </c>
      <c r="M2119" s="9">
        <f t="shared" si="402"/>
        <v>1.0129811660538757</v>
      </c>
      <c r="N2119" s="5">
        <v>1</v>
      </c>
      <c r="O2119" s="10">
        <f t="shared" si="403"/>
        <v>1.0129811660538757</v>
      </c>
    </row>
    <row r="2120" spans="2:15" ht="13.5" hidden="1" customHeight="1">
      <c r="B2120" s="33">
        <f t="shared" si="405"/>
        <v>55</v>
      </c>
      <c r="C2120" s="60" t="s">
        <v>632</v>
      </c>
      <c r="D2120" s="60" t="s">
        <v>555</v>
      </c>
      <c r="E2120" s="61"/>
      <c r="F2120" s="61" t="s">
        <v>26</v>
      </c>
      <c r="G2120" s="36">
        <f t="shared" ref="G2120:G2126" si="412">333*22</f>
        <v>7326</v>
      </c>
      <c r="H2120" s="36">
        <v>1861</v>
      </c>
      <c r="I2120" s="36">
        <v>3240</v>
      </c>
      <c r="J2120" s="36">
        <v>900</v>
      </c>
      <c r="K2120" s="36">
        <f t="shared" si="401"/>
        <v>13327</v>
      </c>
      <c r="L2120" s="36">
        <v>13500</v>
      </c>
      <c r="M2120" s="9">
        <f t="shared" si="402"/>
        <v>1.0129811660538757</v>
      </c>
      <c r="N2120" s="5">
        <v>1</v>
      </c>
      <c r="O2120" s="10">
        <f t="shared" si="403"/>
        <v>1.0129811660538757</v>
      </c>
    </row>
    <row r="2121" spans="2:15" ht="13.5" hidden="1" customHeight="1">
      <c r="B2121" s="33">
        <f t="shared" si="405"/>
        <v>56</v>
      </c>
      <c r="C2121" s="60" t="s">
        <v>633</v>
      </c>
      <c r="D2121" s="60" t="s">
        <v>556</v>
      </c>
      <c r="E2121" s="61"/>
      <c r="F2121" s="61" t="s">
        <v>26</v>
      </c>
      <c r="G2121" s="36">
        <f t="shared" si="412"/>
        <v>7326</v>
      </c>
      <c r="H2121" s="36">
        <v>1861</v>
      </c>
      <c r="I2121" s="36">
        <v>3240</v>
      </c>
      <c r="J2121" s="36">
        <v>900</v>
      </c>
      <c r="K2121" s="36">
        <f t="shared" si="401"/>
        <v>13327</v>
      </c>
      <c r="L2121" s="36">
        <v>13500</v>
      </c>
      <c r="M2121" s="9">
        <f t="shared" si="402"/>
        <v>1.0129811660538757</v>
      </c>
      <c r="N2121" s="5">
        <v>1</v>
      </c>
      <c r="O2121" s="10">
        <f t="shared" si="403"/>
        <v>1.0129811660538757</v>
      </c>
    </row>
    <row r="2122" spans="2:15" ht="13.5" hidden="1" customHeight="1">
      <c r="B2122" s="33">
        <f t="shared" si="405"/>
        <v>57</v>
      </c>
      <c r="C2122" s="60" t="s">
        <v>638</v>
      </c>
      <c r="D2122" s="60" t="s">
        <v>561</v>
      </c>
      <c r="E2122" s="61"/>
      <c r="F2122" s="61" t="s">
        <v>26</v>
      </c>
      <c r="G2122" s="36">
        <f t="shared" si="412"/>
        <v>7326</v>
      </c>
      <c r="H2122" s="36">
        <v>1861</v>
      </c>
      <c r="I2122" s="36">
        <v>3240</v>
      </c>
      <c r="J2122" s="36">
        <v>900</v>
      </c>
      <c r="K2122" s="36">
        <f t="shared" si="401"/>
        <v>13327</v>
      </c>
      <c r="L2122" s="36">
        <v>13500</v>
      </c>
      <c r="M2122" s="9">
        <f t="shared" si="402"/>
        <v>1.0129811660538757</v>
      </c>
      <c r="N2122" s="5">
        <v>1</v>
      </c>
      <c r="O2122" s="10">
        <f t="shared" si="403"/>
        <v>1.0129811660538757</v>
      </c>
    </row>
    <row r="2123" spans="2:15" ht="13.5" hidden="1" customHeight="1">
      <c r="B2123" s="33">
        <f t="shared" si="405"/>
        <v>58</v>
      </c>
      <c r="C2123" s="60" t="s">
        <v>641</v>
      </c>
      <c r="D2123" s="60" t="s">
        <v>564</v>
      </c>
      <c r="E2123" s="61"/>
      <c r="F2123" s="61" t="s">
        <v>26</v>
      </c>
      <c r="G2123" s="36">
        <f t="shared" si="412"/>
        <v>7326</v>
      </c>
      <c r="H2123" s="36">
        <v>1861</v>
      </c>
      <c r="I2123" s="36">
        <v>3240</v>
      </c>
      <c r="J2123" s="36">
        <v>900</v>
      </c>
      <c r="K2123" s="36">
        <f t="shared" si="401"/>
        <v>13327</v>
      </c>
      <c r="L2123" s="36">
        <v>13500</v>
      </c>
      <c r="M2123" s="9">
        <f t="shared" si="402"/>
        <v>1.0129811660538757</v>
      </c>
      <c r="N2123" s="5">
        <v>1</v>
      </c>
      <c r="O2123" s="10">
        <f t="shared" si="403"/>
        <v>1.0129811660538757</v>
      </c>
    </row>
    <row r="2124" spans="2:15" ht="13.5" hidden="1" customHeight="1">
      <c r="B2124" s="33">
        <f t="shared" si="405"/>
        <v>59</v>
      </c>
      <c r="C2124" s="60" t="s">
        <v>654</v>
      </c>
      <c r="D2124" s="60" t="s">
        <v>576</v>
      </c>
      <c r="E2124" s="61"/>
      <c r="F2124" s="61" t="s">
        <v>26</v>
      </c>
      <c r="G2124" s="36">
        <f t="shared" si="412"/>
        <v>7326</v>
      </c>
      <c r="H2124" s="36">
        <v>1861</v>
      </c>
      <c r="I2124" s="36">
        <v>3240</v>
      </c>
      <c r="J2124" s="36">
        <v>900</v>
      </c>
      <c r="K2124" s="36">
        <f t="shared" si="401"/>
        <v>13327</v>
      </c>
      <c r="L2124" s="36">
        <v>13500</v>
      </c>
      <c r="M2124" s="9">
        <f t="shared" si="402"/>
        <v>1.0129811660538757</v>
      </c>
      <c r="N2124" s="5">
        <v>1</v>
      </c>
      <c r="O2124" s="10">
        <f t="shared" si="403"/>
        <v>1.0129811660538757</v>
      </c>
    </row>
    <row r="2125" spans="2:15" ht="13.5" hidden="1" customHeight="1">
      <c r="B2125" s="33">
        <f t="shared" si="405"/>
        <v>60</v>
      </c>
      <c r="C2125" s="60" t="s">
        <v>664</v>
      </c>
      <c r="D2125" s="60" t="s">
        <v>587</v>
      </c>
      <c r="E2125" s="61"/>
      <c r="F2125" s="61" t="s">
        <v>26</v>
      </c>
      <c r="G2125" s="36">
        <f t="shared" si="412"/>
        <v>7326</v>
      </c>
      <c r="H2125" s="36">
        <v>1861</v>
      </c>
      <c r="I2125" s="36">
        <v>3240</v>
      </c>
      <c r="J2125" s="36">
        <v>900</v>
      </c>
      <c r="K2125" s="36">
        <f t="shared" si="401"/>
        <v>13327</v>
      </c>
      <c r="L2125" s="36">
        <v>13500</v>
      </c>
      <c r="M2125" s="9">
        <f t="shared" si="402"/>
        <v>1.0129811660538757</v>
      </c>
      <c r="N2125" s="5">
        <v>1</v>
      </c>
      <c r="O2125" s="10">
        <f t="shared" si="403"/>
        <v>1.0129811660538757</v>
      </c>
    </row>
    <row r="2126" spans="2:15" ht="13.5" hidden="1" customHeight="1">
      <c r="B2126" s="33">
        <f t="shared" si="405"/>
        <v>61</v>
      </c>
      <c r="C2126" s="60" t="s">
        <v>337</v>
      </c>
      <c r="D2126" s="60" t="s">
        <v>518</v>
      </c>
      <c r="E2126" s="61"/>
      <c r="F2126" s="61" t="s">
        <v>26</v>
      </c>
      <c r="G2126" s="36">
        <f t="shared" si="412"/>
        <v>7326</v>
      </c>
      <c r="H2126" s="36">
        <v>1861</v>
      </c>
      <c r="I2126" s="36">
        <v>3240</v>
      </c>
      <c r="J2126" s="36">
        <v>900</v>
      </c>
      <c r="K2126" s="36">
        <f t="shared" si="401"/>
        <v>13327</v>
      </c>
      <c r="L2126" s="36">
        <v>13500</v>
      </c>
      <c r="M2126" s="9">
        <f t="shared" si="402"/>
        <v>1.0129811660538757</v>
      </c>
      <c r="N2126" s="5">
        <v>1</v>
      </c>
      <c r="O2126" s="10">
        <f t="shared" si="403"/>
        <v>1.0129811660538757</v>
      </c>
    </row>
    <row r="2127" spans="2:15" ht="13.5" hidden="1" customHeight="1">
      <c r="B2127" s="33">
        <f t="shared" si="405"/>
        <v>62</v>
      </c>
      <c r="C2127" s="60" t="s">
        <v>603</v>
      </c>
      <c r="D2127" s="60" t="s">
        <v>526</v>
      </c>
      <c r="E2127" s="61"/>
      <c r="F2127" s="61" t="s">
        <v>32</v>
      </c>
      <c r="G2127" s="36">
        <f>300*14</f>
        <v>4200</v>
      </c>
      <c r="H2127" s="36">
        <v>1861</v>
      </c>
      <c r="I2127" s="36">
        <v>3240</v>
      </c>
      <c r="J2127" s="36">
        <v>900</v>
      </c>
      <c r="K2127" s="36">
        <f t="shared" si="401"/>
        <v>10201</v>
      </c>
      <c r="L2127" s="36">
        <v>13500</v>
      </c>
      <c r="M2127" s="9">
        <f t="shared" si="402"/>
        <v>1.3233996666993433</v>
      </c>
      <c r="N2127" s="5">
        <v>1</v>
      </c>
      <c r="O2127" s="10">
        <f t="shared" si="403"/>
        <v>1.3233996666993433</v>
      </c>
    </row>
    <row r="2128" spans="2:15" ht="13.5" hidden="1" customHeight="1">
      <c r="B2128" s="33">
        <f t="shared" si="405"/>
        <v>63</v>
      </c>
      <c r="C2128" s="60" t="s">
        <v>607</v>
      </c>
      <c r="D2128" s="60" t="s">
        <v>531</v>
      </c>
      <c r="E2128" s="61"/>
      <c r="F2128" s="61" t="s">
        <v>32</v>
      </c>
      <c r="G2128" s="36">
        <f t="shared" ref="G2128:G2129" si="413">300*14</f>
        <v>4200</v>
      </c>
      <c r="H2128" s="36">
        <v>1861</v>
      </c>
      <c r="I2128" s="36">
        <v>3240</v>
      </c>
      <c r="J2128" s="36">
        <v>900</v>
      </c>
      <c r="K2128" s="36">
        <f t="shared" si="401"/>
        <v>10201</v>
      </c>
      <c r="L2128" s="36">
        <v>13500</v>
      </c>
      <c r="M2128" s="9">
        <f t="shared" si="402"/>
        <v>1.3233996666993433</v>
      </c>
      <c r="N2128" s="5">
        <v>1</v>
      </c>
      <c r="O2128" s="10">
        <f t="shared" si="403"/>
        <v>1.3233996666993433</v>
      </c>
    </row>
    <row r="2129" spans="2:15" ht="13.5" hidden="1" customHeight="1">
      <c r="B2129" s="33">
        <f t="shared" si="405"/>
        <v>64</v>
      </c>
      <c r="C2129" s="60" t="s">
        <v>619</v>
      </c>
      <c r="D2129" s="60" t="s">
        <v>543</v>
      </c>
      <c r="E2129" s="61"/>
      <c r="F2129" s="61" t="s">
        <v>32</v>
      </c>
      <c r="G2129" s="36">
        <f t="shared" si="413"/>
        <v>4200</v>
      </c>
      <c r="H2129" s="36">
        <v>1861</v>
      </c>
      <c r="I2129" s="36">
        <v>3240</v>
      </c>
      <c r="J2129" s="36">
        <v>900</v>
      </c>
      <c r="K2129" s="36">
        <f t="shared" si="401"/>
        <v>10201</v>
      </c>
      <c r="L2129" s="36">
        <v>13500</v>
      </c>
      <c r="M2129" s="9">
        <f t="shared" si="402"/>
        <v>1.3233996666993433</v>
      </c>
      <c r="N2129" s="5">
        <v>1</v>
      </c>
      <c r="O2129" s="10">
        <f t="shared" si="403"/>
        <v>1.3233996666993433</v>
      </c>
    </row>
    <row r="2130" spans="2:15" ht="13.5" hidden="1" customHeight="1">
      <c r="B2130" s="33">
        <f t="shared" si="405"/>
        <v>65</v>
      </c>
      <c r="C2130" s="60" t="s">
        <v>626</v>
      </c>
      <c r="D2130" s="60" t="s">
        <v>549</v>
      </c>
      <c r="E2130" s="61"/>
      <c r="F2130" s="61" t="s">
        <v>30</v>
      </c>
      <c r="G2130" s="36">
        <f>300*19</f>
        <v>5700</v>
      </c>
      <c r="H2130" s="36">
        <v>1861</v>
      </c>
      <c r="I2130" s="36">
        <v>3240</v>
      </c>
      <c r="J2130" s="36">
        <v>500</v>
      </c>
      <c r="K2130" s="36">
        <f t="shared" ref="K2130:K2148" si="414">SUM(G2130:J2130)</f>
        <v>11301</v>
      </c>
      <c r="L2130" s="36">
        <v>13500</v>
      </c>
      <c r="M2130" s="9">
        <f t="shared" ref="M2130:M2148" si="415">L2130/K2130</f>
        <v>1.1945845500398196</v>
      </c>
      <c r="N2130" s="5">
        <v>1</v>
      </c>
      <c r="O2130" s="10">
        <f t="shared" ref="O2130:O2148" si="416">N2130*M2130</f>
        <v>1.1945845500398196</v>
      </c>
    </row>
    <row r="2131" spans="2:15" ht="13.5" hidden="1" customHeight="1">
      <c r="B2131" s="33">
        <f t="shared" si="405"/>
        <v>66</v>
      </c>
      <c r="C2131" s="60" t="s">
        <v>668</v>
      </c>
      <c r="D2131" s="60" t="s">
        <v>591</v>
      </c>
      <c r="E2131" s="61"/>
      <c r="F2131" s="61" t="s">
        <v>32</v>
      </c>
      <c r="G2131" s="36">
        <f>300*14</f>
        <v>4200</v>
      </c>
      <c r="H2131" s="36">
        <v>1861</v>
      </c>
      <c r="I2131" s="36">
        <v>3240</v>
      </c>
      <c r="J2131" s="36">
        <v>900</v>
      </c>
      <c r="K2131" s="36">
        <f t="shared" si="414"/>
        <v>10201</v>
      </c>
      <c r="L2131" s="36">
        <v>13500</v>
      </c>
      <c r="M2131" s="9">
        <f t="shared" si="415"/>
        <v>1.3233996666993433</v>
      </c>
      <c r="N2131" s="5">
        <v>1</v>
      </c>
      <c r="O2131" s="10">
        <f t="shared" si="416"/>
        <v>1.3233996666993433</v>
      </c>
    </row>
    <row r="2132" spans="2:15" ht="13.5" hidden="1" customHeight="1">
      <c r="B2132" s="33">
        <f t="shared" ref="B2132:B2148" si="417">+B2131+1</f>
        <v>67</v>
      </c>
      <c r="C2132" s="60" t="s">
        <v>608</v>
      </c>
      <c r="D2132" s="60" t="s">
        <v>532</v>
      </c>
      <c r="E2132" s="61"/>
      <c r="F2132" s="61" t="s">
        <v>24</v>
      </c>
      <c r="G2132" s="36">
        <v>0</v>
      </c>
      <c r="H2132" s="36">
        <v>0</v>
      </c>
      <c r="I2132" s="36">
        <v>0</v>
      </c>
      <c r="J2132" s="36">
        <v>0</v>
      </c>
      <c r="K2132" s="36">
        <f t="shared" si="414"/>
        <v>0</v>
      </c>
      <c r="L2132" s="36">
        <v>13500</v>
      </c>
      <c r="M2132" s="9" t="e">
        <f t="shared" si="415"/>
        <v>#DIV/0!</v>
      </c>
      <c r="N2132" s="5">
        <v>1</v>
      </c>
      <c r="O2132" s="10" t="e">
        <f t="shared" si="416"/>
        <v>#DIV/0!</v>
      </c>
    </row>
    <row r="2133" spans="2:15" ht="13.5" hidden="1" customHeight="1">
      <c r="B2133" s="33">
        <f t="shared" si="417"/>
        <v>68</v>
      </c>
      <c r="C2133" s="60" t="s">
        <v>645</v>
      </c>
      <c r="D2133" s="60" t="s">
        <v>567</v>
      </c>
      <c r="E2133" s="61"/>
      <c r="F2133" s="61" t="s">
        <v>24</v>
      </c>
      <c r="G2133" s="36">
        <v>0</v>
      </c>
      <c r="H2133" s="36">
        <v>0</v>
      </c>
      <c r="I2133" s="36">
        <v>0</v>
      </c>
      <c r="J2133" s="36">
        <v>0</v>
      </c>
      <c r="K2133" s="36">
        <f t="shared" si="414"/>
        <v>0</v>
      </c>
      <c r="L2133" s="36">
        <v>13500</v>
      </c>
      <c r="M2133" s="9" t="e">
        <f t="shared" si="415"/>
        <v>#DIV/0!</v>
      </c>
      <c r="N2133" s="5">
        <v>1</v>
      </c>
      <c r="O2133" s="10" t="e">
        <f t="shared" si="416"/>
        <v>#DIV/0!</v>
      </c>
    </row>
    <row r="2134" spans="2:15" ht="13.5" hidden="1" customHeight="1">
      <c r="B2134" s="33">
        <f t="shared" si="417"/>
        <v>69</v>
      </c>
      <c r="C2134" s="60" t="s">
        <v>658</v>
      </c>
      <c r="D2134" s="60" t="s">
        <v>581</v>
      </c>
      <c r="E2134" s="61"/>
      <c r="F2134" s="61" t="s">
        <v>24</v>
      </c>
      <c r="G2134" s="36">
        <v>0</v>
      </c>
      <c r="H2134" s="36">
        <v>0</v>
      </c>
      <c r="I2134" s="36">
        <v>0</v>
      </c>
      <c r="J2134" s="36">
        <v>0</v>
      </c>
      <c r="K2134" s="36">
        <f t="shared" si="414"/>
        <v>0</v>
      </c>
      <c r="L2134" s="36">
        <v>13500</v>
      </c>
      <c r="M2134" s="9" t="e">
        <f t="shared" si="415"/>
        <v>#DIV/0!</v>
      </c>
      <c r="N2134" s="5">
        <v>1</v>
      </c>
      <c r="O2134" s="10" t="e">
        <f t="shared" si="416"/>
        <v>#DIV/0!</v>
      </c>
    </row>
    <row r="2135" spans="2:15" ht="13.5" hidden="1" customHeight="1">
      <c r="B2135" s="33">
        <f t="shared" si="417"/>
        <v>70</v>
      </c>
      <c r="C2135" s="60" t="s">
        <v>597</v>
      </c>
      <c r="D2135" s="60" t="s">
        <v>519</v>
      </c>
      <c r="E2135" s="61"/>
      <c r="F2135" s="61" t="s">
        <v>43</v>
      </c>
      <c r="G2135" s="36">
        <f>333*20</f>
        <v>6660</v>
      </c>
      <c r="H2135" s="36">
        <v>1861</v>
      </c>
      <c r="I2135" s="36">
        <v>3790</v>
      </c>
      <c r="J2135" s="36">
        <v>500</v>
      </c>
      <c r="K2135" s="36">
        <f t="shared" si="414"/>
        <v>12811</v>
      </c>
      <c r="L2135" s="36">
        <v>13500</v>
      </c>
      <c r="M2135" s="9">
        <f t="shared" si="415"/>
        <v>1.0537819061743814</v>
      </c>
      <c r="N2135" s="5">
        <v>1</v>
      </c>
      <c r="O2135" s="10">
        <f t="shared" si="416"/>
        <v>1.0537819061743814</v>
      </c>
    </row>
    <row r="2136" spans="2:15" ht="13.5" hidden="1" customHeight="1">
      <c r="B2136" s="33">
        <f t="shared" si="417"/>
        <v>71</v>
      </c>
      <c r="C2136" s="60" t="s">
        <v>600</v>
      </c>
      <c r="D2136" s="60" t="s">
        <v>523</v>
      </c>
      <c r="E2136" s="61"/>
      <c r="F2136" s="61" t="s">
        <v>43</v>
      </c>
      <c r="G2136" s="36">
        <f t="shared" ref="G2136:G2138" si="418">333*20</f>
        <v>6660</v>
      </c>
      <c r="H2136" s="36">
        <v>1861</v>
      </c>
      <c r="I2136" s="36">
        <v>3790</v>
      </c>
      <c r="J2136" s="36">
        <v>500</v>
      </c>
      <c r="K2136" s="36">
        <f t="shared" si="414"/>
        <v>12811</v>
      </c>
      <c r="L2136" s="36">
        <v>13500</v>
      </c>
      <c r="M2136" s="9">
        <f t="shared" si="415"/>
        <v>1.0537819061743814</v>
      </c>
      <c r="N2136" s="5">
        <v>1</v>
      </c>
      <c r="O2136" s="10">
        <f t="shared" si="416"/>
        <v>1.0537819061743814</v>
      </c>
    </row>
    <row r="2137" spans="2:15" ht="13.5" hidden="1" customHeight="1">
      <c r="B2137" s="33">
        <f t="shared" si="417"/>
        <v>72</v>
      </c>
      <c r="C2137" s="60" t="s">
        <v>617</v>
      </c>
      <c r="D2137" s="60" t="s">
        <v>541</v>
      </c>
      <c r="E2137" s="61"/>
      <c r="F2137" s="61" t="s">
        <v>43</v>
      </c>
      <c r="G2137" s="36">
        <f t="shared" si="418"/>
        <v>6660</v>
      </c>
      <c r="H2137" s="36">
        <v>1861</v>
      </c>
      <c r="I2137" s="36">
        <v>3790</v>
      </c>
      <c r="J2137" s="36">
        <v>500</v>
      </c>
      <c r="K2137" s="36">
        <f t="shared" si="414"/>
        <v>12811</v>
      </c>
      <c r="L2137" s="36">
        <v>13500</v>
      </c>
      <c r="M2137" s="9">
        <f t="shared" si="415"/>
        <v>1.0537819061743814</v>
      </c>
      <c r="N2137" s="5">
        <v>1</v>
      </c>
      <c r="O2137" s="10">
        <f t="shared" si="416"/>
        <v>1.0537819061743814</v>
      </c>
    </row>
    <row r="2138" spans="2:15" ht="13.5" hidden="1" customHeight="1">
      <c r="B2138" s="33">
        <f t="shared" si="417"/>
        <v>73</v>
      </c>
      <c r="C2138" s="60" t="s">
        <v>630</v>
      </c>
      <c r="D2138" s="60" t="s">
        <v>553</v>
      </c>
      <c r="E2138" s="61"/>
      <c r="F2138" s="61" t="s">
        <v>43</v>
      </c>
      <c r="G2138" s="36">
        <f t="shared" si="418"/>
        <v>6660</v>
      </c>
      <c r="H2138" s="36">
        <v>1861</v>
      </c>
      <c r="I2138" s="36">
        <v>3790</v>
      </c>
      <c r="J2138" s="36">
        <v>500</v>
      </c>
      <c r="K2138" s="36">
        <f t="shared" si="414"/>
        <v>12811</v>
      </c>
      <c r="L2138" s="36">
        <v>13500</v>
      </c>
      <c r="M2138" s="9">
        <f t="shared" si="415"/>
        <v>1.0537819061743814</v>
      </c>
      <c r="N2138" s="5">
        <v>1</v>
      </c>
      <c r="O2138" s="10">
        <f t="shared" si="416"/>
        <v>1.0537819061743814</v>
      </c>
    </row>
    <row r="2139" spans="2:15" ht="13.5" hidden="1" customHeight="1">
      <c r="B2139" s="33">
        <f t="shared" si="417"/>
        <v>74</v>
      </c>
      <c r="C2139" s="60" t="s">
        <v>634</v>
      </c>
      <c r="D2139" s="60" t="s">
        <v>557</v>
      </c>
      <c r="E2139" s="61"/>
      <c r="F2139" s="61" t="s">
        <v>43</v>
      </c>
      <c r="G2139" s="36">
        <f>333*12</f>
        <v>3996</v>
      </c>
      <c r="H2139" s="36">
        <v>1861</v>
      </c>
      <c r="I2139" s="36">
        <v>3790</v>
      </c>
      <c r="J2139" s="36">
        <v>500</v>
      </c>
      <c r="K2139" s="36">
        <f t="shared" si="414"/>
        <v>10147</v>
      </c>
      <c r="L2139" s="36">
        <v>13500</v>
      </c>
      <c r="M2139" s="9">
        <f t="shared" si="415"/>
        <v>1.3304424953188134</v>
      </c>
      <c r="N2139" s="5">
        <v>1</v>
      </c>
      <c r="O2139" s="10">
        <f t="shared" si="416"/>
        <v>1.3304424953188134</v>
      </c>
    </row>
    <row r="2140" spans="2:15" ht="13.5" hidden="1" customHeight="1">
      <c r="B2140" s="33">
        <f t="shared" si="417"/>
        <v>75</v>
      </c>
      <c r="C2140" s="60" t="s">
        <v>639</v>
      </c>
      <c r="D2140" s="60" t="s">
        <v>562</v>
      </c>
      <c r="E2140" s="61"/>
      <c r="F2140" s="61" t="s">
        <v>43</v>
      </c>
      <c r="G2140" s="36">
        <f>333*20</f>
        <v>6660</v>
      </c>
      <c r="H2140" s="36">
        <v>1861</v>
      </c>
      <c r="I2140" s="36">
        <v>3790</v>
      </c>
      <c r="J2140" s="36">
        <v>500</v>
      </c>
      <c r="K2140" s="36">
        <f t="shared" si="414"/>
        <v>12811</v>
      </c>
      <c r="L2140" s="36">
        <v>13500</v>
      </c>
      <c r="M2140" s="9">
        <f t="shared" si="415"/>
        <v>1.0537819061743814</v>
      </c>
      <c r="N2140" s="5">
        <v>1</v>
      </c>
      <c r="O2140" s="10">
        <f t="shared" si="416"/>
        <v>1.0537819061743814</v>
      </c>
    </row>
    <row r="2141" spans="2:15" ht="13.5" hidden="1" customHeight="1">
      <c r="B2141" s="33">
        <f t="shared" si="417"/>
        <v>76</v>
      </c>
      <c r="C2141" s="60" t="s">
        <v>649</v>
      </c>
      <c r="D2141" s="60" t="s">
        <v>571</v>
      </c>
      <c r="E2141" s="61"/>
      <c r="F2141" s="61" t="s">
        <v>43</v>
      </c>
      <c r="G2141" s="36">
        <f t="shared" ref="G2141:G2143" si="419">333*20</f>
        <v>6660</v>
      </c>
      <c r="H2141" s="36">
        <v>1861</v>
      </c>
      <c r="I2141" s="36">
        <v>3790</v>
      </c>
      <c r="J2141" s="36">
        <v>500</v>
      </c>
      <c r="K2141" s="36">
        <f t="shared" si="414"/>
        <v>12811</v>
      </c>
      <c r="L2141" s="36">
        <v>13500</v>
      </c>
      <c r="M2141" s="9">
        <f t="shared" si="415"/>
        <v>1.0537819061743814</v>
      </c>
      <c r="N2141" s="5">
        <v>1</v>
      </c>
      <c r="O2141" s="10">
        <f t="shared" si="416"/>
        <v>1.0537819061743814</v>
      </c>
    </row>
    <row r="2142" spans="2:15" ht="13.5" hidden="1" customHeight="1">
      <c r="B2142" s="33">
        <f t="shared" si="417"/>
        <v>77</v>
      </c>
      <c r="C2142" s="60" t="s">
        <v>592</v>
      </c>
      <c r="D2142" s="60" t="s">
        <v>512</v>
      </c>
      <c r="E2142" s="61"/>
      <c r="F2142" s="61" t="s">
        <v>43</v>
      </c>
      <c r="G2142" s="36">
        <f t="shared" si="419"/>
        <v>6660</v>
      </c>
      <c r="H2142" s="36">
        <v>1861</v>
      </c>
      <c r="I2142" s="36">
        <v>3790</v>
      </c>
      <c r="J2142" s="36">
        <v>500</v>
      </c>
      <c r="K2142" s="36">
        <f t="shared" si="414"/>
        <v>12811</v>
      </c>
      <c r="L2142" s="36">
        <v>13500</v>
      </c>
      <c r="M2142" s="9">
        <f t="shared" si="415"/>
        <v>1.0537819061743814</v>
      </c>
      <c r="N2142" s="5">
        <v>1</v>
      </c>
      <c r="O2142" s="10">
        <f t="shared" si="416"/>
        <v>1.0537819061743814</v>
      </c>
    </row>
    <row r="2143" spans="2:15" ht="13.5" hidden="1" customHeight="1">
      <c r="B2143" s="33">
        <f t="shared" si="417"/>
        <v>78</v>
      </c>
      <c r="C2143" s="60" t="s">
        <v>596</v>
      </c>
      <c r="D2143" s="60" t="s">
        <v>516</v>
      </c>
      <c r="E2143" s="61"/>
      <c r="F2143" s="61" t="s">
        <v>43</v>
      </c>
      <c r="G2143" s="36">
        <f t="shared" si="419"/>
        <v>6660</v>
      </c>
      <c r="H2143" s="36">
        <v>1861</v>
      </c>
      <c r="I2143" s="36">
        <v>3790</v>
      </c>
      <c r="J2143" s="36">
        <v>500</v>
      </c>
      <c r="K2143" s="36">
        <f t="shared" si="414"/>
        <v>12811</v>
      </c>
      <c r="L2143" s="36">
        <v>13500</v>
      </c>
      <c r="M2143" s="9">
        <f t="shared" si="415"/>
        <v>1.0537819061743814</v>
      </c>
      <c r="N2143" s="5">
        <v>1</v>
      </c>
      <c r="O2143" s="10">
        <f t="shared" si="416"/>
        <v>1.0537819061743814</v>
      </c>
    </row>
    <row r="2144" spans="2:15" ht="13.5" hidden="1" customHeight="1">
      <c r="B2144" s="33">
        <f t="shared" si="417"/>
        <v>79</v>
      </c>
      <c r="C2144" s="60" t="s">
        <v>605</v>
      </c>
      <c r="D2144" s="60" t="s">
        <v>529</v>
      </c>
      <c r="E2144" s="61"/>
      <c r="F2144" s="61" t="s">
        <v>27</v>
      </c>
      <c r="G2144" s="36">
        <f>333*5</f>
        <v>1665</v>
      </c>
      <c r="H2144" s="36">
        <v>1861</v>
      </c>
      <c r="I2144" s="36">
        <v>3240</v>
      </c>
      <c r="J2144" s="36">
        <v>500</v>
      </c>
      <c r="K2144" s="36">
        <f t="shared" si="414"/>
        <v>7266</v>
      </c>
      <c r="L2144" s="36">
        <v>13500</v>
      </c>
      <c r="M2144" s="9">
        <f t="shared" si="415"/>
        <v>1.8579686209744013</v>
      </c>
      <c r="N2144" s="5">
        <v>1</v>
      </c>
      <c r="O2144" s="10">
        <f t="shared" si="416"/>
        <v>1.8579686209744013</v>
      </c>
    </row>
    <row r="2145" spans="1:15" ht="13.5" hidden="1" customHeight="1">
      <c r="B2145" s="33">
        <f t="shared" si="417"/>
        <v>80</v>
      </c>
      <c r="C2145" s="60" t="s">
        <v>631</v>
      </c>
      <c r="D2145" s="60" t="s">
        <v>554</v>
      </c>
      <c r="E2145" s="61"/>
      <c r="F2145" s="61" t="s">
        <v>27</v>
      </c>
      <c r="G2145" s="36">
        <f t="shared" ref="G2145:G2146" si="420">333*5</f>
        <v>1665</v>
      </c>
      <c r="H2145" s="36">
        <v>1861</v>
      </c>
      <c r="I2145" s="36">
        <v>3240</v>
      </c>
      <c r="J2145" s="36">
        <v>500</v>
      </c>
      <c r="K2145" s="36">
        <f t="shared" si="414"/>
        <v>7266</v>
      </c>
      <c r="L2145" s="36">
        <v>13500</v>
      </c>
      <c r="M2145" s="9">
        <f t="shared" si="415"/>
        <v>1.8579686209744013</v>
      </c>
      <c r="N2145" s="5">
        <v>1</v>
      </c>
      <c r="O2145" s="10">
        <f t="shared" si="416"/>
        <v>1.8579686209744013</v>
      </c>
    </row>
    <row r="2146" spans="1:15" ht="13.5" hidden="1" customHeight="1">
      <c r="B2146" s="33">
        <f t="shared" si="417"/>
        <v>81</v>
      </c>
      <c r="C2146" s="60" t="s">
        <v>637</v>
      </c>
      <c r="D2146" s="60" t="s">
        <v>560</v>
      </c>
      <c r="E2146" s="61"/>
      <c r="F2146" s="61" t="s">
        <v>27</v>
      </c>
      <c r="G2146" s="36">
        <f t="shared" si="420"/>
        <v>1665</v>
      </c>
      <c r="H2146" s="36">
        <v>1861</v>
      </c>
      <c r="I2146" s="36">
        <v>3240</v>
      </c>
      <c r="J2146" s="36">
        <v>500</v>
      </c>
      <c r="K2146" s="36">
        <f t="shared" si="414"/>
        <v>7266</v>
      </c>
      <c r="L2146" s="36">
        <v>13500</v>
      </c>
      <c r="M2146" s="9">
        <f t="shared" si="415"/>
        <v>1.8579686209744013</v>
      </c>
      <c r="N2146" s="5">
        <v>1</v>
      </c>
      <c r="O2146" s="10">
        <f t="shared" si="416"/>
        <v>1.8579686209744013</v>
      </c>
    </row>
    <row r="2147" spans="1:15" ht="13.5" hidden="1" customHeight="1">
      <c r="B2147" s="33">
        <f t="shared" si="417"/>
        <v>82</v>
      </c>
      <c r="C2147" s="60" t="s">
        <v>665</v>
      </c>
      <c r="D2147" s="60" t="s">
        <v>588</v>
      </c>
      <c r="E2147" s="61"/>
      <c r="F2147" s="61" t="s">
        <v>30</v>
      </c>
      <c r="G2147" s="36">
        <f>300*19</f>
        <v>5700</v>
      </c>
      <c r="H2147" s="36">
        <v>1861</v>
      </c>
      <c r="I2147" s="36">
        <v>3240</v>
      </c>
      <c r="J2147" s="36">
        <v>500</v>
      </c>
      <c r="K2147" s="36">
        <f t="shared" si="414"/>
        <v>11301</v>
      </c>
      <c r="L2147" s="36">
        <v>13500</v>
      </c>
      <c r="M2147" s="9">
        <f t="shared" si="415"/>
        <v>1.1945845500398196</v>
      </c>
      <c r="N2147" s="5">
        <v>1</v>
      </c>
      <c r="O2147" s="10">
        <f t="shared" si="416"/>
        <v>1.1945845500398196</v>
      </c>
    </row>
    <row r="2148" spans="1:15" ht="13.5" hidden="1" customHeight="1">
      <c r="B2148" s="33">
        <f t="shared" si="417"/>
        <v>83</v>
      </c>
      <c r="C2148" s="60" t="s">
        <v>598</v>
      </c>
      <c r="D2148" s="60" t="s">
        <v>520</v>
      </c>
      <c r="E2148" s="61"/>
      <c r="F2148" s="61" t="s">
        <v>510</v>
      </c>
      <c r="G2148" s="36">
        <f>333*20</f>
        <v>6660</v>
      </c>
      <c r="H2148" s="36">
        <v>1861</v>
      </c>
      <c r="I2148" s="36">
        <v>3790</v>
      </c>
      <c r="J2148" s="36">
        <v>500</v>
      </c>
      <c r="K2148" s="36">
        <f t="shared" si="414"/>
        <v>12811</v>
      </c>
      <c r="L2148" s="36">
        <v>13500</v>
      </c>
      <c r="M2148" s="9">
        <f t="shared" si="415"/>
        <v>1.0537819061743814</v>
      </c>
      <c r="N2148" s="5">
        <v>1</v>
      </c>
      <c r="O2148" s="10">
        <f t="shared" si="416"/>
        <v>1.0537819061743814</v>
      </c>
    </row>
    <row r="2149" spans="1:15" ht="17.25" hidden="1" customHeight="1">
      <c r="A2149" s="66" t="s">
        <v>45</v>
      </c>
      <c r="B2149" s="66"/>
      <c r="C2149" s="66"/>
      <c r="D2149" s="66"/>
      <c r="E2149" s="66"/>
      <c r="F2149" s="66"/>
      <c r="G2149" s="66"/>
      <c r="H2149" s="66"/>
      <c r="I2149" s="66"/>
      <c r="J2149" s="66"/>
      <c r="K2149" s="66"/>
      <c r="L2149" s="66"/>
      <c r="M2149" s="66"/>
      <c r="N2149" s="22">
        <f>SUM(N2066:N2148)</f>
        <v>83</v>
      </c>
      <c r="O2149" s="23" t="e">
        <f>SUM(O2066:O2148)</f>
        <v>#DIV/0!</v>
      </c>
    </row>
    <row r="2150" spans="1:15" ht="13.5" customHeight="1">
      <c r="A2150" s="44" t="s">
        <v>673</v>
      </c>
      <c r="B2150" s="44"/>
      <c r="C2150" s="44"/>
      <c r="D2150" s="44"/>
      <c r="E2150" s="44"/>
      <c r="F2150" s="44"/>
      <c r="G2150" s="44"/>
      <c r="H2150" s="44"/>
      <c r="I2150" s="44"/>
      <c r="J2150" s="44"/>
      <c r="K2150" s="44"/>
      <c r="L2150" s="44"/>
      <c r="M2150" s="44"/>
      <c r="N2150" s="44"/>
      <c r="O2150" s="44"/>
    </row>
    <row r="2151" spans="1:15" ht="13.5" customHeight="1">
      <c r="B2151" s="33">
        <v>1</v>
      </c>
      <c r="C2151" s="60"/>
      <c r="D2151" s="60"/>
      <c r="E2151" s="61"/>
      <c r="F2151" s="61" t="s">
        <v>213</v>
      </c>
      <c r="G2151" s="36">
        <f>+G2066+G1981+G1896</f>
        <v>21978</v>
      </c>
      <c r="H2151" s="36">
        <f t="shared" ref="H2151:J2151" si="421">+H2066+H1981+H1896</f>
        <v>5583</v>
      </c>
      <c r="I2151" s="36">
        <f t="shared" si="421"/>
        <v>11340</v>
      </c>
      <c r="J2151" s="36">
        <f t="shared" si="421"/>
        <v>500</v>
      </c>
      <c r="K2151" s="36">
        <f>SUM(G2151:J2151)+7781</f>
        <v>47182</v>
      </c>
      <c r="L2151" s="36">
        <v>27000</v>
      </c>
      <c r="M2151" s="9">
        <f t="shared" ref="M2151:M2209" si="422">L2151/K2151</f>
        <v>0.57225213004959519</v>
      </c>
      <c r="N2151" s="5">
        <v>1</v>
      </c>
      <c r="O2151" s="10">
        <f t="shared" ref="O2151:O2214" si="423">IF(M2151&gt;1,1,M2151)</f>
        <v>0.57225213004959519</v>
      </c>
    </row>
    <row r="2152" spans="1:15" ht="13.5" customHeight="1">
      <c r="B2152" s="33">
        <f>+B2151+1</f>
        <v>2</v>
      </c>
      <c r="C2152" s="60"/>
      <c r="D2152" s="60"/>
      <c r="E2152" s="61"/>
      <c r="F2152" s="61" t="s">
        <v>213</v>
      </c>
      <c r="G2152" s="36">
        <f t="shared" ref="G2152:J2152" si="424">+G2067+G1982+G1897</f>
        <v>21978</v>
      </c>
      <c r="H2152" s="36">
        <f t="shared" si="424"/>
        <v>5583</v>
      </c>
      <c r="I2152" s="36">
        <f t="shared" si="424"/>
        <v>11340</v>
      </c>
      <c r="J2152" s="36">
        <f t="shared" si="424"/>
        <v>500</v>
      </c>
      <c r="K2152" s="36">
        <f t="shared" ref="K2152:K2209" si="425">SUM(G2152:J2152)</f>
        <v>39401</v>
      </c>
      <c r="L2152" s="36">
        <v>27000</v>
      </c>
      <c r="M2152" s="9">
        <f t="shared" si="422"/>
        <v>0.68526179538590393</v>
      </c>
      <c r="N2152" s="5">
        <v>1</v>
      </c>
      <c r="O2152" s="10">
        <f t="shared" si="423"/>
        <v>0.68526179538590393</v>
      </c>
    </row>
    <row r="2153" spans="1:15" ht="13.5" customHeight="1">
      <c r="B2153" s="33">
        <f t="shared" ref="B2153:B2216" si="426">+B2152+1</f>
        <v>3</v>
      </c>
      <c r="C2153" s="60"/>
      <c r="D2153" s="60"/>
      <c r="E2153" s="61"/>
      <c r="F2153" s="61" t="s">
        <v>213</v>
      </c>
      <c r="G2153" s="36">
        <f t="shared" ref="G2153:J2153" si="427">+G2068+G1983+G1898</f>
        <v>21978</v>
      </c>
      <c r="H2153" s="36">
        <f t="shared" si="427"/>
        <v>5583</v>
      </c>
      <c r="I2153" s="36">
        <f t="shared" si="427"/>
        <v>11340</v>
      </c>
      <c r="J2153" s="36">
        <f t="shared" si="427"/>
        <v>500</v>
      </c>
      <c r="K2153" s="36">
        <f t="shared" si="425"/>
        <v>39401</v>
      </c>
      <c r="L2153" s="36">
        <v>27000</v>
      </c>
      <c r="M2153" s="9">
        <f t="shared" si="422"/>
        <v>0.68526179538590393</v>
      </c>
      <c r="N2153" s="5">
        <v>1</v>
      </c>
      <c r="O2153" s="10">
        <f t="shared" si="423"/>
        <v>0.68526179538590393</v>
      </c>
    </row>
    <row r="2154" spans="1:15" ht="13.5" customHeight="1">
      <c r="B2154" s="33">
        <f t="shared" si="426"/>
        <v>4</v>
      </c>
      <c r="C2154" s="60"/>
      <c r="D2154" s="60"/>
      <c r="E2154" s="61"/>
      <c r="F2154" s="61" t="s">
        <v>213</v>
      </c>
      <c r="G2154" s="36">
        <f t="shared" ref="G2154:J2154" si="428">+G2069+G1984+G1899</f>
        <v>21978</v>
      </c>
      <c r="H2154" s="36">
        <f t="shared" si="428"/>
        <v>5583</v>
      </c>
      <c r="I2154" s="36">
        <f t="shared" si="428"/>
        <v>11340</v>
      </c>
      <c r="J2154" s="36">
        <f t="shared" si="428"/>
        <v>500</v>
      </c>
      <c r="K2154" s="36">
        <f t="shared" si="425"/>
        <v>39401</v>
      </c>
      <c r="L2154" s="36">
        <v>27000</v>
      </c>
      <c r="M2154" s="9">
        <f t="shared" si="422"/>
        <v>0.68526179538590393</v>
      </c>
      <c r="N2154" s="5">
        <v>1</v>
      </c>
      <c r="O2154" s="10">
        <f t="shared" si="423"/>
        <v>0.68526179538590393</v>
      </c>
    </row>
    <row r="2155" spans="1:15" ht="13.5" customHeight="1">
      <c r="B2155" s="33">
        <f t="shared" si="426"/>
        <v>5</v>
      </c>
      <c r="C2155" s="60"/>
      <c r="D2155" s="60"/>
      <c r="E2155" s="61"/>
      <c r="F2155" s="61" t="s">
        <v>213</v>
      </c>
      <c r="G2155" s="36">
        <f t="shared" ref="G2155:J2155" si="429">+G2070+G1985+G1900</f>
        <v>21978</v>
      </c>
      <c r="H2155" s="36">
        <f t="shared" si="429"/>
        <v>5583</v>
      </c>
      <c r="I2155" s="36">
        <f t="shared" si="429"/>
        <v>11340</v>
      </c>
      <c r="J2155" s="36">
        <f t="shared" si="429"/>
        <v>500</v>
      </c>
      <c r="K2155" s="36">
        <f t="shared" si="425"/>
        <v>39401</v>
      </c>
      <c r="L2155" s="36">
        <v>27000</v>
      </c>
      <c r="M2155" s="9">
        <f t="shared" si="422"/>
        <v>0.68526179538590393</v>
      </c>
      <c r="N2155" s="5">
        <v>1</v>
      </c>
      <c r="O2155" s="10">
        <f t="shared" si="423"/>
        <v>0.68526179538590393</v>
      </c>
    </row>
    <row r="2156" spans="1:15" ht="13.5" customHeight="1">
      <c r="B2156" s="33">
        <f t="shared" si="426"/>
        <v>6</v>
      </c>
      <c r="C2156" s="60"/>
      <c r="D2156" s="60"/>
      <c r="E2156" s="61"/>
      <c r="F2156" s="61" t="s">
        <v>213</v>
      </c>
      <c r="G2156" s="36">
        <f t="shared" ref="G2156:J2156" si="430">+G2071+G1986+G1901</f>
        <v>21978</v>
      </c>
      <c r="H2156" s="36">
        <f t="shared" si="430"/>
        <v>5583</v>
      </c>
      <c r="I2156" s="36">
        <f t="shared" si="430"/>
        <v>11340</v>
      </c>
      <c r="J2156" s="36">
        <f t="shared" si="430"/>
        <v>500</v>
      </c>
      <c r="K2156" s="36">
        <f t="shared" si="425"/>
        <v>39401</v>
      </c>
      <c r="L2156" s="36">
        <v>27000</v>
      </c>
      <c r="M2156" s="9">
        <f t="shared" si="422"/>
        <v>0.68526179538590393</v>
      </c>
      <c r="N2156" s="5">
        <v>1</v>
      </c>
      <c r="O2156" s="10">
        <f t="shared" si="423"/>
        <v>0.68526179538590393</v>
      </c>
    </row>
    <row r="2157" spans="1:15" ht="13.5" customHeight="1">
      <c r="B2157" s="33">
        <f t="shared" si="426"/>
        <v>7</v>
      </c>
      <c r="C2157" s="60"/>
      <c r="D2157" s="60"/>
      <c r="E2157" s="61"/>
      <c r="F2157" s="61" t="s">
        <v>140</v>
      </c>
      <c r="G2157" s="36">
        <f t="shared" ref="G2157:J2157" si="431">+G2072+G1987+G1902</f>
        <v>10800</v>
      </c>
      <c r="H2157" s="36">
        <f t="shared" si="431"/>
        <v>5583</v>
      </c>
      <c r="I2157" s="36">
        <f t="shared" si="431"/>
        <v>9720</v>
      </c>
      <c r="J2157" s="36">
        <f t="shared" si="431"/>
        <v>500</v>
      </c>
      <c r="K2157" s="36">
        <f t="shared" si="425"/>
        <v>26603</v>
      </c>
      <c r="L2157" s="36">
        <v>27000</v>
      </c>
      <c r="M2157" s="9">
        <f t="shared" si="422"/>
        <v>1.0149231289704168</v>
      </c>
      <c r="N2157" s="5">
        <v>1</v>
      </c>
      <c r="O2157" s="10">
        <f t="shared" si="423"/>
        <v>1</v>
      </c>
    </row>
    <row r="2158" spans="1:15" ht="13.5" customHeight="1">
      <c r="B2158" s="33">
        <f t="shared" si="426"/>
        <v>8</v>
      </c>
      <c r="C2158" s="60"/>
      <c r="D2158" s="60"/>
      <c r="E2158" s="61"/>
      <c r="F2158" s="61" t="s">
        <v>428</v>
      </c>
      <c r="G2158" s="36">
        <f t="shared" ref="G2158:J2158" si="432">+G2073+G1988+G1903</f>
        <v>1662</v>
      </c>
      <c r="H2158" s="36">
        <f t="shared" si="432"/>
        <v>1861</v>
      </c>
      <c r="I2158" s="36">
        <f t="shared" si="432"/>
        <v>7890</v>
      </c>
      <c r="J2158" s="36">
        <f t="shared" si="432"/>
        <v>500</v>
      </c>
      <c r="K2158" s="36">
        <f t="shared" si="425"/>
        <v>11913</v>
      </c>
      <c r="L2158" s="36">
        <v>27000</v>
      </c>
      <c r="M2158" s="9">
        <f t="shared" si="422"/>
        <v>2.2664316293125157</v>
      </c>
      <c r="N2158" s="5">
        <v>1</v>
      </c>
      <c r="O2158" s="10">
        <f t="shared" si="423"/>
        <v>1</v>
      </c>
    </row>
    <row r="2159" spans="1:15" ht="13.5" customHeight="1">
      <c r="B2159" s="33">
        <f t="shared" si="426"/>
        <v>9</v>
      </c>
      <c r="C2159" s="60"/>
      <c r="D2159" s="60"/>
      <c r="E2159" s="61"/>
      <c r="F2159" s="61" t="s">
        <v>41</v>
      </c>
      <c r="G2159" s="36">
        <f t="shared" ref="G2159:J2159" si="433">+G2074+G1989+G1904</f>
        <v>20646</v>
      </c>
      <c r="H2159" s="36">
        <f t="shared" si="433"/>
        <v>5583</v>
      </c>
      <c r="I2159" s="36">
        <f t="shared" si="433"/>
        <v>11370</v>
      </c>
      <c r="J2159" s="36">
        <f t="shared" si="433"/>
        <v>1500</v>
      </c>
      <c r="K2159" s="36">
        <f t="shared" si="425"/>
        <v>39099</v>
      </c>
      <c r="L2159" s="36">
        <v>27000</v>
      </c>
      <c r="M2159" s="9">
        <f t="shared" si="422"/>
        <v>0.69055474564566866</v>
      </c>
      <c r="N2159" s="5">
        <v>1</v>
      </c>
      <c r="O2159" s="10">
        <f t="shared" si="423"/>
        <v>0.69055474564566866</v>
      </c>
    </row>
    <row r="2160" spans="1:15" ht="13.5" customHeight="1">
      <c r="B2160" s="33">
        <f t="shared" si="426"/>
        <v>10</v>
      </c>
      <c r="C2160" s="60"/>
      <c r="D2160" s="60"/>
      <c r="E2160" s="61"/>
      <c r="F2160" s="61" t="s">
        <v>41</v>
      </c>
      <c r="G2160" s="36">
        <f t="shared" ref="G2160:J2160" si="434">+G2075+G1990+G1905</f>
        <v>15984</v>
      </c>
      <c r="H2160" s="36">
        <f t="shared" si="434"/>
        <v>5583</v>
      </c>
      <c r="I2160" s="36">
        <f t="shared" si="434"/>
        <v>11370</v>
      </c>
      <c r="J2160" s="36">
        <f t="shared" si="434"/>
        <v>1500</v>
      </c>
      <c r="K2160" s="36">
        <f t="shared" si="425"/>
        <v>34437</v>
      </c>
      <c r="L2160" s="36">
        <v>27000</v>
      </c>
      <c r="M2160" s="9">
        <f t="shared" si="422"/>
        <v>0.78404042163951559</v>
      </c>
      <c r="N2160" s="5">
        <v>1</v>
      </c>
      <c r="O2160" s="10">
        <f t="shared" si="423"/>
        <v>0.78404042163951559</v>
      </c>
    </row>
    <row r="2161" spans="2:15" ht="13.5" customHeight="1">
      <c r="B2161" s="33">
        <f t="shared" si="426"/>
        <v>11</v>
      </c>
      <c r="C2161" s="60"/>
      <c r="D2161" s="60"/>
      <c r="E2161" s="61"/>
      <c r="F2161" s="61" t="s">
        <v>41</v>
      </c>
      <c r="G2161" s="36">
        <f t="shared" ref="G2161:J2161" si="435">+G2076+G1991+G1906</f>
        <v>15984</v>
      </c>
      <c r="H2161" s="36">
        <f t="shared" si="435"/>
        <v>5583</v>
      </c>
      <c r="I2161" s="36">
        <f t="shared" si="435"/>
        <v>11370</v>
      </c>
      <c r="J2161" s="36">
        <f t="shared" si="435"/>
        <v>1500</v>
      </c>
      <c r="K2161" s="36">
        <f t="shared" si="425"/>
        <v>34437</v>
      </c>
      <c r="L2161" s="36">
        <v>27000</v>
      </c>
      <c r="M2161" s="9">
        <f t="shared" si="422"/>
        <v>0.78404042163951559</v>
      </c>
      <c r="N2161" s="5">
        <v>1</v>
      </c>
      <c r="O2161" s="10">
        <f t="shared" si="423"/>
        <v>0.78404042163951559</v>
      </c>
    </row>
    <row r="2162" spans="2:15" ht="13.5" customHeight="1">
      <c r="B2162" s="33">
        <f t="shared" si="426"/>
        <v>12</v>
      </c>
      <c r="C2162" s="60"/>
      <c r="D2162" s="60"/>
      <c r="E2162" s="61"/>
      <c r="F2162" s="61" t="s">
        <v>42</v>
      </c>
      <c r="G2162" s="36">
        <f t="shared" ref="G2162:J2162" si="436">+G2077+G1992+G1907</f>
        <v>20646</v>
      </c>
      <c r="H2162" s="36">
        <f t="shared" si="436"/>
        <v>5583</v>
      </c>
      <c r="I2162" s="36">
        <f t="shared" si="436"/>
        <v>9720</v>
      </c>
      <c r="J2162" s="36">
        <f t="shared" si="436"/>
        <v>1500</v>
      </c>
      <c r="K2162" s="36">
        <f t="shared" si="425"/>
        <v>37449</v>
      </c>
      <c r="L2162" s="36">
        <v>27000</v>
      </c>
      <c r="M2162" s="9">
        <f t="shared" si="422"/>
        <v>0.72098053352559477</v>
      </c>
      <c r="N2162" s="5">
        <v>1</v>
      </c>
      <c r="O2162" s="10">
        <f t="shared" si="423"/>
        <v>0.72098053352559477</v>
      </c>
    </row>
    <row r="2163" spans="2:15" ht="13.5" customHeight="1">
      <c r="B2163" s="33">
        <f t="shared" si="426"/>
        <v>13</v>
      </c>
      <c r="C2163" s="60"/>
      <c r="D2163" s="60"/>
      <c r="E2163" s="61"/>
      <c r="F2163" s="61" t="s">
        <v>25</v>
      </c>
      <c r="G2163" s="36">
        <f t="shared" ref="G2163:J2163" si="437">+G2078+G1993+G1908</f>
        <v>13500</v>
      </c>
      <c r="H2163" s="36">
        <f t="shared" si="437"/>
        <v>5583</v>
      </c>
      <c r="I2163" s="36">
        <f t="shared" si="437"/>
        <v>6820</v>
      </c>
      <c r="J2163" s="36">
        <f t="shared" si="437"/>
        <v>1500</v>
      </c>
      <c r="K2163" s="36">
        <f t="shared" si="425"/>
        <v>27403</v>
      </c>
      <c r="L2163" s="36">
        <v>27000</v>
      </c>
      <c r="M2163" s="9">
        <f t="shared" si="422"/>
        <v>0.98529358099478159</v>
      </c>
      <c r="N2163" s="5">
        <v>1</v>
      </c>
      <c r="O2163" s="10">
        <f t="shared" si="423"/>
        <v>0.98529358099478159</v>
      </c>
    </row>
    <row r="2164" spans="2:15" ht="13.5" customHeight="1">
      <c r="B2164" s="33">
        <f t="shared" si="426"/>
        <v>14</v>
      </c>
      <c r="C2164" s="60"/>
      <c r="D2164" s="60"/>
      <c r="E2164" s="61"/>
      <c r="F2164" s="61" t="s">
        <v>417</v>
      </c>
      <c r="G2164" s="36">
        <f t="shared" ref="G2164:J2164" si="438">+G2079+G1994+G1909</f>
        <v>831</v>
      </c>
      <c r="H2164" s="36">
        <f t="shared" si="438"/>
        <v>1861</v>
      </c>
      <c r="I2164" s="36">
        <f t="shared" si="438"/>
        <v>7890</v>
      </c>
      <c r="J2164" s="36">
        <f t="shared" si="438"/>
        <v>500</v>
      </c>
      <c r="K2164" s="36">
        <f t="shared" si="425"/>
        <v>11082</v>
      </c>
      <c r="L2164" s="36">
        <v>27000</v>
      </c>
      <c r="M2164" s="9">
        <f t="shared" si="422"/>
        <v>2.4363833243096913</v>
      </c>
      <c r="N2164" s="5">
        <v>1</v>
      </c>
      <c r="O2164" s="10">
        <f t="shared" si="423"/>
        <v>1</v>
      </c>
    </row>
    <row r="2165" spans="2:15" ht="13.5" customHeight="1">
      <c r="B2165" s="33">
        <f t="shared" si="426"/>
        <v>15</v>
      </c>
      <c r="C2165" s="60"/>
      <c r="D2165" s="60"/>
      <c r="E2165" s="61"/>
      <c r="F2165" s="61" t="s">
        <v>417</v>
      </c>
      <c r="G2165" s="36">
        <f t="shared" ref="G2165:J2165" si="439">+G2080+G1995+G1910</f>
        <v>831</v>
      </c>
      <c r="H2165" s="36">
        <f t="shared" si="439"/>
        <v>1861</v>
      </c>
      <c r="I2165" s="36">
        <f t="shared" si="439"/>
        <v>7890</v>
      </c>
      <c r="J2165" s="36">
        <f t="shared" si="439"/>
        <v>500</v>
      </c>
      <c r="K2165" s="36">
        <f t="shared" si="425"/>
        <v>11082</v>
      </c>
      <c r="L2165" s="36">
        <v>27000</v>
      </c>
      <c r="M2165" s="9">
        <f t="shared" si="422"/>
        <v>2.4363833243096913</v>
      </c>
      <c r="N2165" s="5">
        <v>1</v>
      </c>
      <c r="O2165" s="10">
        <f t="shared" si="423"/>
        <v>1</v>
      </c>
    </row>
    <row r="2166" spans="2:15" ht="13.5" customHeight="1">
      <c r="B2166" s="33">
        <f t="shared" si="426"/>
        <v>16</v>
      </c>
      <c r="C2166" s="60"/>
      <c r="D2166" s="60"/>
      <c r="E2166" s="61"/>
      <c r="F2166" s="61" t="s">
        <v>159</v>
      </c>
      <c r="G2166" s="36">
        <f t="shared" ref="G2166:J2166" si="440">+G2081+G1996+G1911</f>
        <v>18648</v>
      </c>
      <c r="H2166" s="36">
        <f t="shared" si="440"/>
        <v>5583</v>
      </c>
      <c r="I2166" s="36">
        <f t="shared" si="440"/>
        <v>9720</v>
      </c>
      <c r="J2166" s="36">
        <f t="shared" si="440"/>
        <v>3600</v>
      </c>
      <c r="K2166" s="36">
        <f t="shared" si="425"/>
        <v>37551</v>
      </c>
      <c r="L2166" s="36">
        <v>27000</v>
      </c>
      <c r="M2166" s="9">
        <f t="shared" si="422"/>
        <v>0.71902212990333148</v>
      </c>
      <c r="N2166" s="5">
        <v>1</v>
      </c>
      <c r="O2166" s="10">
        <f t="shared" si="423"/>
        <v>0.71902212990333148</v>
      </c>
    </row>
    <row r="2167" spans="2:15" ht="13.5" customHeight="1">
      <c r="B2167" s="33">
        <f t="shared" si="426"/>
        <v>17</v>
      </c>
      <c r="C2167" s="60"/>
      <c r="D2167" s="60"/>
      <c r="E2167" s="61"/>
      <c r="F2167" s="61" t="s">
        <v>159</v>
      </c>
      <c r="G2167" s="36">
        <f t="shared" ref="G2167:J2167" si="441">+G2082+G1997+G1912</f>
        <v>18648</v>
      </c>
      <c r="H2167" s="36">
        <f t="shared" si="441"/>
        <v>5583</v>
      </c>
      <c r="I2167" s="36">
        <f t="shared" si="441"/>
        <v>9720</v>
      </c>
      <c r="J2167" s="36">
        <f t="shared" si="441"/>
        <v>3600</v>
      </c>
      <c r="K2167" s="36">
        <f t="shared" si="425"/>
        <v>37551</v>
      </c>
      <c r="L2167" s="36">
        <v>27000</v>
      </c>
      <c r="M2167" s="9">
        <f t="shared" si="422"/>
        <v>0.71902212990333148</v>
      </c>
      <c r="N2167" s="5">
        <v>1</v>
      </c>
      <c r="O2167" s="10">
        <f t="shared" si="423"/>
        <v>0.71902212990333148</v>
      </c>
    </row>
    <row r="2168" spans="2:15" ht="13.5" customHeight="1">
      <c r="B2168" s="33">
        <f t="shared" si="426"/>
        <v>18</v>
      </c>
      <c r="C2168" s="60"/>
      <c r="D2168" s="60"/>
      <c r="E2168" s="61"/>
      <c r="F2168" s="61" t="s">
        <v>159</v>
      </c>
      <c r="G2168" s="36">
        <f t="shared" ref="G2168:J2168" si="442">+G2083+G1998+G1913</f>
        <v>18648</v>
      </c>
      <c r="H2168" s="36">
        <f t="shared" si="442"/>
        <v>5583</v>
      </c>
      <c r="I2168" s="36">
        <f t="shared" si="442"/>
        <v>9720</v>
      </c>
      <c r="J2168" s="36">
        <f t="shared" si="442"/>
        <v>3600</v>
      </c>
      <c r="K2168" s="36">
        <f t="shared" si="425"/>
        <v>37551</v>
      </c>
      <c r="L2168" s="36">
        <v>27000</v>
      </c>
      <c r="M2168" s="9">
        <f t="shared" si="422"/>
        <v>0.71902212990333148</v>
      </c>
      <c r="N2168" s="5">
        <v>1</v>
      </c>
      <c r="O2168" s="10">
        <f t="shared" si="423"/>
        <v>0.71902212990333148</v>
      </c>
    </row>
    <row r="2169" spans="2:15" ht="13.5" customHeight="1">
      <c r="B2169" s="33">
        <f t="shared" si="426"/>
        <v>19</v>
      </c>
      <c r="C2169" s="60"/>
      <c r="D2169" s="60"/>
      <c r="E2169" s="61"/>
      <c r="F2169" s="61" t="s">
        <v>159</v>
      </c>
      <c r="G2169" s="36">
        <f t="shared" ref="G2169:J2169" si="443">+G2084+G1999+G1914</f>
        <v>18648</v>
      </c>
      <c r="H2169" s="36">
        <f t="shared" si="443"/>
        <v>5583</v>
      </c>
      <c r="I2169" s="36">
        <f t="shared" si="443"/>
        <v>9720</v>
      </c>
      <c r="J2169" s="36">
        <f t="shared" si="443"/>
        <v>3600</v>
      </c>
      <c r="K2169" s="36">
        <f t="shared" si="425"/>
        <v>37551</v>
      </c>
      <c r="L2169" s="36">
        <v>27000</v>
      </c>
      <c r="M2169" s="9">
        <f t="shared" si="422"/>
        <v>0.71902212990333148</v>
      </c>
      <c r="N2169" s="5">
        <v>1</v>
      </c>
      <c r="O2169" s="10">
        <f t="shared" si="423"/>
        <v>0.71902212990333148</v>
      </c>
    </row>
    <row r="2170" spans="2:15" ht="13.5" customHeight="1">
      <c r="B2170" s="33">
        <f t="shared" si="426"/>
        <v>20</v>
      </c>
      <c r="C2170" s="60"/>
      <c r="D2170" s="60"/>
      <c r="E2170" s="61"/>
      <c r="F2170" s="61" t="s">
        <v>511</v>
      </c>
      <c r="G2170" s="36">
        <f t="shared" ref="G2170:J2184" si="444">+G2088+G2003+G1918</f>
        <v>18981</v>
      </c>
      <c r="H2170" s="36">
        <f t="shared" si="444"/>
        <v>5583</v>
      </c>
      <c r="I2170" s="36">
        <f t="shared" si="444"/>
        <v>11370</v>
      </c>
      <c r="J2170" s="36">
        <f t="shared" si="444"/>
        <v>2250</v>
      </c>
      <c r="K2170" s="36">
        <f t="shared" si="425"/>
        <v>38184</v>
      </c>
      <c r="L2170" s="36">
        <v>27000</v>
      </c>
      <c r="M2170" s="9">
        <f t="shared" si="422"/>
        <v>0.7071024512884978</v>
      </c>
      <c r="N2170" s="5">
        <v>1</v>
      </c>
      <c r="O2170" s="10">
        <f t="shared" si="423"/>
        <v>0.7071024512884978</v>
      </c>
    </row>
    <row r="2171" spans="2:15" ht="13.5" customHeight="1">
      <c r="B2171" s="33">
        <f t="shared" si="426"/>
        <v>21</v>
      </c>
      <c r="C2171" s="60"/>
      <c r="D2171" s="60"/>
      <c r="E2171" s="61"/>
      <c r="F2171" s="61" t="s">
        <v>511</v>
      </c>
      <c r="G2171" s="36">
        <f t="shared" si="444"/>
        <v>18981</v>
      </c>
      <c r="H2171" s="36">
        <f t="shared" si="444"/>
        <v>5583</v>
      </c>
      <c r="I2171" s="36">
        <f t="shared" si="444"/>
        <v>11370</v>
      </c>
      <c r="J2171" s="36">
        <f t="shared" si="444"/>
        <v>2250</v>
      </c>
      <c r="K2171" s="36">
        <f t="shared" si="425"/>
        <v>38184</v>
      </c>
      <c r="L2171" s="36">
        <v>27000</v>
      </c>
      <c r="M2171" s="9">
        <f t="shared" si="422"/>
        <v>0.7071024512884978</v>
      </c>
      <c r="N2171" s="5">
        <v>1</v>
      </c>
      <c r="O2171" s="10">
        <f t="shared" si="423"/>
        <v>0.7071024512884978</v>
      </c>
    </row>
    <row r="2172" spans="2:15" ht="13.5" customHeight="1">
      <c r="B2172" s="33">
        <f t="shared" si="426"/>
        <v>22</v>
      </c>
      <c r="C2172" s="60"/>
      <c r="D2172" s="60"/>
      <c r="E2172" s="61"/>
      <c r="F2172" s="61" t="s">
        <v>511</v>
      </c>
      <c r="G2172" s="36">
        <f t="shared" si="444"/>
        <v>17982</v>
      </c>
      <c r="H2172" s="36">
        <f t="shared" si="444"/>
        <v>5583</v>
      </c>
      <c r="I2172" s="36">
        <f t="shared" si="444"/>
        <v>11370</v>
      </c>
      <c r="J2172" s="36">
        <f t="shared" si="444"/>
        <v>2250</v>
      </c>
      <c r="K2172" s="36">
        <f t="shared" si="425"/>
        <v>37185</v>
      </c>
      <c r="L2172" s="36">
        <v>27000</v>
      </c>
      <c r="M2172" s="9">
        <f t="shared" si="422"/>
        <v>0.72609923356192008</v>
      </c>
      <c r="N2172" s="5">
        <v>1</v>
      </c>
      <c r="O2172" s="10">
        <f t="shared" si="423"/>
        <v>0.72609923356192008</v>
      </c>
    </row>
    <row r="2173" spans="2:15" ht="13.5" customHeight="1">
      <c r="B2173" s="33">
        <f t="shared" si="426"/>
        <v>23</v>
      </c>
      <c r="C2173" s="60"/>
      <c r="D2173" s="60"/>
      <c r="E2173" s="61"/>
      <c r="F2173" s="61" t="s">
        <v>511</v>
      </c>
      <c r="G2173" s="36">
        <f t="shared" si="444"/>
        <v>18981</v>
      </c>
      <c r="H2173" s="36">
        <f t="shared" si="444"/>
        <v>5583</v>
      </c>
      <c r="I2173" s="36">
        <f t="shared" si="444"/>
        <v>11370</v>
      </c>
      <c r="J2173" s="36">
        <f t="shared" si="444"/>
        <v>2250</v>
      </c>
      <c r="K2173" s="36">
        <f t="shared" si="425"/>
        <v>38184</v>
      </c>
      <c r="L2173" s="36">
        <v>27000</v>
      </c>
      <c r="M2173" s="9">
        <f t="shared" si="422"/>
        <v>0.7071024512884978</v>
      </c>
      <c r="N2173" s="5">
        <v>1</v>
      </c>
      <c r="O2173" s="10">
        <f t="shared" si="423"/>
        <v>0.7071024512884978</v>
      </c>
    </row>
    <row r="2174" spans="2:15" ht="13.5" customHeight="1">
      <c r="B2174" s="33">
        <f t="shared" si="426"/>
        <v>24</v>
      </c>
      <c r="C2174" s="60"/>
      <c r="D2174" s="60"/>
      <c r="E2174" s="61"/>
      <c r="F2174" s="61" t="s">
        <v>511</v>
      </c>
      <c r="G2174" s="36">
        <f t="shared" si="444"/>
        <v>18981</v>
      </c>
      <c r="H2174" s="36">
        <f t="shared" si="444"/>
        <v>5583</v>
      </c>
      <c r="I2174" s="36">
        <f t="shared" si="444"/>
        <v>11370</v>
      </c>
      <c r="J2174" s="36">
        <f t="shared" si="444"/>
        <v>2250</v>
      </c>
      <c r="K2174" s="36">
        <f t="shared" si="425"/>
        <v>38184</v>
      </c>
      <c r="L2174" s="36">
        <v>27000</v>
      </c>
      <c r="M2174" s="9">
        <f t="shared" si="422"/>
        <v>0.7071024512884978</v>
      </c>
      <c r="N2174" s="5">
        <v>1</v>
      </c>
      <c r="O2174" s="10">
        <f t="shared" si="423"/>
        <v>0.7071024512884978</v>
      </c>
    </row>
    <row r="2175" spans="2:15" ht="13.5" customHeight="1">
      <c r="B2175" s="33">
        <f t="shared" si="426"/>
        <v>25</v>
      </c>
      <c r="C2175" s="60"/>
      <c r="D2175" s="60"/>
      <c r="E2175" s="61"/>
      <c r="F2175" s="61" t="s">
        <v>511</v>
      </c>
      <c r="G2175" s="36">
        <f t="shared" si="444"/>
        <v>18981</v>
      </c>
      <c r="H2175" s="36">
        <f t="shared" si="444"/>
        <v>5583</v>
      </c>
      <c r="I2175" s="36">
        <f t="shared" si="444"/>
        <v>11370</v>
      </c>
      <c r="J2175" s="36">
        <f t="shared" si="444"/>
        <v>2250</v>
      </c>
      <c r="K2175" s="36">
        <f t="shared" si="425"/>
        <v>38184</v>
      </c>
      <c r="L2175" s="36">
        <v>27000</v>
      </c>
      <c r="M2175" s="9">
        <f t="shared" si="422"/>
        <v>0.7071024512884978</v>
      </c>
      <c r="N2175" s="5">
        <v>1</v>
      </c>
      <c r="O2175" s="10">
        <f t="shared" si="423"/>
        <v>0.7071024512884978</v>
      </c>
    </row>
    <row r="2176" spans="2:15" ht="13.5" customHeight="1">
      <c r="B2176" s="33">
        <f t="shared" si="426"/>
        <v>26</v>
      </c>
      <c r="C2176" s="60"/>
      <c r="D2176" s="60"/>
      <c r="E2176" s="61"/>
      <c r="F2176" s="61" t="s">
        <v>511</v>
      </c>
      <c r="G2176" s="36">
        <f t="shared" si="444"/>
        <v>18981</v>
      </c>
      <c r="H2176" s="36">
        <f t="shared" si="444"/>
        <v>5583</v>
      </c>
      <c r="I2176" s="36">
        <f t="shared" si="444"/>
        <v>11370</v>
      </c>
      <c r="J2176" s="36">
        <f t="shared" si="444"/>
        <v>2250</v>
      </c>
      <c r="K2176" s="36">
        <f t="shared" si="425"/>
        <v>38184</v>
      </c>
      <c r="L2176" s="36">
        <v>27000</v>
      </c>
      <c r="M2176" s="9">
        <f t="shared" si="422"/>
        <v>0.7071024512884978</v>
      </c>
      <c r="N2176" s="5">
        <v>1</v>
      </c>
      <c r="O2176" s="10">
        <f t="shared" si="423"/>
        <v>0.7071024512884978</v>
      </c>
    </row>
    <row r="2177" spans="2:15" ht="13.5" customHeight="1">
      <c r="B2177" s="33">
        <f t="shared" si="426"/>
        <v>27</v>
      </c>
      <c r="C2177" s="60"/>
      <c r="D2177" s="60"/>
      <c r="E2177" s="61"/>
      <c r="F2177" s="61" t="s">
        <v>511</v>
      </c>
      <c r="G2177" s="36">
        <f t="shared" si="444"/>
        <v>20313</v>
      </c>
      <c r="H2177" s="36">
        <f t="shared" si="444"/>
        <v>5583</v>
      </c>
      <c r="I2177" s="36">
        <f t="shared" si="444"/>
        <v>11370</v>
      </c>
      <c r="J2177" s="36">
        <f t="shared" si="444"/>
        <v>2250</v>
      </c>
      <c r="K2177" s="36">
        <f t="shared" si="425"/>
        <v>39516</v>
      </c>
      <c r="L2177" s="36">
        <v>27000</v>
      </c>
      <c r="M2177" s="9">
        <f t="shared" si="422"/>
        <v>0.68326753720012146</v>
      </c>
      <c r="N2177" s="5">
        <v>1</v>
      </c>
      <c r="O2177" s="10">
        <f t="shared" si="423"/>
        <v>0.68326753720012146</v>
      </c>
    </row>
    <row r="2178" spans="2:15" ht="13.5" customHeight="1">
      <c r="B2178" s="33">
        <f t="shared" si="426"/>
        <v>28</v>
      </c>
      <c r="C2178" s="60"/>
      <c r="D2178" s="60"/>
      <c r="E2178" s="61"/>
      <c r="F2178" s="61" t="s">
        <v>511</v>
      </c>
      <c r="G2178" s="36">
        <f t="shared" si="444"/>
        <v>18981</v>
      </c>
      <c r="H2178" s="36">
        <f t="shared" si="444"/>
        <v>5583</v>
      </c>
      <c r="I2178" s="36">
        <f t="shared" si="444"/>
        <v>11370</v>
      </c>
      <c r="J2178" s="36">
        <f t="shared" si="444"/>
        <v>2250</v>
      </c>
      <c r="K2178" s="36">
        <f t="shared" si="425"/>
        <v>38184</v>
      </c>
      <c r="L2178" s="36">
        <v>27000</v>
      </c>
      <c r="M2178" s="9">
        <f t="shared" si="422"/>
        <v>0.7071024512884978</v>
      </c>
      <c r="N2178" s="5">
        <v>1</v>
      </c>
      <c r="O2178" s="10">
        <f t="shared" si="423"/>
        <v>0.7071024512884978</v>
      </c>
    </row>
    <row r="2179" spans="2:15" ht="13.5" customHeight="1">
      <c r="B2179" s="33">
        <f t="shared" si="426"/>
        <v>29</v>
      </c>
      <c r="C2179" s="60"/>
      <c r="D2179" s="60"/>
      <c r="E2179" s="61"/>
      <c r="F2179" s="61" t="s">
        <v>511</v>
      </c>
      <c r="G2179" s="36">
        <f t="shared" si="444"/>
        <v>18981</v>
      </c>
      <c r="H2179" s="36">
        <f t="shared" si="444"/>
        <v>5583</v>
      </c>
      <c r="I2179" s="36">
        <f t="shared" si="444"/>
        <v>11370</v>
      </c>
      <c r="J2179" s="36">
        <f t="shared" si="444"/>
        <v>2250</v>
      </c>
      <c r="K2179" s="36">
        <f t="shared" si="425"/>
        <v>38184</v>
      </c>
      <c r="L2179" s="36">
        <v>27000</v>
      </c>
      <c r="M2179" s="9">
        <f t="shared" si="422"/>
        <v>0.7071024512884978</v>
      </c>
      <c r="N2179" s="5">
        <v>1</v>
      </c>
      <c r="O2179" s="10">
        <f t="shared" si="423"/>
        <v>0.7071024512884978</v>
      </c>
    </row>
    <row r="2180" spans="2:15" ht="13.5" customHeight="1">
      <c r="B2180" s="33">
        <f t="shared" si="426"/>
        <v>30</v>
      </c>
      <c r="C2180" s="60"/>
      <c r="D2180" s="60"/>
      <c r="E2180" s="61"/>
      <c r="F2180" s="61" t="s">
        <v>511</v>
      </c>
      <c r="G2180" s="36">
        <f t="shared" si="444"/>
        <v>19314</v>
      </c>
      <c r="H2180" s="36">
        <f t="shared" si="444"/>
        <v>5583</v>
      </c>
      <c r="I2180" s="36">
        <f t="shared" si="444"/>
        <v>11370</v>
      </c>
      <c r="J2180" s="36">
        <f t="shared" si="444"/>
        <v>2250</v>
      </c>
      <c r="K2180" s="36">
        <f t="shared" si="425"/>
        <v>38517</v>
      </c>
      <c r="L2180" s="36">
        <v>27000</v>
      </c>
      <c r="M2180" s="9">
        <f t="shared" si="422"/>
        <v>0.70098917361165203</v>
      </c>
      <c r="N2180" s="5">
        <v>1</v>
      </c>
      <c r="O2180" s="10">
        <f t="shared" si="423"/>
        <v>0.70098917361165203</v>
      </c>
    </row>
    <row r="2181" spans="2:15" ht="13.5" customHeight="1">
      <c r="B2181" s="33">
        <f t="shared" si="426"/>
        <v>31</v>
      </c>
      <c r="C2181" s="60"/>
      <c r="D2181" s="60"/>
      <c r="E2181" s="61"/>
      <c r="F2181" s="61" t="s">
        <v>511</v>
      </c>
      <c r="G2181" s="36">
        <f t="shared" si="444"/>
        <v>18981</v>
      </c>
      <c r="H2181" s="36">
        <f t="shared" si="444"/>
        <v>5583</v>
      </c>
      <c r="I2181" s="36">
        <f t="shared" si="444"/>
        <v>11370</v>
      </c>
      <c r="J2181" s="36">
        <f t="shared" si="444"/>
        <v>2250</v>
      </c>
      <c r="K2181" s="36">
        <f t="shared" si="425"/>
        <v>38184</v>
      </c>
      <c r="L2181" s="36">
        <v>27000</v>
      </c>
      <c r="M2181" s="9">
        <f t="shared" si="422"/>
        <v>0.7071024512884978</v>
      </c>
      <c r="N2181" s="5">
        <v>1</v>
      </c>
      <c r="O2181" s="10">
        <f t="shared" si="423"/>
        <v>0.7071024512884978</v>
      </c>
    </row>
    <row r="2182" spans="2:15" ht="13.5" customHeight="1">
      <c r="B2182" s="33">
        <f t="shared" si="426"/>
        <v>32</v>
      </c>
      <c r="C2182" s="60"/>
      <c r="D2182" s="60"/>
      <c r="E2182" s="61"/>
      <c r="F2182" s="61" t="s">
        <v>511</v>
      </c>
      <c r="G2182" s="36">
        <f t="shared" si="444"/>
        <v>18981</v>
      </c>
      <c r="H2182" s="36">
        <f t="shared" si="444"/>
        <v>5583</v>
      </c>
      <c r="I2182" s="36">
        <f t="shared" si="444"/>
        <v>11370</v>
      </c>
      <c r="J2182" s="36">
        <f t="shared" si="444"/>
        <v>2250</v>
      </c>
      <c r="K2182" s="36">
        <f t="shared" si="425"/>
        <v>38184</v>
      </c>
      <c r="L2182" s="36">
        <v>27000</v>
      </c>
      <c r="M2182" s="9">
        <f t="shared" si="422"/>
        <v>0.7071024512884978</v>
      </c>
      <c r="N2182" s="5">
        <v>1</v>
      </c>
      <c r="O2182" s="10">
        <f t="shared" si="423"/>
        <v>0.7071024512884978</v>
      </c>
    </row>
    <row r="2183" spans="2:15" ht="13.5" customHeight="1">
      <c r="B2183" s="33">
        <f t="shared" si="426"/>
        <v>33</v>
      </c>
      <c r="C2183" s="60"/>
      <c r="D2183" s="60"/>
      <c r="E2183" s="61"/>
      <c r="F2183" s="61" t="s">
        <v>511</v>
      </c>
      <c r="G2183" s="36">
        <f t="shared" si="444"/>
        <v>18981</v>
      </c>
      <c r="H2183" s="36">
        <f t="shared" si="444"/>
        <v>5583</v>
      </c>
      <c r="I2183" s="36">
        <f t="shared" si="444"/>
        <v>11370</v>
      </c>
      <c r="J2183" s="36">
        <f t="shared" si="444"/>
        <v>2250</v>
      </c>
      <c r="K2183" s="36">
        <f t="shared" si="425"/>
        <v>38184</v>
      </c>
      <c r="L2183" s="36">
        <v>27000</v>
      </c>
      <c r="M2183" s="9">
        <f t="shared" si="422"/>
        <v>0.7071024512884978</v>
      </c>
      <c r="N2183" s="5">
        <v>1</v>
      </c>
      <c r="O2183" s="10">
        <f t="shared" si="423"/>
        <v>0.7071024512884978</v>
      </c>
    </row>
    <row r="2184" spans="2:15" ht="13.5" customHeight="1">
      <c r="B2184" s="33">
        <f t="shared" si="426"/>
        <v>34</v>
      </c>
      <c r="C2184" s="60"/>
      <c r="D2184" s="60"/>
      <c r="E2184" s="61"/>
      <c r="F2184" s="61" t="s">
        <v>445</v>
      </c>
      <c r="G2184" s="36">
        <f t="shared" si="444"/>
        <v>15651</v>
      </c>
      <c r="H2184" s="36">
        <f t="shared" si="444"/>
        <v>5583</v>
      </c>
      <c r="I2184" s="36">
        <f t="shared" si="444"/>
        <v>9720</v>
      </c>
      <c r="J2184" s="36">
        <f t="shared" si="444"/>
        <v>2250</v>
      </c>
      <c r="K2184" s="36">
        <f t="shared" si="425"/>
        <v>33204</v>
      </c>
      <c r="L2184" s="36">
        <v>27000</v>
      </c>
      <c r="M2184" s="9">
        <f t="shared" si="422"/>
        <v>0.81315504156125773</v>
      </c>
      <c r="N2184" s="5">
        <v>1</v>
      </c>
      <c r="O2184" s="10">
        <f t="shared" si="423"/>
        <v>0.81315504156125773</v>
      </c>
    </row>
    <row r="2185" spans="2:15" ht="13.5" customHeight="1">
      <c r="B2185" s="33">
        <f t="shared" si="426"/>
        <v>35</v>
      </c>
      <c r="C2185" s="60"/>
      <c r="D2185" s="60"/>
      <c r="E2185" s="61"/>
      <c r="F2185" s="61" t="s">
        <v>445</v>
      </c>
      <c r="G2185" s="36">
        <f t="shared" ref="G2185:J2203" si="445">+G2104+G2019+G1934</f>
        <v>12987</v>
      </c>
      <c r="H2185" s="36">
        <f t="shared" si="445"/>
        <v>5583</v>
      </c>
      <c r="I2185" s="36">
        <f t="shared" si="445"/>
        <v>9720</v>
      </c>
      <c r="J2185" s="36">
        <f t="shared" si="445"/>
        <v>2250</v>
      </c>
      <c r="K2185" s="36">
        <f t="shared" si="425"/>
        <v>30540</v>
      </c>
      <c r="L2185" s="36">
        <v>27000</v>
      </c>
      <c r="M2185" s="9">
        <f t="shared" si="422"/>
        <v>0.88408644400785852</v>
      </c>
      <c r="N2185" s="5">
        <v>1</v>
      </c>
      <c r="O2185" s="10">
        <f t="shared" si="423"/>
        <v>0.88408644400785852</v>
      </c>
    </row>
    <row r="2186" spans="2:15" ht="13.5" customHeight="1">
      <c r="B2186" s="33">
        <f t="shared" si="426"/>
        <v>36</v>
      </c>
      <c r="C2186" s="60"/>
      <c r="D2186" s="60"/>
      <c r="E2186" s="61"/>
      <c r="F2186" s="61" t="s">
        <v>418</v>
      </c>
      <c r="G2186" s="36">
        <f t="shared" si="445"/>
        <v>7500</v>
      </c>
      <c r="H2186" s="36">
        <f t="shared" si="445"/>
        <v>5583</v>
      </c>
      <c r="I2186" s="36">
        <f t="shared" si="445"/>
        <v>9720</v>
      </c>
      <c r="J2186" s="36">
        <f t="shared" si="445"/>
        <v>2250</v>
      </c>
      <c r="K2186" s="36">
        <f t="shared" si="425"/>
        <v>25053</v>
      </c>
      <c r="L2186" s="36">
        <v>27000</v>
      </c>
      <c r="M2186" s="9">
        <f t="shared" si="422"/>
        <v>1.0777152436833912</v>
      </c>
      <c r="N2186" s="5">
        <v>1</v>
      </c>
      <c r="O2186" s="10">
        <f t="shared" si="423"/>
        <v>1</v>
      </c>
    </row>
    <row r="2187" spans="2:15" ht="13.5" customHeight="1">
      <c r="B2187" s="33">
        <f t="shared" si="426"/>
        <v>37</v>
      </c>
      <c r="C2187" s="60"/>
      <c r="D2187" s="60"/>
      <c r="E2187" s="61"/>
      <c r="F2187" s="61" t="s">
        <v>418</v>
      </c>
      <c r="G2187" s="36">
        <f t="shared" si="445"/>
        <v>7500</v>
      </c>
      <c r="H2187" s="36">
        <f t="shared" si="445"/>
        <v>5583</v>
      </c>
      <c r="I2187" s="36">
        <f t="shared" si="445"/>
        <v>9720</v>
      </c>
      <c r="J2187" s="36">
        <f t="shared" si="445"/>
        <v>2250</v>
      </c>
      <c r="K2187" s="36">
        <f t="shared" si="425"/>
        <v>25053</v>
      </c>
      <c r="L2187" s="36">
        <v>27000</v>
      </c>
      <c r="M2187" s="9">
        <f t="shared" si="422"/>
        <v>1.0777152436833912</v>
      </c>
      <c r="N2187" s="5">
        <v>1</v>
      </c>
      <c r="O2187" s="10">
        <f t="shared" si="423"/>
        <v>1</v>
      </c>
    </row>
    <row r="2188" spans="2:15" ht="13.5" customHeight="1">
      <c r="B2188" s="33">
        <f t="shared" si="426"/>
        <v>38</v>
      </c>
      <c r="C2188" s="60"/>
      <c r="D2188" s="60"/>
      <c r="E2188" s="61"/>
      <c r="F2188" s="61" t="s">
        <v>31</v>
      </c>
      <c r="G2188" s="36">
        <f t="shared" si="445"/>
        <v>20979</v>
      </c>
      <c r="H2188" s="36">
        <f t="shared" si="445"/>
        <v>5583</v>
      </c>
      <c r="I2188" s="36">
        <f t="shared" si="445"/>
        <v>11370</v>
      </c>
      <c r="J2188" s="36">
        <f t="shared" si="445"/>
        <v>2700</v>
      </c>
      <c r="K2188" s="36">
        <f t="shared" si="425"/>
        <v>40632</v>
      </c>
      <c r="L2188" s="36">
        <v>27000</v>
      </c>
      <c r="M2188" s="9">
        <f t="shared" si="422"/>
        <v>0.66450088600118129</v>
      </c>
      <c r="N2188" s="5">
        <v>1</v>
      </c>
      <c r="O2188" s="10">
        <f t="shared" si="423"/>
        <v>0.66450088600118129</v>
      </c>
    </row>
    <row r="2189" spans="2:15" ht="13.5" customHeight="1">
      <c r="B2189" s="33">
        <f t="shared" si="426"/>
        <v>39</v>
      </c>
      <c r="C2189" s="60"/>
      <c r="D2189" s="60"/>
      <c r="E2189" s="61"/>
      <c r="F2189" s="61" t="s">
        <v>31</v>
      </c>
      <c r="G2189" s="36">
        <f t="shared" si="445"/>
        <v>20979</v>
      </c>
      <c r="H2189" s="36">
        <f t="shared" si="445"/>
        <v>5583</v>
      </c>
      <c r="I2189" s="36">
        <f t="shared" si="445"/>
        <v>11370</v>
      </c>
      <c r="J2189" s="36">
        <f t="shared" si="445"/>
        <v>2700</v>
      </c>
      <c r="K2189" s="36">
        <f t="shared" si="425"/>
        <v>40632</v>
      </c>
      <c r="L2189" s="36">
        <v>27000</v>
      </c>
      <c r="M2189" s="9">
        <f t="shared" si="422"/>
        <v>0.66450088600118129</v>
      </c>
      <c r="N2189" s="5">
        <v>1</v>
      </c>
      <c r="O2189" s="10">
        <f t="shared" si="423"/>
        <v>0.66450088600118129</v>
      </c>
    </row>
    <row r="2190" spans="2:15" ht="13.5" customHeight="1">
      <c r="B2190" s="33">
        <f t="shared" si="426"/>
        <v>40</v>
      </c>
      <c r="C2190" s="60"/>
      <c r="D2190" s="60"/>
      <c r="E2190" s="61"/>
      <c r="F2190" s="61" t="s">
        <v>31</v>
      </c>
      <c r="G2190" s="36">
        <f t="shared" si="445"/>
        <v>20979</v>
      </c>
      <c r="H2190" s="36">
        <f t="shared" si="445"/>
        <v>5583</v>
      </c>
      <c r="I2190" s="36">
        <f t="shared" si="445"/>
        <v>11370</v>
      </c>
      <c r="J2190" s="36">
        <f t="shared" si="445"/>
        <v>2700</v>
      </c>
      <c r="K2190" s="36">
        <f t="shared" si="425"/>
        <v>40632</v>
      </c>
      <c r="L2190" s="36">
        <v>27000</v>
      </c>
      <c r="M2190" s="9">
        <f t="shared" si="422"/>
        <v>0.66450088600118129</v>
      </c>
      <c r="N2190" s="5">
        <v>1</v>
      </c>
      <c r="O2190" s="10">
        <f t="shared" si="423"/>
        <v>0.66450088600118129</v>
      </c>
    </row>
    <row r="2191" spans="2:15" ht="13.5" customHeight="1">
      <c r="B2191" s="33">
        <f t="shared" si="426"/>
        <v>41</v>
      </c>
      <c r="C2191" s="60"/>
      <c r="D2191" s="60"/>
      <c r="E2191" s="61"/>
      <c r="F2191" s="61" t="s">
        <v>31</v>
      </c>
      <c r="G2191" s="36">
        <f t="shared" si="445"/>
        <v>20979</v>
      </c>
      <c r="H2191" s="36">
        <f t="shared" si="445"/>
        <v>5583</v>
      </c>
      <c r="I2191" s="36">
        <f t="shared" si="445"/>
        <v>11370</v>
      </c>
      <c r="J2191" s="36">
        <f t="shared" si="445"/>
        <v>2700</v>
      </c>
      <c r="K2191" s="36">
        <f t="shared" si="425"/>
        <v>40632</v>
      </c>
      <c r="L2191" s="36">
        <v>27000</v>
      </c>
      <c r="M2191" s="9">
        <f t="shared" si="422"/>
        <v>0.66450088600118129</v>
      </c>
      <c r="N2191" s="5">
        <v>1</v>
      </c>
      <c r="O2191" s="10">
        <f t="shared" si="423"/>
        <v>0.66450088600118129</v>
      </c>
    </row>
    <row r="2192" spans="2:15" ht="13.5" customHeight="1">
      <c r="B2192" s="33">
        <f t="shared" si="426"/>
        <v>42</v>
      </c>
      <c r="C2192" s="60"/>
      <c r="D2192" s="60"/>
      <c r="E2192" s="61"/>
      <c r="F2192" s="61" t="s">
        <v>31</v>
      </c>
      <c r="G2192" s="36">
        <f t="shared" si="445"/>
        <v>19980</v>
      </c>
      <c r="H2192" s="36">
        <f t="shared" si="445"/>
        <v>5583</v>
      </c>
      <c r="I2192" s="36">
        <f t="shared" si="445"/>
        <v>11370</v>
      </c>
      <c r="J2192" s="36">
        <f t="shared" si="445"/>
        <v>2700</v>
      </c>
      <c r="K2192" s="36">
        <f t="shared" si="425"/>
        <v>39633</v>
      </c>
      <c r="L2192" s="36">
        <v>27000</v>
      </c>
      <c r="M2192" s="9">
        <f t="shared" si="422"/>
        <v>0.68125047309060627</v>
      </c>
      <c r="N2192" s="5">
        <v>1</v>
      </c>
      <c r="O2192" s="10">
        <f t="shared" si="423"/>
        <v>0.68125047309060627</v>
      </c>
    </row>
    <row r="2193" spans="2:15" ht="13.5" customHeight="1">
      <c r="B2193" s="33">
        <f t="shared" si="426"/>
        <v>43</v>
      </c>
      <c r="C2193" s="60"/>
      <c r="D2193" s="60"/>
      <c r="E2193" s="61"/>
      <c r="F2193" s="61" t="s">
        <v>31</v>
      </c>
      <c r="G2193" s="36">
        <f t="shared" si="445"/>
        <v>20979</v>
      </c>
      <c r="H2193" s="36">
        <f t="shared" si="445"/>
        <v>5583</v>
      </c>
      <c r="I2193" s="36">
        <f t="shared" si="445"/>
        <v>11370</v>
      </c>
      <c r="J2193" s="36">
        <f t="shared" si="445"/>
        <v>2700</v>
      </c>
      <c r="K2193" s="36">
        <f t="shared" si="425"/>
        <v>40632</v>
      </c>
      <c r="L2193" s="36">
        <v>27000</v>
      </c>
      <c r="M2193" s="9">
        <f t="shared" si="422"/>
        <v>0.66450088600118129</v>
      </c>
      <c r="N2193" s="5">
        <v>1</v>
      </c>
      <c r="O2193" s="10">
        <f t="shared" si="423"/>
        <v>0.66450088600118129</v>
      </c>
    </row>
    <row r="2194" spans="2:15" ht="13.5" customHeight="1">
      <c r="B2194" s="33">
        <f t="shared" si="426"/>
        <v>44</v>
      </c>
      <c r="C2194" s="60"/>
      <c r="D2194" s="60"/>
      <c r="E2194" s="61"/>
      <c r="F2194" s="61" t="s">
        <v>31</v>
      </c>
      <c r="G2194" s="36">
        <f t="shared" si="445"/>
        <v>20979</v>
      </c>
      <c r="H2194" s="36">
        <f t="shared" si="445"/>
        <v>5583</v>
      </c>
      <c r="I2194" s="36">
        <f t="shared" si="445"/>
        <v>11370</v>
      </c>
      <c r="J2194" s="36">
        <f t="shared" si="445"/>
        <v>2700</v>
      </c>
      <c r="K2194" s="36">
        <f t="shared" si="425"/>
        <v>40632</v>
      </c>
      <c r="L2194" s="36">
        <v>27000</v>
      </c>
      <c r="M2194" s="9">
        <f t="shared" si="422"/>
        <v>0.66450088600118129</v>
      </c>
      <c r="N2194" s="5">
        <v>1</v>
      </c>
      <c r="O2194" s="10">
        <f t="shared" si="423"/>
        <v>0.66450088600118129</v>
      </c>
    </row>
    <row r="2195" spans="2:15" ht="13.5" customHeight="1">
      <c r="B2195" s="33">
        <f t="shared" si="426"/>
        <v>45</v>
      </c>
      <c r="C2195" s="60"/>
      <c r="D2195" s="60"/>
      <c r="E2195" s="61"/>
      <c r="F2195" s="61" t="s">
        <v>26</v>
      </c>
      <c r="G2195" s="36">
        <f t="shared" si="445"/>
        <v>19980</v>
      </c>
      <c r="H2195" s="36">
        <f t="shared" si="445"/>
        <v>5583</v>
      </c>
      <c r="I2195" s="36">
        <f t="shared" si="445"/>
        <v>9720</v>
      </c>
      <c r="J2195" s="36">
        <f t="shared" si="445"/>
        <v>4500</v>
      </c>
      <c r="K2195" s="36">
        <f t="shared" si="425"/>
        <v>39783</v>
      </c>
      <c r="L2195" s="36">
        <v>27000</v>
      </c>
      <c r="M2195" s="9">
        <f t="shared" si="422"/>
        <v>0.67868184903099316</v>
      </c>
      <c r="N2195" s="5">
        <v>1</v>
      </c>
      <c r="O2195" s="10">
        <f t="shared" si="423"/>
        <v>0.67868184903099316</v>
      </c>
    </row>
    <row r="2196" spans="2:15" ht="13.5" customHeight="1">
      <c r="B2196" s="33">
        <f t="shared" si="426"/>
        <v>46</v>
      </c>
      <c r="C2196" s="60"/>
      <c r="D2196" s="60"/>
      <c r="E2196" s="61"/>
      <c r="F2196" s="61" t="s">
        <v>26</v>
      </c>
      <c r="G2196" s="36">
        <f t="shared" si="445"/>
        <v>18315</v>
      </c>
      <c r="H2196" s="36">
        <f t="shared" si="445"/>
        <v>5583</v>
      </c>
      <c r="I2196" s="36">
        <f t="shared" si="445"/>
        <v>9720</v>
      </c>
      <c r="J2196" s="36">
        <f t="shared" si="445"/>
        <v>4500</v>
      </c>
      <c r="K2196" s="36">
        <f t="shared" si="425"/>
        <v>38118</v>
      </c>
      <c r="L2196" s="36">
        <v>27000</v>
      </c>
      <c r="M2196" s="9">
        <f t="shared" si="422"/>
        <v>0.70832677475208561</v>
      </c>
      <c r="N2196" s="5">
        <v>1</v>
      </c>
      <c r="O2196" s="10">
        <f t="shared" si="423"/>
        <v>0.70832677475208561</v>
      </c>
    </row>
    <row r="2197" spans="2:15" ht="13.5" customHeight="1">
      <c r="B2197" s="33">
        <f t="shared" si="426"/>
        <v>47</v>
      </c>
      <c r="C2197" s="60"/>
      <c r="D2197" s="60"/>
      <c r="E2197" s="61"/>
      <c r="F2197" s="61" t="s">
        <v>26</v>
      </c>
      <c r="G2197" s="36">
        <f t="shared" si="445"/>
        <v>19980</v>
      </c>
      <c r="H2197" s="36">
        <f t="shared" si="445"/>
        <v>5583</v>
      </c>
      <c r="I2197" s="36">
        <f t="shared" si="445"/>
        <v>9720</v>
      </c>
      <c r="J2197" s="36">
        <f t="shared" si="445"/>
        <v>4500</v>
      </c>
      <c r="K2197" s="36">
        <f t="shared" si="425"/>
        <v>39783</v>
      </c>
      <c r="L2197" s="36">
        <v>27000</v>
      </c>
      <c r="M2197" s="9">
        <f t="shared" si="422"/>
        <v>0.67868184903099316</v>
      </c>
      <c r="N2197" s="5">
        <v>1</v>
      </c>
      <c r="O2197" s="10">
        <f t="shared" si="423"/>
        <v>0.67868184903099316</v>
      </c>
    </row>
    <row r="2198" spans="2:15" ht="13.5" customHeight="1">
      <c r="B2198" s="33">
        <f t="shared" si="426"/>
        <v>48</v>
      </c>
      <c r="C2198" s="60"/>
      <c r="D2198" s="60"/>
      <c r="E2198" s="61"/>
      <c r="F2198" s="61" t="s">
        <v>26</v>
      </c>
      <c r="G2198" s="36">
        <f t="shared" si="445"/>
        <v>19980</v>
      </c>
      <c r="H2198" s="36">
        <f t="shared" si="445"/>
        <v>5583</v>
      </c>
      <c r="I2198" s="36">
        <f t="shared" si="445"/>
        <v>9720</v>
      </c>
      <c r="J2198" s="36">
        <f t="shared" si="445"/>
        <v>4500</v>
      </c>
      <c r="K2198" s="36">
        <f t="shared" si="425"/>
        <v>39783</v>
      </c>
      <c r="L2198" s="36">
        <v>27000</v>
      </c>
      <c r="M2198" s="9">
        <f t="shared" si="422"/>
        <v>0.67868184903099316</v>
      </c>
      <c r="N2198" s="5">
        <v>1</v>
      </c>
      <c r="O2198" s="10">
        <f t="shared" si="423"/>
        <v>0.67868184903099316</v>
      </c>
    </row>
    <row r="2199" spans="2:15" ht="13.5" customHeight="1">
      <c r="B2199" s="33">
        <f t="shared" si="426"/>
        <v>49</v>
      </c>
      <c r="C2199" s="60"/>
      <c r="D2199" s="60"/>
      <c r="E2199" s="61"/>
      <c r="F2199" s="61" t="s">
        <v>26</v>
      </c>
      <c r="G2199" s="36">
        <f t="shared" si="445"/>
        <v>19980</v>
      </c>
      <c r="H2199" s="36">
        <f t="shared" si="445"/>
        <v>5583</v>
      </c>
      <c r="I2199" s="36">
        <f t="shared" si="445"/>
        <v>9720</v>
      </c>
      <c r="J2199" s="36">
        <f t="shared" si="445"/>
        <v>4500</v>
      </c>
      <c r="K2199" s="36">
        <f t="shared" si="425"/>
        <v>39783</v>
      </c>
      <c r="L2199" s="36">
        <v>27000</v>
      </c>
      <c r="M2199" s="9">
        <f t="shared" si="422"/>
        <v>0.67868184903099316</v>
      </c>
      <c r="N2199" s="5">
        <v>1</v>
      </c>
      <c r="O2199" s="10">
        <f t="shared" si="423"/>
        <v>0.67868184903099316</v>
      </c>
    </row>
    <row r="2200" spans="2:15" ht="13.5" customHeight="1">
      <c r="B2200" s="33">
        <f t="shared" si="426"/>
        <v>50</v>
      </c>
      <c r="C2200" s="60"/>
      <c r="D2200" s="60"/>
      <c r="E2200" s="61"/>
      <c r="F2200" s="61" t="s">
        <v>26</v>
      </c>
      <c r="G2200" s="36">
        <f t="shared" si="445"/>
        <v>19980</v>
      </c>
      <c r="H2200" s="36">
        <f t="shared" si="445"/>
        <v>5583</v>
      </c>
      <c r="I2200" s="36">
        <f t="shared" si="445"/>
        <v>9720</v>
      </c>
      <c r="J2200" s="36">
        <f t="shared" si="445"/>
        <v>4500</v>
      </c>
      <c r="K2200" s="36">
        <f t="shared" si="425"/>
        <v>39783</v>
      </c>
      <c r="L2200" s="36">
        <v>27000</v>
      </c>
      <c r="M2200" s="9">
        <f t="shared" si="422"/>
        <v>0.67868184903099316</v>
      </c>
      <c r="N2200" s="5">
        <v>1</v>
      </c>
      <c r="O2200" s="10">
        <f t="shared" si="423"/>
        <v>0.67868184903099316</v>
      </c>
    </row>
    <row r="2201" spans="2:15" ht="13.5" customHeight="1">
      <c r="B2201" s="33">
        <f t="shared" si="426"/>
        <v>51</v>
      </c>
      <c r="C2201" s="60"/>
      <c r="D2201" s="60"/>
      <c r="E2201" s="61"/>
      <c r="F2201" s="61" t="s">
        <v>26</v>
      </c>
      <c r="G2201" s="36">
        <f t="shared" si="445"/>
        <v>19980</v>
      </c>
      <c r="H2201" s="36">
        <f t="shared" si="445"/>
        <v>5583</v>
      </c>
      <c r="I2201" s="36">
        <f t="shared" si="445"/>
        <v>9720</v>
      </c>
      <c r="J2201" s="36">
        <f t="shared" si="445"/>
        <v>4500</v>
      </c>
      <c r="K2201" s="36">
        <f t="shared" si="425"/>
        <v>39783</v>
      </c>
      <c r="L2201" s="36">
        <v>27000</v>
      </c>
      <c r="M2201" s="9">
        <f t="shared" si="422"/>
        <v>0.67868184903099316</v>
      </c>
      <c r="N2201" s="5">
        <v>1</v>
      </c>
      <c r="O2201" s="10">
        <f t="shared" si="423"/>
        <v>0.67868184903099316</v>
      </c>
    </row>
    <row r="2202" spans="2:15" ht="13.5" customHeight="1">
      <c r="B2202" s="33">
        <f t="shared" si="426"/>
        <v>52</v>
      </c>
      <c r="C2202" s="60"/>
      <c r="D2202" s="60"/>
      <c r="E2202" s="61"/>
      <c r="F2202" s="61" t="s">
        <v>26</v>
      </c>
      <c r="G2202" s="36">
        <f t="shared" si="445"/>
        <v>17982</v>
      </c>
      <c r="H2202" s="36">
        <f t="shared" si="445"/>
        <v>5583</v>
      </c>
      <c r="I2202" s="36">
        <f t="shared" si="445"/>
        <v>9720</v>
      </c>
      <c r="J2202" s="36">
        <f t="shared" si="445"/>
        <v>4500</v>
      </c>
      <c r="K2202" s="36">
        <f t="shared" si="425"/>
        <v>37785</v>
      </c>
      <c r="L2202" s="36">
        <v>27000</v>
      </c>
      <c r="M2202" s="9">
        <f t="shared" si="422"/>
        <v>0.71456927352123856</v>
      </c>
      <c r="N2202" s="5">
        <v>1</v>
      </c>
      <c r="O2202" s="10">
        <f t="shared" si="423"/>
        <v>0.71456927352123856</v>
      </c>
    </row>
    <row r="2203" spans="2:15" ht="13.5" customHeight="1">
      <c r="B2203" s="33">
        <f t="shared" si="426"/>
        <v>53</v>
      </c>
      <c r="C2203" s="60"/>
      <c r="D2203" s="60"/>
      <c r="E2203" s="61"/>
      <c r="F2203" s="61" t="s">
        <v>26</v>
      </c>
      <c r="G2203" s="36">
        <f t="shared" si="445"/>
        <v>19980</v>
      </c>
      <c r="H2203" s="36">
        <f t="shared" si="445"/>
        <v>5583</v>
      </c>
      <c r="I2203" s="36">
        <f t="shared" si="445"/>
        <v>9720</v>
      </c>
      <c r="J2203" s="36">
        <f t="shared" si="445"/>
        <v>4500</v>
      </c>
      <c r="K2203" s="36">
        <f t="shared" si="425"/>
        <v>39783</v>
      </c>
      <c r="L2203" s="36">
        <v>27000</v>
      </c>
      <c r="M2203" s="9">
        <f t="shared" si="422"/>
        <v>0.67868184903099316</v>
      </c>
      <c r="N2203" s="5">
        <v>1</v>
      </c>
      <c r="O2203" s="10">
        <f t="shared" si="423"/>
        <v>0.67868184903099316</v>
      </c>
    </row>
    <row r="2204" spans="2:15" ht="13.5" customHeight="1">
      <c r="B2204" s="33">
        <f t="shared" si="426"/>
        <v>54</v>
      </c>
      <c r="C2204" s="60"/>
      <c r="D2204" s="60"/>
      <c r="E2204" s="61"/>
      <c r="F2204" s="61" t="s">
        <v>26</v>
      </c>
      <c r="G2204" s="36">
        <f t="shared" ref="G2204:J2228" si="446">+G2124+G2039+G1954</f>
        <v>19980</v>
      </c>
      <c r="H2204" s="36">
        <f t="shared" si="446"/>
        <v>5583</v>
      </c>
      <c r="I2204" s="36">
        <f t="shared" si="446"/>
        <v>9720</v>
      </c>
      <c r="J2204" s="36">
        <f t="shared" si="446"/>
        <v>4500</v>
      </c>
      <c r="K2204" s="36">
        <f t="shared" si="425"/>
        <v>39783</v>
      </c>
      <c r="L2204" s="36">
        <v>27000</v>
      </c>
      <c r="M2204" s="9">
        <f t="shared" si="422"/>
        <v>0.67868184903099316</v>
      </c>
      <c r="N2204" s="5">
        <v>1</v>
      </c>
      <c r="O2204" s="10">
        <f t="shared" si="423"/>
        <v>0.67868184903099316</v>
      </c>
    </row>
    <row r="2205" spans="2:15" ht="13.5" customHeight="1">
      <c r="B2205" s="33">
        <f t="shared" si="426"/>
        <v>55</v>
      </c>
      <c r="C2205" s="60"/>
      <c r="D2205" s="60"/>
      <c r="E2205" s="61"/>
      <c r="F2205" s="61" t="s">
        <v>26</v>
      </c>
      <c r="G2205" s="36">
        <f t="shared" si="446"/>
        <v>19980</v>
      </c>
      <c r="H2205" s="36">
        <f t="shared" si="446"/>
        <v>5583</v>
      </c>
      <c r="I2205" s="36">
        <f t="shared" si="446"/>
        <v>9720</v>
      </c>
      <c r="J2205" s="36">
        <f t="shared" si="446"/>
        <v>4500</v>
      </c>
      <c r="K2205" s="36">
        <f t="shared" si="425"/>
        <v>39783</v>
      </c>
      <c r="L2205" s="36">
        <v>27000</v>
      </c>
      <c r="M2205" s="9">
        <f t="shared" si="422"/>
        <v>0.67868184903099316</v>
      </c>
      <c r="N2205" s="5">
        <v>1</v>
      </c>
      <c r="O2205" s="10">
        <f t="shared" si="423"/>
        <v>0.67868184903099316</v>
      </c>
    </row>
    <row r="2206" spans="2:15" ht="13.5" customHeight="1">
      <c r="B2206" s="33">
        <f t="shared" si="426"/>
        <v>56</v>
      </c>
      <c r="C2206" s="60"/>
      <c r="D2206" s="60"/>
      <c r="E2206" s="61"/>
      <c r="F2206" s="61" t="s">
        <v>26</v>
      </c>
      <c r="G2206" s="36">
        <f t="shared" si="446"/>
        <v>19980</v>
      </c>
      <c r="H2206" s="36">
        <f t="shared" si="446"/>
        <v>5583</v>
      </c>
      <c r="I2206" s="36">
        <f t="shared" si="446"/>
        <v>9720</v>
      </c>
      <c r="J2206" s="36">
        <f t="shared" si="446"/>
        <v>4500</v>
      </c>
      <c r="K2206" s="36">
        <f t="shared" si="425"/>
        <v>39783</v>
      </c>
      <c r="L2206" s="36">
        <v>27000</v>
      </c>
      <c r="M2206" s="9">
        <f t="shared" si="422"/>
        <v>0.67868184903099316</v>
      </c>
      <c r="N2206" s="5">
        <v>1</v>
      </c>
      <c r="O2206" s="10">
        <f t="shared" si="423"/>
        <v>0.67868184903099316</v>
      </c>
    </row>
    <row r="2207" spans="2:15" ht="13.5" customHeight="1">
      <c r="B2207" s="33">
        <f t="shared" si="426"/>
        <v>57</v>
      </c>
      <c r="C2207" s="60"/>
      <c r="D2207" s="60"/>
      <c r="E2207" s="61"/>
      <c r="F2207" s="61" t="s">
        <v>32</v>
      </c>
      <c r="G2207" s="36">
        <f t="shared" si="446"/>
        <v>14400</v>
      </c>
      <c r="H2207" s="36">
        <f t="shared" si="446"/>
        <v>5583</v>
      </c>
      <c r="I2207" s="36">
        <f t="shared" si="446"/>
        <v>9720</v>
      </c>
      <c r="J2207" s="36">
        <f t="shared" si="446"/>
        <v>2700</v>
      </c>
      <c r="K2207" s="36">
        <f t="shared" si="425"/>
        <v>32403</v>
      </c>
      <c r="L2207" s="36">
        <v>27000</v>
      </c>
      <c r="M2207" s="9">
        <f t="shared" si="422"/>
        <v>0.8332561799833349</v>
      </c>
      <c r="N2207" s="5">
        <v>1</v>
      </c>
      <c r="O2207" s="10">
        <f t="shared" si="423"/>
        <v>0.8332561799833349</v>
      </c>
    </row>
    <row r="2208" spans="2:15" ht="13.5" customHeight="1">
      <c r="B2208" s="33">
        <f t="shared" si="426"/>
        <v>58</v>
      </c>
      <c r="C2208" s="60"/>
      <c r="D2208" s="60"/>
      <c r="E2208" s="61"/>
      <c r="F2208" s="61" t="s">
        <v>32</v>
      </c>
      <c r="G2208" s="36">
        <f t="shared" si="446"/>
        <v>14400</v>
      </c>
      <c r="H2208" s="36">
        <f t="shared" si="446"/>
        <v>5583</v>
      </c>
      <c r="I2208" s="36">
        <f t="shared" si="446"/>
        <v>9720</v>
      </c>
      <c r="J2208" s="36">
        <f t="shared" si="446"/>
        <v>2700</v>
      </c>
      <c r="K2208" s="36">
        <f t="shared" si="425"/>
        <v>32403</v>
      </c>
      <c r="L2208" s="36">
        <v>27000</v>
      </c>
      <c r="M2208" s="9">
        <f t="shared" si="422"/>
        <v>0.8332561799833349</v>
      </c>
      <c r="N2208" s="5">
        <v>1</v>
      </c>
      <c r="O2208" s="10">
        <f t="shared" si="423"/>
        <v>0.8332561799833349</v>
      </c>
    </row>
    <row r="2209" spans="2:15" ht="13.5" customHeight="1">
      <c r="B2209" s="33">
        <f t="shared" si="426"/>
        <v>59</v>
      </c>
      <c r="C2209" s="60"/>
      <c r="D2209" s="60"/>
      <c r="E2209" s="61"/>
      <c r="F2209" s="61" t="s">
        <v>32</v>
      </c>
      <c r="G2209" s="36">
        <f t="shared" si="446"/>
        <v>14400</v>
      </c>
      <c r="H2209" s="36">
        <f t="shared" si="446"/>
        <v>5583</v>
      </c>
      <c r="I2209" s="36">
        <f t="shared" si="446"/>
        <v>9720</v>
      </c>
      <c r="J2209" s="36">
        <f t="shared" si="446"/>
        <v>2700</v>
      </c>
      <c r="K2209" s="36">
        <f t="shared" si="425"/>
        <v>32403</v>
      </c>
      <c r="L2209" s="36">
        <v>27000</v>
      </c>
      <c r="M2209" s="9">
        <f t="shared" si="422"/>
        <v>0.8332561799833349</v>
      </c>
      <c r="N2209" s="5">
        <v>1</v>
      </c>
      <c r="O2209" s="10">
        <f t="shared" si="423"/>
        <v>0.8332561799833349</v>
      </c>
    </row>
    <row r="2210" spans="2:15" ht="13.5" customHeight="1">
      <c r="B2210" s="33">
        <f t="shared" si="426"/>
        <v>60</v>
      </c>
      <c r="C2210" s="60"/>
      <c r="D2210" s="60"/>
      <c r="E2210" s="61"/>
      <c r="F2210" s="61" t="s">
        <v>30</v>
      </c>
      <c r="G2210" s="36">
        <f t="shared" si="446"/>
        <v>18300</v>
      </c>
      <c r="H2210" s="36">
        <f t="shared" si="446"/>
        <v>5583</v>
      </c>
      <c r="I2210" s="36">
        <f t="shared" si="446"/>
        <v>9720</v>
      </c>
      <c r="J2210" s="36">
        <f t="shared" si="446"/>
        <v>1500</v>
      </c>
      <c r="K2210" s="36">
        <f t="shared" ref="K2210:K2228" si="447">SUM(G2210:J2210)</f>
        <v>35103</v>
      </c>
      <c r="L2210" s="36">
        <v>27000</v>
      </c>
      <c r="M2210" s="9">
        <f t="shared" ref="M2210:M2228" si="448">L2210/K2210</f>
        <v>0.76916502863003167</v>
      </c>
      <c r="N2210" s="5">
        <v>1</v>
      </c>
      <c r="O2210" s="10">
        <f t="shared" si="423"/>
        <v>0.76916502863003167</v>
      </c>
    </row>
    <row r="2211" spans="2:15" ht="13.5" customHeight="1">
      <c r="B2211" s="33">
        <f t="shared" si="426"/>
        <v>61</v>
      </c>
      <c r="C2211" s="60"/>
      <c r="D2211" s="60"/>
      <c r="E2211" s="61"/>
      <c r="F2211" s="61" t="s">
        <v>32</v>
      </c>
      <c r="G2211" s="36">
        <f t="shared" si="446"/>
        <v>14400</v>
      </c>
      <c r="H2211" s="36">
        <f t="shared" si="446"/>
        <v>5583</v>
      </c>
      <c r="I2211" s="36">
        <f t="shared" si="446"/>
        <v>9720</v>
      </c>
      <c r="J2211" s="36">
        <f t="shared" si="446"/>
        <v>2700</v>
      </c>
      <c r="K2211" s="36">
        <f t="shared" si="447"/>
        <v>32403</v>
      </c>
      <c r="L2211" s="36">
        <v>27000</v>
      </c>
      <c r="M2211" s="9">
        <f t="shared" si="448"/>
        <v>0.8332561799833349</v>
      </c>
      <c r="N2211" s="5">
        <v>1</v>
      </c>
      <c r="O2211" s="10">
        <f t="shared" si="423"/>
        <v>0.8332561799833349</v>
      </c>
    </row>
    <row r="2212" spans="2:15" ht="13.5" customHeight="1">
      <c r="B2212" s="33">
        <f t="shared" si="426"/>
        <v>62</v>
      </c>
      <c r="C2212" s="60"/>
      <c r="D2212" s="60"/>
      <c r="E2212" s="61"/>
      <c r="F2212" s="61" t="s">
        <v>24</v>
      </c>
      <c r="G2212" s="36">
        <f t="shared" si="446"/>
        <v>1662</v>
      </c>
      <c r="H2212" s="36">
        <f t="shared" si="446"/>
        <v>1861</v>
      </c>
      <c r="I2212" s="36">
        <f t="shared" si="446"/>
        <v>7890</v>
      </c>
      <c r="J2212" s="36">
        <f t="shared" si="446"/>
        <v>0</v>
      </c>
      <c r="K2212" s="36">
        <f t="shared" si="447"/>
        <v>11413</v>
      </c>
      <c r="L2212" s="36">
        <v>27000</v>
      </c>
      <c r="M2212" s="9">
        <f t="shared" si="448"/>
        <v>2.3657232979935161</v>
      </c>
      <c r="N2212" s="5">
        <v>1</v>
      </c>
      <c r="O2212" s="10">
        <f t="shared" si="423"/>
        <v>1</v>
      </c>
    </row>
    <row r="2213" spans="2:15" ht="13.5" customHeight="1">
      <c r="B2213" s="33">
        <f t="shared" si="426"/>
        <v>63</v>
      </c>
      <c r="C2213" s="60"/>
      <c r="D2213" s="60"/>
      <c r="E2213" s="61"/>
      <c r="F2213" s="61" t="s">
        <v>24</v>
      </c>
      <c r="G2213" s="36">
        <f t="shared" si="446"/>
        <v>1662</v>
      </c>
      <c r="H2213" s="36">
        <f t="shared" si="446"/>
        <v>1861</v>
      </c>
      <c r="I2213" s="36">
        <f t="shared" si="446"/>
        <v>7890</v>
      </c>
      <c r="J2213" s="36">
        <f t="shared" si="446"/>
        <v>0</v>
      </c>
      <c r="K2213" s="36">
        <f t="shared" si="447"/>
        <v>11413</v>
      </c>
      <c r="L2213" s="36">
        <v>27000</v>
      </c>
      <c r="M2213" s="9">
        <f t="shared" si="448"/>
        <v>2.3657232979935161</v>
      </c>
      <c r="N2213" s="5">
        <v>1</v>
      </c>
      <c r="O2213" s="10">
        <f t="shared" si="423"/>
        <v>1</v>
      </c>
    </row>
    <row r="2214" spans="2:15" ht="13.5" customHeight="1">
      <c r="B2214" s="33">
        <f t="shared" si="426"/>
        <v>64</v>
      </c>
      <c r="C2214" s="60"/>
      <c r="D2214" s="60"/>
      <c r="E2214" s="61"/>
      <c r="F2214" s="61" t="s">
        <v>24</v>
      </c>
      <c r="G2214" s="36">
        <f t="shared" si="446"/>
        <v>1662</v>
      </c>
      <c r="H2214" s="36">
        <f t="shared" si="446"/>
        <v>1861</v>
      </c>
      <c r="I2214" s="36">
        <f t="shared" si="446"/>
        <v>7890</v>
      </c>
      <c r="J2214" s="36">
        <f t="shared" si="446"/>
        <v>0</v>
      </c>
      <c r="K2214" s="36">
        <f t="shared" si="447"/>
        <v>11413</v>
      </c>
      <c r="L2214" s="36">
        <v>27000</v>
      </c>
      <c r="M2214" s="9">
        <f t="shared" si="448"/>
        <v>2.3657232979935161</v>
      </c>
      <c r="N2214" s="5">
        <v>1</v>
      </c>
      <c r="O2214" s="10">
        <f t="shared" si="423"/>
        <v>1</v>
      </c>
    </row>
    <row r="2215" spans="2:15" ht="13.5" customHeight="1">
      <c r="B2215" s="33">
        <f t="shared" si="426"/>
        <v>65</v>
      </c>
      <c r="C2215" s="60"/>
      <c r="D2215" s="60"/>
      <c r="E2215" s="61"/>
      <c r="F2215" s="61" t="s">
        <v>43</v>
      </c>
      <c r="G2215" s="36">
        <f t="shared" si="446"/>
        <v>18981</v>
      </c>
      <c r="H2215" s="36">
        <f t="shared" si="446"/>
        <v>5583</v>
      </c>
      <c r="I2215" s="36">
        <f t="shared" si="446"/>
        <v>11370</v>
      </c>
      <c r="J2215" s="36">
        <f t="shared" si="446"/>
        <v>1500</v>
      </c>
      <c r="K2215" s="36">
        <f t="shared" si="447"/>
        <v>37434</v>
      </c>
      <c r="L2215" s="36">
        <v>27000</v>
      </c>
      <c r="M2215" s="9">
        <f t="shared" si="448"/>
        <v>0.72126943420419942</v>
      </c>
      <c r="N2215" s="5">
        <v>1</v>
      </c>
      <c r="O2215" s="10">
        <f t="shared" ref="O2215:O2228" si="449">IF(M2215&gt;1,1,M2215)</f>
        <v>0.72126943420419942</v>
      </c>
    </row>
    <row r="2216" spans="2:15" ht="13.5" customHeight="1">
      <c r="B2216" s="33">
        <f t="shared" si="426"/>
        <v>66</v>
      </c>
      <c r="C2216" s="60"/>
      <c r="D2216" s="60"/>
      <c r="E2216" s="61"/>
      <c r="F2216" s="61" t="s">
        <v>43</v>
      </c>
      <c r="G2216" s="36">
        <f t="shared" si="446"/>
        <v>18981</v>
      </c>
      <c r="H2216" s="36">
        <f t="shared" si="446"/>
        <v>5583</v>
      </c>
      <c r="I2216" s="36">
        <f t="shared" si="446"/>
        <v>11370</v>
      </c>
      <c r="J2216" s="36">
        <f t="shared" si="446"/>
        <v>1500</v>
      </c>
      <c r="K2216" s="36">
        <f t="shared" si="447"/>
        <v>37434</v>
      </c>
      <c r="L2216" s="36">
        <v>27000</v>
      </c>
      <c r="M2216" s="9">
        <f t="shared" si="448"/>
        <v>0.72126943420419942</v>
      </c>
      <c r="N2216" s="5">
        <v>1</v>
      </c>
      <c r="O2216" s="10">
        <f t="shared" si="449"/>
        <v>0.72126943420419942</v>
      </c>
    </row>
    <row r="2217" spans="2:15" ht="13.5" customHeight="1">
      <c r="B2217" s="33">
        <f t="shared" ref="B2217:B2228" si="450">+B2216+1</f>
        <v>67</v>
      </c>
      <c r="C2217" s="60"/>
      <c r="D2217" s="60"/>
      <c r="E2217" s="61"/>
      <c r="F2217" s="61" t="s">
        <v>43</v>
      </c>
      <c r="G2217" s="36">
        <f t="shared" si="446"/>
        <v>18981</v>
      </c>
      <c r="H2217" s="36">
        <f t="shared" si="446"/>
        <v>5583</v>
      </c>
      <c r="I2217" s="36">
        <f t="shared" si="446"/>
        <v>11370</v>
      </c>
      <c r="J2217" s="36">
        <f t="shared" si="446"/>
        <v>1500</v>
      </c>
      <c r="K2217" s="36">
        <f t="shared" si="447"/>
        <v>37434</v>
      </c>
      <c r="L2217" s="36">
        <v>27000</v>
      </c>
      <c r="M2217" s="9">
        <f t="shared" si="448"/>
        <v>0.72126943420419942</v>
      </c>
      <c r="N2217" s="5">
        <v>1</v>
      </c>
      <c r="O2217" s="10">
        <f t="shared" si="449"/>
        <v>0.72126943420419942</v>
      </c>
    </row>
    <row r="2218" spans="2:15" ht="13.5" customHeight="1">
      <c r="B2218" s="33">
        <f t="shared" si="450"/>
        <v>68</v>
      </c>
      <c r="C2218" s="60"/>
      <c r="D2218" s="60"/>
      <c r="E2218" s="61"/>
      <c r="F2218" s="61" t="s">
        <v>43</v>
      </c>
      <c r="G2218" s="36">
        <f t="shared" si="446"/>
        <v>18981</v>
      </c>
      <c r="H2218" s="36">
        <f t="shared" si="446"/>
        <v>5583</v>
      </c>
      <c r="I2218" s="36">
        <f t="shared" si="446"/>
        <v>11370</v>
      </c>
      <c r="J2218" s="36">
        <f t="shared" si="446"/>
        <v>1500</v>
      </c>
      <c r="K2218" s="36">
        <f t="shared" si="447"/>
        <v>37434</v>
      </c>
      <c r="L2218" s="36">
        <v>27000</v>
      </c>
      <c r="M2218" s="9">
        <f t="shared" si="448"/>
        <v>0.72126943420419942</v>
      </c>
      <c r="N2218" s="5">
        <v>1</v>
      </c>
      <c r="O2218" s="10">
        <f t="shared" si="449"/>
        <v>0.72126943420419942</v>
      </c>
    </row>
    <row r="2219" spans="2:15" ht="13.5" customHeight="1">
      <c r="B2219" s="33">
        <f t="shared" si="450"/>
        <v>69</v>
      </c>
      <c r="C2219" s="60"/>
      <c r="D2219" s="60"/>
      <c r="E2219" s="61"/>
      <c r="F2219" s="61" t="s">
        <v>43</v>
      </c>
      <c r="G2219" s="36">
        <f t="shared" si="446"/>
        <v>16317</v>
      </c>
      <c r="H2219" s="36">
        <f t="shared" si="446"/>
        <v>5583</v>
      </c>
      <c r="I2219" s="36">
        <f t="shared" si="446"/>
        <v>11370</v>
      </c>
      <c r="J2219" s="36">
        <f t="shared" si="446"/>
        <v>1500</v>
      </c>
      <c r="K2219" s="36">
        <f t="shared" si="447"/>
        <v>34770</v>
      </c>
      <c r="L2219" s="36">
        <v>27000</v>
      </c>
      <c r="M2219" s="9">
        <f t="shared" si="448"/>
        <v>0.77653149266609145</v>
      </c>
      <c r="N2219" s="5">
        <v>1</v>
      </c>
      <c r="O2219" s="10">
        <f t="shared" si="449"/>
        <v>0.77653149266609145</v>
      </c>
    </row>
    <row r="2220" spans="2:15" ht="13.5" customHeight="1">
      <c r="B2220" s="33">
        <f t="shared" si="450"/>
        <v>70</v>
      </c>
      <c r="C2220" s="60"/>
      <c r="D2220" s="60"/>
      <c r="E2220" s="61"/>
      <c r="F2220" s="61" t="s">
        <v>43</v>
      </c>
      <c r="G2220" s="36">
        <f t="shared" si="446"/>
        <v>18814.5</v>
      </c>
      <c r="H2220" s="36">
        <f t="shared" si="446"/>
        <v>5583</v>
      </c>
      <c r="I2220" s="36">
        <f t="shared" si="446"/>
        <v>11370</v>
      </c>
      <c r="J2220" s="36">
        <f t="shared" si="446"/>
        <v>1500</v>
      </c>
      <c r="K2220" s="36">
        <f t="shared" si="447"/>
        <v>37267.5</v>
      </c>
      <c r="L2220" s="36">
        <v>27000</v>
      </c>
      <c r="M2220" s="9">
        <f t="shared" si="448"/>
        <v>0.72449184946669354</v>
      </c>
      <c r="N2220" s="5">
        <v>1</v>
      </c>
      <c r="O2220" s="10">
        <f t="shared" si="449"/>
        <v>0.72449184946669354</v>
      </c>
    </row>
    <row r="2221" spans="2:15" ht="13.5" customHeight="1">
      <c r="B2221" s="33">
        <f t="shared" si="450"/>
        <v>71</v>
      </c>
      <c r="C2221" s="60"/>
      <c r="D2221" s="60"/>
      <c r="E2221" s="61"/>
      <c r="F2221" s="61" t="s">
        <v>43</v>
      </c>
      <c r="G2221" s="36">
        <f t="shared" si="446"/>
        <v>18981</v>
      </c>
      <c r="H2221" s="36">
        <f t="shared" si="446"/>
        <v>5583</v>
      </c>
      <c r="I2221" s="36">
        <f t="shared" si="446"/>
        <v>11370</v>
      </c>
      <c r="J2221" s="36">
        <f t="shared" si="446"/>
        <v>1500</v>
      </c>
      <c r="K2221" s="36">
        <f t="shared" si="447"/>
        <v>37434</v>
      </c>
      <c r="L2221" s="36">
        <v>27000</v>
      </c>
      <c r="M2221" s="9">
        <f t="shared" si="448"/>
        <v>0.72126943420419942</v>
      </c>
      <c r="N2221" s="5">
        <v>1</v>
      </c>
      <c r="O2221" s="10">
        <f t="shared" si="449"/>
        <v>0.72126943420419942</v>
      </c>
    </row>
    <row r="2222" spans="2:15" ht="13.5" customHeight="1">
      <c r="B2222" s="33">
        <f t="shared" si="450"/>
        <v>72</v>
      </c>
      <c r="C2222" s="60"/>
      <c r="D2222" s="60"/>
      <c r="E2222" s="61"/>
      <c r="F2222" s="61" t="s">
        <v>43</v>
      </c>
      <c r="G2222" s="36">
        <f t="shared" si="446"/>
        <v>18981</v>
      </c>
      <c r="H2222" s="36">
        <f t="shared" si="446"/>
        <v>5583</v>
      </c>
      <c r="I2222" s="36">
        <f t="shared" si="446"/>
        <v>11370</v>
      </c>
      <c r="J2222" s="36">
        <f t="shared" si="446"/>
        <v>1500</v>
      </c>
      <c r="K2222" s="36">
        <f t="shared" si="447"/>
        <v>37434</v>
      </c>
      <c r="L2222" s="36">
        <v>27000</v>
      </c>
      <c r="M2222" s="9">
        <f t="shared" si="448"/>
        <v>0.72126943420419942</v>
      </c>
      <c r="N2222" s="5">
        <v>1</v>
      </c>
      <c r="O2222" s="10">
        <f t="shared" si="449"/>
        <v>0.72126943420419942</v>
      </c>
    </row>
    <row r="2223" spans="2:15" ht="13.5" customHeight="1">
      <c r="B2223" s="33">
        <f t="shared" si="450"/>
        <v>73</v>
      </c>
      <c r="C2223" s="60"/>
      <c r="D2223" s="60"/>
      <c r="E2223" s="61"/>
      <c r="F2223" s="61" t="s">
        <v>43</v>
      </c>
      <c r="G2223" s="36">
        <f t="shared" si="446"/>
        <v>18981</v>
      </c>
      <c r="H2223" s="36">
        <f t="shared" si="446"/>
        <v>5583</v>
      </c>
      <c r="I2223" s="36">
        <f t="shared" si="446"/>
        <v>11370</v>
      </c>
      <c r="J2223" s="36">
        <f t="shared" si="446"/>
        <v>1500</v>
      </c>
      <c r="K2223" s="36">
        <f t="shared" si="447"/>
        <v>37434</v>
      </c>
      <c r="L2223" s="36">
        <v>27000</v>
      </c>
      <c r="M2223" s="9">
        <f t="shared" si="448"/>
        <v>0.72126943420419942</v>
      </c>
      <c r="N2223" s="5">
        <v>1</v>
      </c>
      <c r="O2223" s="10">
        <f t="shared" si="449"/>
        <v>0.72126943420419942</v>
      </c>
    </row>
    <row r="2224" spans="2:15" ht="13.5" customHeight="1">
      <c r="B2224" s="33">
        <f t="shared" si="450"/>
        <v>74</v>
      </c>
      <c r="C2224" s="60"/>
      <c r="D2224" s="60"/>
      <c r="E2224" s="61"/>
      <c r="F2224" s="61" t="s">
        <v>27</v>
      </c>
      <c r="G2224" s="36">
        <f t="shared" si="446"/>
        <v>15651</v>
      </c>
      <c r="H2224" s="36">
        <f t="shared" si="446"/>
        <v>5583</v>
      </c>
      <c r="I2224" s="36">
        <f t="shared" si="446"/>
        <v>9720</v>
      </c>
      <c r="J2224" s="36">
        <f t="shared" si="446"/>
        <v>1500</v>
      </c>
      <c r="K2224" s="36">
        <f t="shared" si="447"/>
        <v>32454</v>
      </c>
      <c r="L2224" s="36">
        <v>27000</v>
      </c>
      <c r="M2224" s="9">
        <f t="shared" si="448"/>
        <v>0.83194675540765395</v>
      </c>
      <c r="N2224" s="5">
        <v>1</v>
      </c>
      <c r="O2224" s="10">
        <f t="shared" si="449"/>
        <v>0.83194675540765395</v>
      </c>
    </row>
    <row r="2225" spans="1:15" ht="13.5" customHeight="1">
      <c r="B2225" s="33">
        <f t="shared" si="450"/>
        <v>75</v>
      </c>
      <c r="C2225" s="60"/>
      <c r="D2225" s="60"/>
      <c r="E2225" s="61"/>
      <c r="F2225" s="61" t="s">
        <v>27</v>
      </c>
      <c r="G2225" s="36">
        <f t="shared" si="446"/>
        <v>15651</v>
      </c>
      <c r="H2225" s="36">
        <f t="shared" si="446"/>
        <v>5583</v>
      </c>
      <c r="I2225" s="36">
        <f t="shared" si="446"/>
        <v>9720</v>
      </c>
      <c r="J2225" s="36">
        <f t="shared" si="446"/>
        <v>1500</v>
      </c>
      <c r="K2225" s="36">
        <f t="shared" si="447"/>
        <v>32454</v>
      </c>
      <c r="L2225" s="36">
        <v>27000</v>
      </c>
      <c r="M2225" s="9">
        <f t="shared" si="448"/>
        <v>0.83194675540765395</v>
      </c>
      <c r="N2225" s="5">
        <v>1</v>
      </c>
      <c r="O2225" s="10">
        <f t="shared" si="449"/>
        <v>0.83194675540765395</v>
      </c>
    </row>
    <row r="2226" spans="1:15" ht="13.5" customHeight="1">
      <c r="B2226" s="33">
        <f t="shared" si="450"/>
        <v>76</v>
      </c>
      <c r="C2226" s="60"/>
      <c r="D2226" s="60"/>
      <c r="E2226" s="61"/>
      <c r="F2226" s="61" t="s">
        <v>27</v>
      </c>
      <c r="G2226" s="36">
        <f t="shared" si="446"/>
        <v>15651</v>
      </c>
      <c r="H2226" s="36">
        <f t="shared" si="446"/>
        <v>5583</v>
      </c>
      <c r="I2226" s="36">
        <f t="shared" si="446"/>
        <v>9720</v>
      </c>
      <c r="J2226" s="36">
        <f t="shared" si="446"/>
        <v>1500</v>
      </c>
      <c r="K2226" s="36">
        <f t="shared" si="447"/>
        <v>32454</v>
      </c>
      <c r="L2226" s="36">
        <v>27000</v>
      </c>
      <c r="M2226" s="9">
        <f t="shared" si="448"/>
        <v>0.83194675540765395</v>
      </c>
      <c r="N2226" s="5">
        <v>1</v>
      </c>
      <c r="O2226" s="10">
        <f t="shared" si="449"/>
        <v>0.83194675540765395</v>
      </c>
    </row>
    <row r="2227" spans="1:15" ht="13.5" customHeight="1">
      <c r="B2227" s="33">
        <f t="shared" si="450"/>
        <v>77</v>
      </c>
      <c r="C2227" s="60"/>
      <c r="D2227" s="60"/>
      <c r="E2227" s="61"/>
      <c r="F2227" s="61" t="s">
        <v>30</v>
      </c>
      <c r="G2227" s="36">
        <f t="shared" si="446"/>
        <v>18300</v>
      </c>
      <c r="H2227" s="36">
        <f t="shared" si="446"/>
        <v>5583</v>
      </c>
      <c r="I2227" s="36">
        <f t="shared" si="446"/>
        <v>9720</v>
      </c>
      <c r="J2227" s="36">
        <f t="shared" si="446"/>
        <v>1500</v>
      </c>
      <c r="K2227" s="36">
        <f t="shared" si="447"/>
        <v>35103</v>
      </c>
      <c r="L2227" s="36">
        <v>27000</v>
      </c>
      <c r="M2227" s="9">
        <f t="shared" si="448"/>
        <v>0.76916502863003167</v>
      </c>
      <c r="N2227" s="5">
        <v>1</v>
      </c>
      <c r="O2227" s="10">
        <f t="shared" si="449"/>
        <v>0.76916502863003167</v>
      </c>
    </row>
    <row r="2228" spans="1:15" ht="13.5" customHeight="1">
      <c r="B2228" s="33">
        <f t="shared" si="450"/>
        <v>78</v>
      </c>
      <c r="C2228" s="60"/>
      <c r="D2228" s="60"/>
      <c r="E2228" s="61"/>
      <c r="F2228" s="61" t="s">
        <v>510</v>
      </c>
      <c r="G2228" s="36">
        <f t="shared" si="446"/>
        <v>18981</v>
      </c>
      <c r="H2228" s="36">
        <f t="shared" si="446"/>
        <v>5583</v>
      </c>
      <c r="I2228" s="36">
        <f t="shared" si="446"/>
        <v>11370</v>
      </c>
      <c r="J2228" s="36">
        <f t="shared" si="446"/>
        <v>1500</v>
      </c>
      <c r="K2228" s="36">
        <f t="shared" si="447"/>
        <v>37434</v>
      </c>
      <c r="L2228" s="36">
        <v>27000</v>
      </c>
      <c r="M2228" s="9">
        <f t="shared" si="448"/>
        <v>0.72126943420419942</v>
      </c>
      <c r="N2228" s="5">
        <v>1</v>
      </c>
      <c r="O2228" s="10">
        <f t="shared" si="449"/>
        <v>0.72126943420419942</v>
      </c>
    </row>
    <row r="2229" spans="1:15" ht="13.5" customHeight="1">
      <c r="C2229" s="60"/>
      <c r="D2229" s="60"/>
      <c r="E2229" s="61"/>
      <c r="F2229" s="61"/>
      <c r="G2229" s="36"/>
      <c r="H2229" s="36"/>
      <c r="I2229" s="36"/>
      <c r="J2229" s="36"/>
      <c r="K2229" s="36"/>
      <c r="M2229" s="9"/>
      <c r="N2229" s="5"/>
      <c r="O2229" s="10"/>
    </row>
    <row r="2230" spans="1:15" ht="13.5" customHeight="1">
      <c r="A2230" s="1" t="s">
        <v>422</v>
      </c>
      <c r="B2230" s="33">
        <f>+B2169+1</f>
        <v>20</v>
      </c>
      <c r="C2230" s="60"/>
      <c r="D2230" s="60"/>
      <c r="E2230" s="61"/>
      <c r="F2230" s="61" t="s">
        <v>37</v>
      </c>
      <c r="G2230" s="36">
        <f>+G2087+G2002+G1917</f>
        <v>19647</v>
      </c>
      <c r="H2230" s="36">
        <f>+H2087+H2002+H1917</f>
        <v>5583</v>
      </c>
      <c r="I2230" s="36">
        <f>+I2087+I2002+I1917</f>
        <v>9720</v>
      </c>
      <c r="J2230" s="36">
        <f>+J2087+J2002+J1917</f>
        <v>500</v>
      </c>
      <c r="K2230" s="36">
        <f>SUM(G2230:J2230)</f>
        <v>35450</v>
      </c>
      <c r="L2230" s="36">
        <v>27000</v>
      </c>
      <c r="M2230" s="9">
        <f>L2230/K2230</f>
        <v>0.76163610719322994</v>
      </c>
      <c r="N2230" s="5">
        <v>1</v>
      </c>
      <c r="O2230" s="10">
        <f>N2230*M2230</f>
        <v>0.76163610719322994</v>
      </c>
    </row>
    <row r="2231" spans="1:15" ht="13.5" customHeight="1">
      <c r="A2231" s="1" t="s">
        <v>16</v>
      </c>
      <c r="B2231" s="33">
        <f>+B2203+1</f>
        <v>54</v>
      </c>
      <c r="C2231" s="60"/>
      <c r="D2231" s="60"/>
      <c r="E2231" s="61"/>
      <c r="F2231" s="61" t="s">
        <v>26</v>
      </c>
      <c r="G2231" s="36">
        <f>+G2123+G2038+G1953</f>
        <v>19980</v>
      </c>
      <c r="H2231" s="36">
        <f>+H2123+H2038+H1953</f>
        <v>5583</v>
      </c>
      <c r="I2231" s="36">
        <f>+I2123+I2038+I1953</f>
        <v>9720</v>
      </c>
      <c r="J2231" s="36">
        <f>+J2123+J2038+J1953</f>
        <v>4500</v>
      </c>
      <c r="K2231" s="36">
        <f>SUM(G2231:J2231)</f>
        <v>39783</v>
      </c>
      <c r="L2231" s="36">
        <v>27000</v>
      </c>
      <c r="M2231" s="9">
        <f>L2231/K2231</f>
        <v>0.67868184903099316</v>
      </c>
      <c r="N2231" s="5">
        <v>1</v>
      </c>
      <c r="O2231" s="10">
        <f>N2231*M2231</f>
        <v>0.67868184903099316</v>
      </c>
    </row>
    <row r="2232" spans="1:15" ht="13.5" customHeight="1">
      <c r="A2232" s="1" t="s">
        <v>16</v>
      </c>
      <c r="B2232" s="33">
        <f>+B2184+1</f>
        <v>35</v>
      </c>
      <c r="C2232" s="60"/>
      <c r="D2232" s="60"/>
      <c r="E2232" s="61"/>
      <c r="F2232" s="61" t="s">
        <v>445</v>
      </c>
      <c r="G2232" s="36">
        <f>+G2103+G2018+G1933</f>
        <v>15651</v>
      </c>
      <c r="H2232" s="36">
        <f>+H2103+H2018+H1933</f>
        <v>5583</v>
      </c>
      <c r="I2232" s="36">
        <f>+I2103+I2018+I1933</f>
        <v>9720</v>
      </c>
      <c r="J2232" s="36">
        <f>+J2103+J2018+J1933</f>
        <v>2250</v>
      </c>
      <c r="K2232" s="36">
        <f>SUM(G2232:J2232)</f>
        <v>33204</v>
      </c>
      <c r="L2232" s="36">
        <v>27000</v>
      </c>
      <c r="M2232" s="9">
        <f>L2232/K2232</f>
        <v>0.81315504156125773</v>
      </c>
      <c r="N2232" s="5">
        <v>1</v>
      </c>
      <c r="O2232" s="10">
        <f>N2232*M2232</f>
        <v>0.81315504156125773</v>
      </c>
    </row>
    <row r="2233" spans="1:15" ht="13.5" customHeight="1">
      <c r="A2233" s="1" t="s">
        <v>422</v>
      </c>
      <c r="B2233" s="33">
        <v>1</v>
      </c>
      <c r="C2233" s="60"/>
      <c r="D2233" s="60"/>
      <c r="E2233" s="61"/>
      <c r="F2233" s="61" t="s">
        <v>37</v>
      </c>
      <c r="G2233" s="36">
        <f>+G2086+G2001+G1916</f>
        <v>19647</v>
      </c>
      <c r="H2233" s="36">
        <f>+H2086+H2001+H1916</f>
        <v>5583</v>
      </c>
      <c r="I2233" s="36">
        <f>+I2086+I2001+I1916</f>
        <v>9720</v>
      </c>
      <c r="J2233" s="36">
        <f>+J2086+J2001+J1916</f>
        <v>500</v>
      </c>
      <c r="K2233" s="36">
        <f>SUM(G2233:J2233)</f>
        <v>35450</v>
      </c>
      <c r="L2233" s="36">
        <v>27000</v>
      </c>
      <c r="M2233" s="9">
        <f>L2233/K2233</f>
        <v>0.76163610719322994</v>
      </c>
      <c r="N2233" s="5">
        <v>1</v>
      </c>
      <c r="O2233" s="10">
        <f>N2233*M2233</f>
        <v>0.76163610719322994</v>
      </c>
    </row>
    <row r="2234" spans="1:15" ht="13.5" customHeight="1">
      <c r="A2234" s="1" t="s">
        <v>16</v>
      </c>
      <c r="B2234" s="33">
        <v>2</v>
      </c>
      <c r="C2234" s="60"/>
      <c r="D2234" s="60"/>
      <c r="E2234" s="61"/>
      <c r="F2234" s="61" t="s">
        <v>159</v>
      </c>
      <c r="G2234" s="36">
        <f>+G2085+G2000+G1915</f>
        <v>18648</v>
      </c>
      <c r="H2234" s="36">
        <f>+H2085+H2000+H1915</f>
        <v>5583</v>
      </c>
      <c r="I2234" s="36">
        <f>+I2085+I2000+I1915</f>
        <v>9720</v>
      </c>
      <c r="J2234" s="36">
        <f>+J2085+J2000+J1915</f>
        <v>3600</v>
      </c>
      <c r="K2234" s="36">
        <f>SUM(G2234:J2234)</f>
        <v>37551</v>
      </c>
      <c r="L2234" s="36">
        <v>27000</v>
      </c>
      <c r="M2234" s="9">
        <f>L2234/K2234</f>
        <v>0.71902212990333148</v>
      </c>
      <c r="N2234" s="5">
        <v>1</v>
      </c>
      <c r="O2234" s="10">
        <f>N2234*M2234</f>
        <v>0.71902212990333148</v>
      </c>
    </row>
    <row r="2235" spans="1:15" ht="17.25" customHeight="1">
      <c r="A2235" s="66" t="s">
        <v>45</v>
      </c>
      <c r="B2235" s="66"/>
      <c r="C2235" s="66"/>
      <c r="D2235" s="66"/>
      <c r="E2235" s="66"/>
      <c r="F2235" s="66"/>
      <c r="G2235" s="66"/>
      <c r="H2235" s="66"/>
      <c r="I2235" s="66"/>
      <c r="J2235" s="66"/>
      <c r="K2235" s="66"/>
      <c r="L2235" s="66"/>
      <c r="M2235" s="66"/>
      <c r="N2235" s="22">
        <f>SUM(N2151:N2228)</f>
        <v>78</v>
      </c>
      <c r="O2235" s="23">
        <f>SUM(O2151:O2228)</f>
        <v>58.941627911017569</v>
      </c>
    </row>
    <row r="2236" spans="1:15" ht="13.5" hidden="1" customHeight="1">
      <c r="A2236" s="44" t="s">
        <v>674</v>
      </c>
      <c r="B2236" s="44"/>
      <c r="C2236" s="44"/>
      <c r="D2236" s="44"/>
      <c r="E2236" s="44"/>
      <c r="F2236" s="44"/>
      <c r="G2236" s="44"/>
      <c r="H2236" s="44"/>
      <c r="I2236" s="44"/>
      <c r="J2236" s="44"/>
      <c r="K2236" s="44"/>
      <c r="L2236" s="44"/>
      <c r="M2236" s="44"/>
      <c r="N2236" s="44"/>
      <c r="O2236" s="44"/>
    </row>
    <row r="2237" spans="1:15" ht="13.5" hidden="1" customHeight="1">
      <c r="B2237" s="33">
        <v>1</v>
      </c>
      <c r="C2237" s="60" t="s">
        <v>335</v>
      </c>
      <c r="D2237" s="60" t="s">
        <v>675</v>
      </c>
      <c r="E2237" s="61"/>
      <c r="F2237" s="61" t="s">
        <v>159</v>
      </c>
      <c r="G2237" s="36">
        <f>333*19</f>
        <v>6327</v>
      </c>
      <c r="H2237" s="36">
        <v>1861</v>
      </c>
      <c r="I2237" s="36">
        <v>3240</v>
      </c>
      <c r="J2237" s="36">
        <v>900</v>
      </c>
      <c r="K2237" s="36">
        <f t="shared" ref="K2237:K2240" si="451">SUM(G2237:J2237)</f>
        <v>12328</v>
      </c>
      <c r="L2237" s="36">
        <v>60000</v>
      </c>
      <c r="M2237" s="9">
        <f t="shared" ref="M2237:M2240" si="452">L2237/K2237</f>
        <v>4.8669695003244646</v>
      </c>
      <c r="N2237" s="5">
        <v>1</v>
      </c>
      <c r="O2237" s="10">
        <f t="shared" ref="O2237:O2240" si="453">N2237*M2237</f>
        <v>4.8669695003244646</v>
      </c>
    </row>
    <row r="2238" spans="1:15" ht="13.5" hidden="1" customHeight="1">
      <c r="B2238" s="33">
        <f>+B2237+1</f>
        <v>2</v>
      </c>
      <c r="C2238" s="60" t="s">
        <v>49</v>
      </c>
      <c r="D2238" s="60" t="s">
        <v>676</v>
      </c>
      <c r="E2238" s="61"/>
      <c r="F2238" s="61" t="s">
        <v>26</v>
      </c>
      <c r="G2238" s="36">
        <f>333*19</f>
        <v>6327</v>
      </c>
      <c r="H2238" s="36">
        <v>1861</v>
      </c>
      <c r="I2238" s="36">
        <v>3240</v>
      </c>
      <c r="J2238" s="36">
        <v>1800</v>
      </c>
      <c r="K2238" s="36">
        <f t="shared" si="451"/>
        <v>13228</v>
      </c>
      <c r="L2238" s="36">
        <v>30000</v>
      </c>
      <c r="M2238" s="9">
        <f t="shared" si="452"/>
        <v>2.2679165406713033</v>
      </c>
      <c r="N2238" s="5">
        <v>1</v>
      </c>
      <c r="O2238" s="10">
        <f t="shared" si="453"/>
        <v>2.2679165406713033</v>
      </c>
    </row>
    <row r="2239" spans="1:15" ht="13.5" hidden="1" customHeight="1">
      <c r="B2239" s="33">
        <f t="shared" ref="B2239:B2240" si="454">+B2238+1</f>
        <v>3</v>
      </c>
      <c r="C2239" s="60" t="s">
        <v>677</v>
      </c>
      <c r="D2239" s="60" t="s">
        <v>678</v>
      </c>
      <c r="E2239" s="61"/>
      <c r="F2239" s="61" t="s">
        <v>217</v>
      </c>
      <c r="G2239" s="36">
        <f>400*12</f>
        <v>4800</v>
      </c>
      <c r="H2239" s="36">
        <v>1861</v>
      </c>
      <c r="I2239" s="36">
        <v>7890</v>
      </c>
      <c r="J2239" s="36">
        <v>500</v>
      </c>
      <c r="K2239" s="36">
        <f t="shared" si="451"/>
        <v>15051</v>
      </c>
      <c r="L2239" s="36">
        <v>30000</v>
      </c>
      <c r="M2239" s="9">
        <f t="shared" si="452"/>
        <v>1.9932230416583616</v>
      </c>
      <c r="N2239" s="5">
        <v>1</v>
      </c>
      <c r="O2239" s="10">
        <f t="shared" si="453"/>
        <v>1.9932230416583616</v>
      </c>
    </row>
    <row r="2240" spans="1:15" ht="13.5" hidden="1" customHeight="1">
      <c r="B2240" s="33">
        <f t="shared" si="454"/>
        <v>4</v>
      </c>
      <c r="C2240" s="60" t="s">
        <v>679</v>
      </c>
      <c r="D2240" s="60" t="s">
        <v>680</v>
      </c>
      <c r="E2240" s="61"/>
      <c r="F2240" s="61" t="s">
        <v>26</v>
      </c>
      <c r="G2240" s="36">
        <f>333*19</f>
        <v>6327</v>
      </c>
      <c r="H2240" s="36">
        <v>1861</v>
      </c>
      <c r="I2240" s="36">
        <v>3240</v>
      </c>
      <c r="J2240" s="36">
        <v>1800</v>
      </c>
      <c r="K2240" s="36">
        <f t="shared" si="451"/>
        <v>13228</v>
      </c>
      <c r="L2240" s="36">
        <v>30000</v>
      </c>
      <c r="M2240" s="9">
        <f t="shared" si="452"/>
        <v>2.2679165406713033</v>
      </c>
      <c r="N2240" s="5">
        <v>1</v>
      </c>
      <c r="O2240" s="10">
        <f t="shared" si="453"/>
        <v>2.2679165406713033</v>
      </c>
    </row>
    <row r="2241" spans="1:15" ht="17.25" hidden="1" customHeight="1">
      <c r="A2241" s="66" t="s">
        <v>45</v>
      </c>
      <c r="B2241" s="66"/>
      <c r="C2241" s="66"/>
      <c r="D2241" s="66"/>
      <c r="E2241" s="66"/>
      <c r="F2241" s="66"/>
      <c r="G2241" s="66"/>
      <c r="H2241" s="66"/>
      <c r="I2241" s="66"/>
      <c r="J2241" s="66"/>
      <c r="K2241" s="66"/>
      <c r="L2241" s="66"/>
      <c r="M2241" s="66"/>
      <c r="N2241" s="22">
        <f>SUM(N2237:N2240)</f>
        <v>4</v>
      </c>
      <c r="O2241" s="23">
        <f>SUM(O2237:O2240)</f>
        <v>11.396025623325434</v>
      </c>
    </row>
    <row r="2242" spans="1:15" ht="13.5" hidden="1" customHeight="1">
      <c r="A2242" s="44" t="s">
        <v>681</v>
      </c>
      <c r="B2242" s="44"/>
      <c r="C2242" s="44"/>
      <c r="D2242" s="44"/>
      <c r="E2242" s="44"/>
      <c r="F2242" s="44"/>
      <c r="G2242" s="44"/>
      <c r="H2242" s="44"/>
      <c r="I2242" s="44"/>
      <c r="J2242" s="44"/>
      <c r="K2242" s="44"/>
      <c r="L2242" s="44"/>
      <c r="M2242" s="44"/>
      <c r="N2242" s="44"/>
      <c r="O2242" s="44"/>
    </row>
    <row r="2243" spans="1:15" ht="13.5" hidden="1" customHeight="1">
      <c r="B2243" s="33">
        <v>1</v>
      </c>
      <c r="C2243" s="60" t="s">
        <v>335</v>
      </c>
      <c r="D2243" s="60" t="s">
        <v>675</v>
      </c>
      <c r="E2243" s="61"/>
      <c r="F2243" s="61" t="s">
        <v>159</v>
      </c>
      <c r="G2243" s="36">
        <f>333*15</f>
        <v>4995</v>
      </c>
      <c r="H2243" s="36">
        <v>1861</v>
      </c>
      <c r="I2243" s="36">
        <v>3240</v>
      </c>
      <c r="J2243" s="36">
        <v>900</v>
      </c>
      <c r="K2243" s="36">
        <f t="shared" ref="K2243:K2246" si="455">SUM(G2243:J2243)</f>
        <v>10996</v>
      </c>
      <c r="L2243" s="36">
        <v>60000</v>
      </c>
      <c r="M2243" s="9">
        <f t="shared" ref="M2243:M2246" si="456">L2243/K2243</f>
        <v>5.456529647144416</v>
      </c>
      <c r="N2243" s="5">
        <v>1</v>
      </c>
      <c r="O2243" s="10">
        <f t="shared" ref="O2243:O2246" si="457">N2243*M2243</f>
        <v>5.456529647144416</v>
      </c>
    </row>
    <row r="2244" spans="1:15" ht="13.5" hidden="1" customHeight="1">
      <c r="B2244" s="33">
        <f>+B2243+1</f>
        <v>2</v>
      </c>
      <c r="C2244" s="60" t="s">
        <v>49</v>
      </c>
      <c r="D2244" s="60" t="s">
        <v>676</v>
      </c>
      <c r="E2244" s="61"/>
      <c r="F2244" s="61" t="s">
        <v>26</v>
      </c>
      <c r="G2244" s="36">
        <f>333*19</f>
        <v>6327</v>
      </c>
      <c r="H2244" s="36">
        <v>1861</v>
      </c>
      <c r="I2244" s="36">
        <v>3240</v>
      </c>
      <c r="J2244" s="36">
        <v>1800</v>
      </c>
      <c r="K2244" s="36">
        <f t="shared" si="455"/>
        <v>13228</v>
      </c>
      <c r="L2244" s="36">
        <v>30000</v>
      </c>
      <c r="M2244" s="9">
        <f t="shared" si="456"/>
        <v>2.2679165406713033</v>
      </c>
      <c r="N2244" s="5">
        <v>1</v>
      </c>
      <c r="O2244" s="10">
        <f t="shared" si="457"/>
        <v>2.2679165406713033</v>
      </c>
    </row>
    <row r="2245" spans="1:15" ht="13.5" hidden="1" customHeight="1">
      <c r="B2245" s="33">
        <f t="shared" ref="B2245:B2246" si="458">+B2244+1</f>
        <v>3</v>
      </c>
      <c r="C2245" s="60" t="s">
        <v>677</v>
      </c>
      <c r="D2245" s="60" t="s">
        <v>678</v>
      </c>
      <c r="E2245" s="61"/>
      <c r="F2245" s="61" t="s">
        <v>217</v>
      </c>
      <c r="G2245" s="36">
        <f>400*6</f>
        <v>2400</v>
      </c>
      <c r="H2245" s="36">
        <v>1861</v>
      </c>
      <c r="I2245" s="36">
        <v>7890</v>
      </c>
      <c r="J2245" s="36">
        <v>500</v>
      </c>
      <c r="K2245" s="36">
        <f t="shared" si="455"/>
        <v>12651</v>
      </c>
      <c r="L2245" s="36">
        <v>30000</v>
      </c>
      <c r="M2245" s="9">
        <f t="shared" si="456"/>
        <v>2.3713540431586435</v>
      </c>
      <c r="N2245" s="5">
        <v>1</v>
      </c>
      <c r="O2245" s="10">
        <f t="shared" si="457"/>
        <v>2.3713540431586435</v>
      </c>
    </row>
    <row r="2246" spans="1:15" ht="13.5" hidden="1" customHeight="1">
      <c r="B2246" s="33">
        <f t="shared" si="458"/>
        <v>4</v>
      </c>
      <c r="C2246" s="60" t="s">
        <v>679</v>
      </c>
      <c r="D2246" s="60" t="s">
        <v>680</v>
      </c>
      <c r="E2246" s="61"/>
      <c r="F2246" s="61" t="s">
        <v>26</v>
      </c>
      <c r="G2246" s="36">
        <f>333*19</f>
        <v>6327</v>
      </c>
      <c r="H2246" s="36">
        <v>1861</v>
      </c>
      <c r="I2246" s="36">
        <v>3240</v>
      </c>
      <c r="J2246" s="36">
        <v>1800</v>
      </c>
      <c r="K2246" s="36">
        <f t="shared" si="455"/>
        <v>13228</v>
      </c>
      <c r="L2246" s="36">
        <v>30000</v>
      </c>
      <c r="M2246" s="9">
        <f t="shared" si="456"/>
        <v>2.2679165406713033</v>
      </c>
      <c r="N2246" s="5">
        <v>1</v>
      </c>
      <c r="O2246" s="10">
        <f t="shared" si="457"/>
        <v>2.2679165406713033</v>
      </c>
    </row>
    <row r="2247" spans="1:15" ht="17.25" hidden="1" customHeight="1">
      <c r="A2247" s="66" t="s">
        <v>45</v>
      </c>
      <c r="B2247" s="66"/>
      <c r="C2247" s="66"/>
      <c r="D2247" s="66"/>
      <c r="E2247" s="66"/>
      <c r="F2247" s="66"/>
      <c r="G2247" s="66"/>
      <c r="H2247" s="66"/>
      <c r="I2247" s="66"/>
      <c r="J2247" s="66"/>
      <c r="K2247" s="66"/>
      <c r="L2247" s="66"/>
      <c r="M2247" s="66"/>
      <c r="N2247" s="22">
        <f>SUM(N2243:N2246)</f>
        <v>4</v>
      </c>
      <c r="O2247" s="23">
        <f>SUM(O2243:O2246)</f>
        <v>12.363716771645665</v>
      </c>
    </row>
    <row r="2248" spans="1:15" ht="13.5" hidden="1" customHeight="1">
      <c r="A2248" s="44" t="s">
        <v>682</v>
      </c>
      <c r="B2248" s="44"/>
      <c r="C2248" s="44"/>
      <c r="D2248" s="44"/>
      <c r="E2248" s="44"/>
      <c r="F2248" s="44"/>
      <c r="G2248" s="44"/>
      <c r="H2248" s="44"/>
      <c r="I2248" s="44"/>
      <c r="J2248" s="44"/>
      <c r="K2248" s="44"/>
      <c r="L2248" s="44"/>
      <c r="M2248" s="44"/>
      <c r="N2248" s="44"/>
      <c r="O2248" s="44"/>
    </row>
    <row r="2249" spans="1:15" ht="13.5" hidden="1" customHeight="1">
      <c r="B2249" s="33">
        <v>1</v>
      </c>
      <c r="C2249" s="60" t="s">
        <v>335</v>
      </c>
      <c r="D2249" s="60" t="s">
        <v>675</v>
      </c>
      <c r="E2249" s="61"/>
      <c r="F2249" s="61" t="s">
        <v>159</v>
      </c>
      <c r="G2249" s="36">
        <f>333*22</f>
        <v>7326</v>
      </c>
      <c r="H2249" s="36">
        <v>1861</v>
      </c>
      <c r="I2249" s="36">
        <v>3240</v>
      </c>
      <c r="J2249" s="36">
        <v>900</v>
      </c>
      <c r="K2249" s="36">
        <f t="shared" ref="K2249:K2252" si="459">SUM(G2249:J2249)</f>
        <v>13327</v>
      </c>
      <c r="L2249" s="36">
        <v>60000</v>
      </c>
      <c r="M2249" s="9">
        <f t="shared" ref="M2249:M2252" si="460">L2249/K2249</f>
        <v>4.5021385157950027</v>
      </c>
      <c r="N2249" s="5">
        <v>1</v>
      </c>
      <c r="O2249" s="10">
        <f t="shared" ref="O2249:O2252" si="461">N2249*M2249</f>
        <v>4.5021385157950027</v>
      </c>
    </row>
    <row r="2250" spans="1:15" ht="13.5" hidden="1" customHeight="1">
      <c r="B2250" s="33">
        <f>+B2249+1</f>
        <v>2</v>
      </c>
      <c r="C2250" s="60" t="s">
        <v>49</v>
      </c>
      <c r="D2250" s="60" t="s">
        <v>676</v>
      </c>
      <c r="E2250" s="61"/>
      <c r="F2250" s="61" t="s">
        <v>26</v>
      </c>
      <c r="G2250" s="36">
        <f>333*22</f>
        <v>7326</v>
      </c>
      <c r="H2250" s="36">
        <v>1861</v>
      </c>
      <c r="I2250" s="36">
        <v>3240</v>
      </c>
      <c r="J2250" s="36">
        <v>1800</v>
      </c>
      <c r="K2250" s="36">
        <f t="shared" si="459"/>
        <v>14227</v>
      </c>
      <c r="L2250" s="36">
        <v>30000</v>
      </c>
      <c r="M2250" s="9">
        <f t="shared" si="460"/>
        <v>2.1086666198074084</v>
      </c>
      <c r="N2250" s="5">
        <v>1</v>
      </c>
      <c r="O2250" s="10">
        <f t="shared" si="461"/>
        <v>2.1086666198074084</v>
      </c>
    </row>
    <row r="2251" spans="1:15" ht="13.5" hidden="1" customHeight="1">
      <c r="B2251" s="33">
        <f t="shared" ref="B2251:B2252" si="462">+B2250+1</f>
        <v>3</v>
      </c>
      <c r="C2251" s="60" t="s">
        <v>677</v>
      </c>
      <c r="D2251" s="60" t="s">
        <v>678</v>
      </c>
      <c r="E2251" s="61"/>
      <c r="F2251" s="61" t="s">
        <v>217</v>
      </c>
      <c r="G2251" s="36">
        <f>400*5</f>
        <v>2000</v>
      </c>
      <c r="H2251" s="36">
        <v>1861</v>
      </c>
      <c r="I2251" s="36">
        <v>7890</v>
      </c>
      <c r="J2251" s="36">
        <v>500</v>
      </c>
      <c r="K2251" s="36">
        <f t="shared" si="459"/>
        <v>12251</v>
      </c>
      <c r="L2251" s="36">
        <v>30000</v>
      </c>
      <c r="M2251" s="9">
        <f t="shared" si="460"/>
        <v>2.4487796914537587</v>
      </c>
      <c r="N2251" s="5">
        <v>1</v>
      </c>
      <c r="O2251" s="10">
        <f t="shared" si="461"/>
        <v>2.4487796914537587</v>
      </c>
    </row>
    <row r="2252" spans="1:15" ht="13.5" hidden="1" customHeight="1">
      <c r="B2252" s="33">
        <f t="shared" si="462"/>
        <v>4</v>
      </c>
      <c r="C2252" s="60" t="s">
        <v>679</v>
      </c>
      <c r="D2252" s="60" t="s">
        <v>680</v>
      </c>
      <c r="E2252" s="61"/>
      <c r="F2252" s="61" t="s">
        <v>26</v>
      </c>
      <c r="G2252" s="36">
        <f>333*22</f>
        <v>7326</v>
      </c>
      <c r="H2252" s="36">
        <v>1861</v>
      </c>
      <c r="I2252" s="36">
        <v>3240</v>
      </c>
      <c r="J2252" s="36">
        <v>1800</v>
      </c>
      <c r="K2252" s="36">
        <f t="shared" si="459"/>
        <v>14227</v>
      </c>
      <c r="L2252" s="36">
        <v>30000</v>
      </c>
      <c r="M2252" s="9">
        <f t="shared" si="460"/>
        <v>2.1086666198074084</v>
      </c>
      <c r="N2252" s="5">
        <v>1</v>
      </c>
      <c r="O2252" s="10">
        <f t="shared" si="461"/>
        <v>2.1086666198074084</v>
      </c>
    </row>
    <row r="2253" spans="1:15" ht="17.25" hidden="1" customHeight="1">
      <c r="A2253" s="66" t="s">
        <v>45</v>
      </c>
      <c r="B2253" s="66"/>
      <c r="C2253" s="66"/>
      <c r="D2253" s="66"/>
      <c r="E2253" s="66"/>
      <c r="F2253" s="66"/>
      <c r="G2253" s="66"/>
      <c r="H2253" s="66"/>
      <c r="I2253" s="66"/>
      <c r="J2253" s="66"/>
      <c r="K2253" s="66"/>
      <c r="L2253" s="66"/>
      <c r="M2253" s="66"/>
      <c r="N2253" s="22">
        <f>SUM(N2249:N2252)</f>
        <v>4</v>
      </c>
      <c r="O2253" s="23">
        <f>SUM(O2249:O2252)</f>
        <v>11.168251446863579</v>
      </c>
    </row>
    <row r="2254" spans="1:15" ht="13.5" hidden="1" customHeight="1">
      <c r="A2254" s="44" t="s">
        <v>684</v>
      </c>
      <c r="B2254" s="44"/>
      <c r="C2254" s="44"/>
      <c r="D2254" s="44"/>
      <c r="E2254" s="44"/>
      <c r="F2254" s="44"/>
      <c r="G2254" s="44"/>
      <c r="H2254" s="44"/>
      <c r="I2254" s="44"/>
      <c r="J2254" s="44"/>
      <c r="K2254" s="44"/>
      <c r="L2254" s="44"/>
      <c r="M2254" s="44"/>
      <c r="N2254" s="44"/>
      <c r="O2254" s="44"/>
    </row>
    <row r="2255" spans="1:15" ht="13.5" hidden="1" customHeight="1">
      <c r="B2255" s="33">
        <v>1</v>
      </c>
      <c r="C2255" s="60" t="s">
        <v>335</v>
      </c>
      <c r="D2255" s="60" t="s">
        <v>675</v>
      </c>
      <c r="E2255" s="61"/>
      <c r="F2255" s="61" t="s">
        <v>159</v>
      </c>
      <c r="G2255" s="36">
        <f>333*19</f>
        <v>6327</v>
      </c>
      <c r="H2255" s="36">
        <v>1861</v>
      </c>
      <c r="I2255" s="36">
        <v>3240</v>
      </c>
      <c r="J2255" s="36">
        <v>900</v>
      </c>
      <c r="K2255" s="36">
        <f t="shared" ref="K2255:K2258" si="463">SUM(G2255:J2255)</f>
        <v>12328</v>
      </c>
      <c r="L2255" s="36">
        <v>60000</v>
      </c>
      <c r="M2255" s="9">
        <f t="shared" ref="M2255:M2258" si="464">L2255/K2255</f>
        <v>4.8669695003244646</v>
      </c>
      <c r="N2255" s="5">
        <v>1</v>
      </c>
      <c r="O2255" s="10">
        <f t="shared" ref="O2255:O2258" si="465">N2255*M2255</f>
        <v>4.8669695003244646</v>
      </c>
    </row>
    <row r="2256" spans="1:15" ht="13.5" hidden="1" customHeight="1">
      <c r="B2256" s="33">
        <f>+B2255+1</f>
        <v>2</v>
      </c>
      <c r="C2256" s="60" t="s">
        <v>49</v>
      </c>
      <c r="D2256" s="60" t="s">
        <v>676</v>
      </c>
      <c r="E2256" s="61"/>
      <c r="F2256" s="61" t="s">
        <v>26</v>
      </c>
      <c r="G2256" s="36">
        <f>333*19</f>
        <v>6327</v>
      </c>
      <c r="H2256" s="36">
        <v>1861</v>
      </c>
      <c r="I2256" s="36">
        <v>3240</v>
      </c>
      <c r="J2256" s="36">
        <v>900</v>
      </c>
      <c r="K2256" s="36">
        <f t="shared" si="463"/>
        <v>12328</v>
      </c>
      <c r="L2256" s="36">
        <v>30000</v>
      </c>
      <c r="M2256" s="9">
        <f t="shared" si="464"/>
        <v>2.4334847501622323</v>
      </c>
      <c r="N2256" s="5">
        <v>1</v>
      </c>
      <c r="O2256" s="10">
        <f t="shared" si="465"/>
        <v>2.4334847501622323</v>
      </c>
    </row>
    <row r="2257" spans="1:15" ht="13.5" hidden="1" customHeight="1">
      <c r="B2257" s="33">
        <f t="shared" ref="B2257:B2258" si="466">+B2256+1</f>
        <v>3</v>
      </c>
      <c r="C2257" s="60" t="s">
        <v>677</v>
      </c>
      <c r="D2257" s="60" t="s">
        <v>678</v>
      </c>
      <c r="E2257" s="61"/>
      <c r="F2257" s="61" t="s">
        <v>217</v>
      </c>
      <c r="G2257" s="36">
        <f>400*12</f>
        <v>4800</v>
      </c>
      <c r="H2257" s="36">
        <v>1861</v>
      </c>
      <c r="I2257" s="36">
        <v>7890</v>
      </c>
      <c r="J2257" s="36">
        <v>500</v>
      </c>
      <c r="K2257" s="36">
        <f t="shared" si="463"/>
        <v>15051</v>
      </c>
      <c r="L2257" s="36">
        <v>30000</v>
      </c>
      <c r="M2257" s="9">
        <f t="shared" si="464"/>
        <v>1.9932230416583616</v>
      </c>
      <c r="N2257" s="5">
        <v>1</v>
      </c>
      <c r="O2257" s="10">
        <f t="shared" si="465"/>
        <v>1.9932230416583616</v>
      </c>
    </row>
    <row r="2258" spans="1:15" ht="13.5" hidden="1" customHeight="1">
      <c r="B2258" s="33">
        <f t="shared" si="466"/>
        <v>4</v>
      </c>
      <c r="C2258" s="60" t="s">
        <v>679</v>
      </c>
      <c r="D2258" s="60" t="s">
        <v>680</v>
      </c>
      <c r="E2258" s="61"/>
      <c r="F2258" s="61" t="s">
        <v>26</v>
      </c>
      <c r="G2258" s="36">
        <f>333*19</f>
        <v>6327</v>
      </c>
      <c r="H2258" s="36">
        <v>1861</v>
      </c>
      <c r="I2258" s="36">
        <v>3240</v>
      </c>
      <c r="J2258" s="36">
        <v>900</v>
      </c>
      <c r="K2258" s="36">
        <f t="shared" si="463"/>
        <v>12328</v>
      </c>
      <c r="L2258" s="36">
        <v>30000</v>
      </c>
      <c r="M2258" s="9">
        <f t="shared" si="464"/>
        <v>2.4334847501622323</v>
      </c>
      <c r="N2258" s="5">
        <v>1</v>
      </c>
      <c r="O2258" s="10">
        <f t="shared" si="465"/>
        <v>2.4334847501622323</v>
      </c>
    </row>
    <row r="2259" spans="1:15" ht="17.25" hidden="1" customHeight="1">
      <c r="A2259" s="66" t="s">
        <v>45</v>
      </c>
      <c r="B2259" s="66"/>
      <c r="C2259" s="66"/>
      <c r="D2259" s="66"/>
      <c r="E2259" s="66"/>
      <c r="F2259" s="66"/>
      <c r="G2259" s="66"/>
      <c r="H2259" s="66"/>
      <c r="I2259" s="66"/>
      <c r="J2259" s="66"/>
      <c r="K2259" s="66"/>
      <c r="L2259" s="66"/>
      <c r="M2259" s="66"/>
      <c r="N2259" s="22">
        <f>SUM(N2255:N2258)</f>
        <v>4</v>
      </c>
      <c r="O2259" s="23">
        <f>SUM(O2255:O2258)</f>
        <v>11.727162042307292</v>
      </c>
    </row>
    <row r="2260" spans="1:15" ht="13.5" hidden="1" customHeight="1">
      <c r="A2260" s="44" t="s">
        <v>685</v>
      </c>
      <c r="B2260" s="44"/>
      <c r="C2260" s="44"/>
      <c r="D2260" s="44"/>
      <c r="E2260" s="44"/>
      <c r="F2260" s="44"/>
      <c r="G2260" s="44"/>
      <c r="H2260" s="44"/>
      <c r="I2260" s="44"/>
      <c r="J2260" s="44"/>
      <c r="K2260" s="44"/>
      <c r="L2260" s="44"/>
      <c r="M2260" s="44"/>
      <c r="N2260" s="44"/>
      <c r="O2260" s="44"/>
    </row>
    <row r="2261" spans="1:15" ht="13.5" hidden="1" customHeight="1">
      <c r="B2261" s="33">
        <v>1</v>
      </c>
      <c r="C2261" s="60" t="s">
        <v>335</v>
      </c>
      <c r="D2261" s="60" t="s">
        <v>675</v>
      </c>
      <c r="E2261" s="61"/>
      <c r="F2261" s="61" t="s">
        <v>159</v>
      </c>
      <c r="G2261" s="36">
        <f>333*15</f>
        <v>4995</v>
      </c>
      <c r="H2261" s="36">
        <v>1861</v>
      </c>
      <c r="I2261" s="36">
        <v>3240</v>
      </c>
      <c r="J2261" s="36">
        <v>900</v>
      </c>
      <c r="K2261" s="36">
        <f t="shared" ref="K2261:K2264" si="467">SUM(G2261:J2261)</f>
        <v>10996</v>
      </c>
      <c r="L2261" s="36">
        <v>60000</v>
      </c>
      <c r="M2261" s="9">
        <f t="shared" ref="M2261:M2264" si="468">L2261/K2261</f>
        <v>5.456529647144416</v>
      </c>
      <c r="N2261" s="5">
        <v>1</v>
      </c>
      <c r="O2261" s="10">
        <f t="shared" ref="O2261:O2264" si="469">N2261*M2261</f>
        <v>5.456529647144416</v>
      </c>
    </row>
    <row r="2262" spans="1:15" ht="13.5" hidden="1" customHeight="1">
      <c r="B2262" s="33">
        <f>+B2261+1</f>
        <v>2</v>
      </c>
      <c r="C2262" s="60" t="s">
        <v>49</v>
      </c>
      <c r="D2262" s="60" t="s">
        <v>676</v>
      </c>
      <c r="E2262" s="61"/>
      <c r="F2262" s="61" t="s">
        <v>26</v>
      </c>
      <c r="G2262" s="36">
        <f>333*19</f>
        <v>6327</v>
      </c>
      <c r="H2262" s="36">
        <v>1861</v>
      </c>
      <c r="I2262" s="36">
        <v>3240</v>
      </c>
      <c r="J2262" s="36">
        <v>900</v>
      </c>
      <c r="K2262" s="36">
        <f t="shared" si="467"/>
        <v>12328</v>
      </c>
      <c r="L2262" s="36">
        <v>30000</v>
      </c>
      <c r="M2262" s="9">
        <f t="shared" si="468"/>
        <v>2.4334847501622323</v>
      </c>
      <c r="N2262" s="5">
        <v>1</v>
      </c>
      <c r="O2262" s="10">
        <f t="shared" si="469"/>
        <v>2.4334847501622323</v>
      </c>
    </row>
    <row r="2263" spans="1:15" ht="13.5" hidden="1" customHeight="1">
      <c r="B2263" s="33">
        <f t="shared" ref="B2263:B2264" si="470">+B2262+1</f>
        <v>3</v>
      </c>
      <c r="C2263" s="60" t="s">
        <v>677</v>
      </c>
      <c r="D2263" s="60" t="s">
        <v>678</v>
      </c>
      <c r="E2263" s="61"/>
      <c r="F2263" s="61" t="s">
        <v>217</v>
      </c>
      <c r="G2263" s="36">
        <f>400*12</f>
        <v>4800</v>
      </c>
      <c r="H2263" s="36">
        <v>1861</v>
      </c>
      <c r="I2263" s="36">
        <v>7890</v>
      </c>
      <c r="J2263" s="36">
        <v>500</v>
      </c>
      <c r="K2263" s="36">
        <f t="shared" si="467"/>
        <v>15051</v>
      </c>
      <c r="L2263" s="36">
        <v>30000</v>
      </c>
      <c r="M2263" s="9">
        <f t="shared" si="468"/>
        <v>1.9932230416583616</v>
      </c>
      <c r="N2263" s="5">
        <v>1</v>
      </c>
      <c r="O2263" s="10">
        <f t="shared" si="469"/>
        <v>1.9932230416583616</v>
      </c>
    </row>
    <row r="2264" spans="1:15" ht="13.5" hidden="1" customHeight="1">
      <c r="B2264" s="33">
        <f t="shared" si="470"/>
        <v>4</v>
      </c>
      <c r="C2264" s="60" t="s">
        <v>679</v>
      </c>
      <c r="D2264" s="60" t="s">
        <v>680</v>
      </c>
      <c r="E2264" s="61"/>
      <c r="F2264" s="61" t="s">
        <v>26</v>
      </c>
      <c r="G2264" s="36">
        <f>333*19</f>
        <v>6327</v>
      </c>
      <c r="H2264" s="36">
        <v>1861</v>
      </c>
      <c r="I2264" s="36">
        <v>3240</v>
      </c>
      <c r="J2264" s="36">
        <v>900</v>
      </c>
      <c r="K2264" s="36">
        <f t="shared" si="467"/>
        <v>12328</v>
      </c>
      <c r="L2264" s="36">
        <v>30000</v>
      </c>
      <c r="M2264" s="9">
        <f t="shared" si="468"/>
        <v>2.4334847501622323</v>
      </c>
      <c r="N2264" s="5">
        <v>1</v>
      </c>
      <c r="O2264" s="10">
        <f t="shared" si="469"/>
        <v>2.4334847501622323</v>
      </c>
    </row>
    <row r="2265" spans="1:15" ht="17.25" hidden="1" customHeight="1">
      <c r="A2265" s="66" t="s">
        <v>45</v>
      </c>
      <c r="B2265" s="66"/>
      <c r="C2265" s="66"/>
      <c r="D2265" s="66"/>
      <c r="E2265" s="66"/>
      <c r="F2265" s="66"/>
      <c r="G2265" s="66"/>
      <c r="H2265" s="66"/>
      <c r="I2265" s="66"/>
      <c r="J2265" s="66"/>
      <c r="K2265" s="66"/>
      <c r="L2265" s="66"/>
      <c r="M2265" s="66"/>
      <c r="N2265" s="22">
        <f>SUM(N2261:N2264)</f>
        <v>4</v>
      </c>
      <c r="O2265" s="23">
        <f>SUM(O2261:O2264)</f>
        <v>12.316722189127244</v>
      </c>
    </row>
    <row r="2266" spans="1:15" ht="13.5" hidden="1" customHeight="1">
      <c r="A2266" s="44" t="s">
        <v>686</v>
      </c>
      <c r="B2266" s="44"/>
      <c r="C2266" s="44"/>
      <c r="D2266" s="44"/>
      <c r="E2266" s="44"/>
      <c r="F2266" s="44"/>
      <c r="G2266" s="44"/>
      <c r="H2266" s="44"/>
      <c r="I2266" s="44"/>
      <c r="J2266" s="44"/>
      <c r="K2266" s="44"/>
      <c r="L2266" s="44"/>
      <c r="M2266" s="44"/>
      <c r="N2266" s="44"/>
      <c r="O2266" s="44"/>
    </row>
    <row r="2267" spans="1:15" ht="13.5" hidden="1" customHeight="1">
      <c r="B2267" s="33">
        <v>1</v>
      </c>
      <c r="C2267" s="60" t="s">
        <v>335</v>
      </c>
      <c r="D2267" s="60" t="s">
        <v>675</v>
      </c>
      <c r="E2267" s="61"/>
      <c r="F2267" s="61" t="s">
        <v>159</v>
      </c>
      <c r="G2267" s="36">
        <f>333*22</f>
        <v>7326</v>
      </c>
      <c r="H2267" s="36">
        <v>1861</v>
      </c>
      <c r="I2267" s="36">
        <v>3240</v>
      </c>
      <c r="J2267" s="36">
        <v>900</v>
      </c>
      <c r="K2267" s="36">
        <f t="shared" ref="K2267:K2270" si="471">SUM(G2267:J2267)</f>
        <v>13327</v>
      </c>
      <c r="L2267" s="36">
        <v>60000</v>
      </c>
      <c r="M2267" s="9">
        <f t="shared" ref="M2267:M2270" si="472">L2267/K2267</f>
        <v>4.5021385157950027</v>
      </c>
      <c r="N2267" s="5">
        <v>1</v>
      </c>
      <c r="O2267" s="10">
        <f t="shared" ref="O2267:O2270" si="473">N2267*M2267</f>
        <v>4.5021385157950027</v>
      </c>
    </row>
    <row r="2268" spans="1:15" ht="13.5" hidden="1" customHeight="1">
      <c r="B2268" s="33">
        <f>+B2267+1</f>
        <v>2</v>
      </c>
      <c r="C2268" s="60" t="s">
        <v>49</v>
      </c>
      <c r="D2268" s="60" t="s">
        <v>676</v>
      </c>
      <c r="E2268" s="61"/>
      <c r="F2268" s="61" t="s">
        <v>26</v>
      </c>
      <c r="G2268" s="36">
        <f>333*22</f>
        <v>7326</v>
      </c>
      <c r="H2268" s="36">
        <v>1861</v>
      </c>
      <c r="I2268" s="36">
        <v>3240</v>
      </c>
      <c r="J2268" s="36">
        <v>1800</v>
      </c>
      <c r="K2268" s="36">
        <f t="shared" si="471"/>
        <v>14227</v>
      </c>
      <c r="L2268" s="36">
        <v>30000</v>
      </c>
      <c r="M2268" s="9">
        <f t="shared" si="472"/>
        <v>2.1086666198074084</v>
      </c>
      <c r="N2268" s="5">
        <v>1</v>
      </c>
      <c r="O2268" s="10">
        <f t="shared" si="473"/>
        <v>2.1086666198074084</v>
      </c>
    </row>
    <row r="2269" spans="1:15" ht="13.5" hidden="1" customHeight="1">
      <c r="B2269" s="33">
        <f t="shared" ref="B2269:B2270" si="474">+B2268+1</f>
        <v>3</v>
      </c>
      <c r="C2269" s="60" t="s">
        <v>677</v>
      </c>
      <c r="D2269" s="60" t="s">
        <v>678</v>
      </c>
      <c r="E2269" s="61"/>
      <c r="F2269" s="61" t="s">
        <v>217</v>
      </c>
      <c r="G2269" s="36">
        <f>400*5</f>
        <v>2000</v>
      </c>
      <c r="H2269" s="36">
        <v>1861</v>
      </c>
      <c r="I2269" s="36">
        <v>7890</v>
      </c>
      <c r="J2269" s="36">
        <v>500</v>
      </c>
      <c r="K2269" s="36">
        <f t="shared" si="471"/>
        <v>12251</v>
      </c>
      <c r="L2269" s="36">
        <v>30000</v>
      </c>
      <c r="M2269" s="9">
        <f t="shared" si="472"/>
        <v>2.4487796914537587</v>
      </c>
      <c r="N2269" s="5">
        <v>1</v>
      </c>
      <c r="O2269" s="10">
        <f t="shared" si="473"/>
        <v>2.4487796914537587</v>
      </c>
    </row>
    <row r="2270" spans="1:15" ht="13.5" hidden="1" customHeight="1">
      <c r="B2270" s="33">
        <f t="shared" si="474"/>
        <v>4</v>
      </c>
      <c r="C2270" s="60" t="s">
        <v>679</v>
      </c>
      <c r="D2270" s="60" t="s">
        <v>680</v>
      </c>
      <c r="E2270" s="61"/>
      <c r="F2270" s="61" t="s">
        <v>26</v>
      </c>
      <c r="G2270" s="36">
        <f>333*22</f>
        <v>7326</v>
      </c>
      <c r="H2270" s="36">
        <v>1861</v>
      </c>
      <c r="I2270" s="36">
        <v>3240</v>
      </c>
      <c r="J2270" s="36">
        <v>1800</v>
      </c>
      <c r="K2270" s="36">
        <f t="shared" si="471"/>
        <v>14227</v>
      </c>
      <c r="L2270" s="36">
        <v>30000</v>
      </c>
      <c r="M2270" s="9">
        <f t="shared" si="472"/>
        <v>2.1086666198074084</v>
      </c>
      <c r="N2270" s="5">
        <v>1</v>
      </c>
      <c r="O2270" s="10">
        <f t="shared" si="473"/>
        <v>2.1086666198074084</v>
      </c>
    </row>
    <row r="2271" spans="1:15" ht="17.25" hidden="1" customHeight="1">
      <c r="A2271" s="66" t="s">
        <v>45</v>
      </c>
      <c r="B2271" s="66"/>
      <c r="C2271" s="66"/>
      <c r="D2271" s="66"/>
      <c r="E2271" s="66"/>
      <c r="F2271" s="66"/>
      <c r="G2271" s="66"/>
      <c r="H2271" s="66"/>
      <c r="I2271" s="66"/>
      <c r="J2271" s="66"/>
      <c r="K2271" s="66"/>
      <c r="L2271" s="66"/>
      <c r="M2271" s="66"/>
      <c r="N2271" s="22">
        <f>SUM(N2267:N2270)</f>
        <v>4</v>
      </c>
      <c r="O2271" s="23">
        <f>SUM(O2267:O2270)</f>
        <v>11.168251446863579</v>
      </c>
    </row>
    <row r="2272" spans="1:15" ht="13.5" customHeight="1">
      <c r="A2272" s="44" t="s">
        <v>683</v>
      </c>
      <c r="B2272" s="44"/>
      <c r="C2272" s="44"/>
      <c r="D2272" s="44"/>
      <c r="E2272" s="44"/>
      <c r="F2272" s="44"/>
      <c r="G2272" s="44"/>
      <c r="H2272" s="44"/>
      <c r="I2272" s="44"/>
      <c r="J2272" s="44"/>
      <c r="K2272" s="44"/>
      <c r="L2272" s="44"/>
      <c r="M2272" s="44"/>
      <c r="N2272" s="44"/>
      <c r="O2272" s="44"/>
    </row>
    <row r="2273" spans="1:15" ht="13.5" customHeight="1">
      <c r="B2273" s="33">
        <v>1</v>
      </c>
      <c r="C2273" s="60"/>
      <c r="D2273" s="60"/>
      <c r="E2273" s="61"/>
      <c r="F2273" s="61" t="s">
        <v>159</v>
      </c>
      <c r="G2273" s="36">
        <f>+G2267+G2261+G2255</f>
        <v>18648</v>
      </c>
      <c r="H2273" s="36">
        <f t="shared" ref="H2273:J2273" si="475">+H2267+H2261+H2255</f>
        <v>5583</v>
      </c>
      <c r="I2273" s="36">
        <f t="shared" si="475"/>
        <v>9720</v>
      </c>
      <c r="J2273" s="36">
        <f t="shared" si="475"/>
        <v>2700</v>
      </c>
      <c r="K2273" s="36">
        <f t="shared" ref="K2273:K2276" si="476">SUM(G2273:J2273)</f>
        <v>36651</v>
      </c>
      <c r="L2273" s="36">
        <v>120000</v>
      </c>
      <c r="M2273" s="9">
        <f t="shared" ref="M2273:M2276" si="477">L2273/K2273</f>
        <v>3.2741262175656871</v>
      </c>
      <c r="N2273" s="5">
        <v>1</v>
      </c>
      <c r="O2273" s="10">
        <f t="shared" ref="O2273:O2276" si="478">IF(M2273&gt;1,1,M2273)</f>
        <v>1</v>
      </c>
    </row>
    <row r="2274" spans="1:15" ht="13.5" customHeight="1">
      <c r="B2274" s="33">
        <f>+B2273+1</f>
        <v>2</v>
      </c>
      <c r="C2274" s="60"/>
      <c r="D2274" s="60"/>
      <c r="E2274" s="61"/>
      <c r="F2274" s="61" t="s">
        <v>26</v>
      </c>
      <c r="G2274" s="36">
        <f t="shared" ref="G2274:J2274" si="479">+G2268+G2262+G2256</f>
        <v>19980</v>
      </c>
      <c r="H2274" s="36">
        <f t="shared" si="479"/>
        <v>5583</v>
      </c>
      <c r="I2274" s="36">
        <f t="shared" si="479"/>
        <v>9720</v>
      </c>
      <c r="J2274" s="36">
        <f t="shared" si="479"/>
        <v>3600</v>
      </c>
      <c r="K2274" s="36">
        <f t="shared" si="476"/>
        <v>38883</v>
      </c>
      <c r="L2274" s="36">
        <v>60000</v>
      </c>
      <c r="M2274" s="9">
        <f t="shared" si="477"/>
        <v>1.5430908108942212</v>
      </c>
      <c r="N2274" s="5">
        <v>1</v>
      </c>
      <c r="O2274" s="10">
        <f t="shared" si="478"/>
        <v>1</v>
      </c>
    </row>
    <row r="2275" spans="1:15" ht="13.5" customHeight="1">
      <c r="B2275" s="33">
        <f t="shared" ref="B2275:B2276" si="480">+B2274+1</f>
        <v>3</v>
      </c>
      <c r="C2275" s="60"/>
      <c r="D2275" s="60"/>
      <c r="E2275" s="61"/>
      <c r="F2275" s="61" t="s">
        <v>217</v>
      </c>
      <c r="G2275" s="36">
        <f t="shared" ref="G2275:J2275" si="481">+G2269+G2263+G2257</f>
        <v>11600</v>
      </c>
      <c r="H2275" s="36">
        <f t="shared" si="481"/>
        <v>5583</v>
      </c>
      <c r="I2275" s="36">
        <f t="shared" si="481"/>
        <v>23670</v>
      </c>
      <c r="J2275" s="36">
        <f t="shared" si="481"/>
        <v>1500</v>
      </c>
      <c r="K2275" s="36">
        <f t="shared" si="476"/>
        <v>42353</v>
      </c>
      <c r="L2275" s="36">
        <v>60000</v>
      </c>
      <c r="M2275" s="9">
        <f t="shared" si="477"/>
        <v>1.4166646990768068</v>
      </c>
      <c r="N2275" s="5">
        <v>1</v>
      </c>
      <c r="O2275" s="10">
        <f t="shared" si="478"/>
        <v>1</v>
      </c>
    </row>
    <row r="2276" spans="1:15" ht="13.5" customHeight="1">
      <c r="B2276" s="33">
        <f t="shared" si="480"/>
        <v>4</v>
      </c>
      <c r="C2276" s="60"/>
      <c r="D2276" s="60"/>
      <c r="E2276" s="61"/>
      <c r="F2276" s="61" t="s">
        <v>26</v>
      </c>
      <c r="G2276" s="36">
        <f t="shared" ref="G2276:J2276" si="482">+G2270+G2264+G2258</f>
        <v>19980</v>
      </c>
      <c r="H2276" s="36">
        <f t="shared" si="482"/>
        <v>5583</v>
      </c>
      <c r="I2276" s="36">
        <f t="shared" si="482"/>
        <v>9720</v>
      </c>
      <c r="J2276" s="36">
        <f t="shared" si="482"/>
        <v>3600</v>
      </c>
      <c r="K2276" s="36">
        <f t="shared" si="476"/>
        <v>38883</v>
      </c>
      <c r="L2276" s="36">
        <v>60000</v>
      </c>
      <c r="M2276" s="9">
        <f t="shared" si="477"/>
        <v>1.5430908108942212</v>
      </c>
      <c r="N2276" s="5">
        <v>1</v>
      </c>
      <c r="O2276" s="10">
        <f t="shared" si="478"/>
        <v>1</v>
      </c>
    </row>
    <row r="2277" spans="1:15" ht="17.25" customHeight="1">
      <c r="A2277" s="66" t="s">
        <v>45</v>
      </c>
      <c r="B2277" s="66"/>
      <c r="C2277" s="66"/>
      <c r="D2277" s="66"/>
      <c r="E2277" s="66"/>
      <c r="F2277" s="66"/>
      <c r="G2277" s="66"/>
      <c r="H2277" s="66"/>
      <c r="I2277" s="66"/>
      <c r="J2277" s="66"/>
      <c r="K2277" s="66"/>
      <c r="L2277" s="66"/>
      <c r="M2277" s="66"/>
      <c r="N2277" s="22">
        <f>SUM(N2273:N2276)</f>
        <v>4</v>
      </c>
      <c r="O2277" s="23">
        <f>SUM(O2273:O2276)</f>
        <v>4</v>
      </c>
    </row>
    <row r="2278" spans="1:15" ht="13.5" hidden="1" customHeight="1">
      <c r="A2278" s="44" t="s">
        <v>687</v>
      </c>
      <c r="B2278" s="44"/>
      <c r="C2278" s="44"/>
      <c r="D2278" s="44"/>
      <c r="E2278" s="44"/>
      <c r="F2278" s="44"/>
      <c r="G2278" s="44"/>
      <c r="H2278" s="44"/>
      <c r="I2278" s="44"/>
      <c r="J2278" s="44"/>
      <c r="K2278" s="44"/>
      <c r="L2278" s="44"/>
      <c r="M2278" s="44"/>
      <c r="N2278" s="44"/>
      <c r="O2278" s="44"/>
    </row>
    <row r="2279" spans="1:15" ht="13.5" hidden="1" customHeight="1">
      <c r="B2279" s="33">
        <v>1</v>
      </c>
      <c r="C2279" s="60" t="s">
        <v>688</v>
      </c>
      <c r="D2279" s="60" t="s">
        <v>689</v>
      </c>
      <c r="E2279" s="61"/>
      <c r="F2279" s="61" t="s">
        <v>42</v>
      </c>
      <c r="G2279" s="36">
        <f>333*20</f>
        <v>6660</v>
      </c>
      <c r="H2279" s="36">
        <v>1861</v>
      </c>
      <c r="I2279" s="36">
        <v>3240</v>
      </c>
      <c r="J2279" s="36">
        <v>500</v>
      </c>
      <c r="K2279" s="36">
        <f t="shared" ref="K2279" si="483">SUM(G2279:J2279)</f>
        <v>12261</v>
      </c>
      <c r="L2279" s="36">
        <v>60000</v>
      </c>
      <c r="M2279" s="9">
        <f t="shared" ref="M2279" si="484">L2279/K2279</f>
        <v>4.8935649620748718</v>
      </c>
      <c r="N2279" s="5">
        <v>1</v>
      </c>
      <c r="O2279" s="10">
        <f t="shared" ref="O2279" si="485">N2279*M2279</f>
        <v>4.8935649620748718</v>
      </c>
    </row>
    <row r="2280" spans="1:15" ht="17.25" hidden="1" customHeight="1">
      <c r="A2280" s="66" t="s">
        <v>45</v>
      </c>
      <c r="B2280" s="66"/>
      <c r="C2280" s="66"/>
      <c r="D2280" s="66"/>
      <c r="E2280" s="66"/>
      <c r="F2280" s="66"/>
      <c r="G2280" s="66"/>
      <c r="H2280" s="66"/>
      <c r="I2280" s="66"/>
      <c r="J2280" s="66"/>
      <c r="K2280" s="66"/>
      <c r="L2280" s="66"/>
      <c r="M2280" s="66"/>
      <c r="N2280" s="22">
        <f>SUM(N2279:N2279)</f>
        <v>1</v>
      </c>
      <c r="O2280" s="23">
        <f>SUM(O2279:O2279)</f>
        <v>4.8935649620748718</v>
      </c>
    </row>
    <row r="2281" spans="1:15" ht="13.5" hidden="1" customHeight="1">
      <c r="A2281" s="44" t="s">
        <v>690</v>
      </c>
      <c r="B2281" s="44"/>
      <c r="C2281" s="44"/>
      <c r="D2281" s="44"/>
      <c r="E2281" s="44"/>
      <c r="F2281" s="44"/>
      <c r="G2281" s="44"/>
      <c r="H2281" s="44"/>
      <c r="I2281" s="44"/>
      <c r="J2281" s="44"/>
      <c r="K2281" s="44"/>
      <c r="L2281" s="44"/>
      <c r="M2281" s="44"/>
      <c r="N2281" s="44"/>
      <c r="O2281" s="44"/>
    </row>
    <row r="2282" spans="1:15" ht="13.5" hidden="1" customHeight="1">
      <c r="B2282" s="33">
        <v>1</v>
      </c>
      <c r="C2282" s="60" t="s">
        <v>688</v>
      </c>
      <c r="D2282" s="60" t="s">
        <v>689</v>
      </c>
      <c r="E2282" s="61"/>
      <c r="F2282" s="61" t="s">
        <v>42</v>
      </c>
      <c r="G2282" s="36">
        <f>333*21</f>
        <v>6993</v>
      </c>
      <c r="H2282" s="36">
        <v>1861</v>
      </c>
      <c r="I2282" s="36">
        <v>3240</v>
      </c>
      <c r="J2282" s="36">
        <v>500</v>
      </c>
      <c r="K2282" s="36">
        <f t="shared" ref="K2282" si="486">SUM(G2282:J2282)</f>
        <v>12594</v>
      </c>
      <c r="L2282" s="36">
        <v>60000</v>
      </c>
      <c r="M2282" s="9">
        <f t="shared" ref="M2282" si="487">L2282/K2282</f>
        <v>4.7641734159123388</v>
      </c>
      <c r="N2282" s="5">
        <v>1</v>
      </c>
      <c r="O2282" s="10">
        <f t="shared" ref="O2282" si="488">N2282*M2282</f>
        <v>4.7641734159123388</v>
      </c>
    </row>
    <row r="2283" spans="1:15" ht="17.25" hidden="1" customHeight="1">
      <c r="A2283" s="66" t="s">
        <v>45</v>
      </c>
      <c r="B2283" s="66"/>
      <c r="C2283" s="66"/>
      <c r="D2283" s="66"/>
      <c r="E2283" s="66"/>
      <c r="F2283" s="66"/>
      <c r="G2283" s="66"/>
      <c r="H2283" s="66"/>
      <c r="I2283" s="66"/>
      <c r="J2283" s="66"/>
      <c r="K2283" s="66"/>
      <c r="L2283" s="66"/>
      <c r="M2283" s="66"/>
      <c r="N2283" s="22">
        <f>SUM(N2282:N2282)</f>
        <v>1</v>
      </c>
      <c r="O2283" s="23">
        <f>SUM(O2282:O2282)</f>
        <v>4.7641734159123388</v>
      </c>
    </row>
    <row r="2284" spans="1:15" ht="13.5" hidden="1" customHeight="1">
      <c r="A2284" s="44" t="s">
        <v>691</v>
      </c>
      <c r="B2284" s="44"/>
      <c r="C2284" s="44"/>
      <c r="D2284" s="44"/>
      <c r="E2284" s="44"/>
      <c r="F2284" s="44"/>
      <c r="G2284" s="44"/>
      <c r="H2284" s="44"/>
      <c r="I2284" s="44"/>
      <c r="J2284" s="44"/>
      <c r="K2284" s="44"/>
      <c r="L2284" s="44"/>
      <c r="M2284" s="44"/>
      <c r="N2284" s="44"/>
      <c r="O2284" s="44"/>
    </row>
    <row r="2285" spans="1:15" ht="13.5" hidden="1" customHeight="1">
      <c r="B2285" s="33">
        <v>1</v>
      </c>
      <c r="C2285" s="60" t="s">
        <v>688</v>
      </c>
      <c r="D2285" s="60" t="s">
        <v>689</v>
      </c>
      <c r="E2285" s="61"/>
      <c r="F2285" s="61" t="s">
        <v>42</v>
      </c>
      <c r="G2285" s="36">
        <f>333*21</f>
        <v>6993</v>
      </c>
      <c r="H2285" s="36">
        <v>1861</v>
      </c>
      <c r="I2285" s="36">
        <v>3240</v>
      </c>
      <c r="J2285" s="36">
        <v>500</v>
      </c>
      <c r="K2285" s="36">
        <f t="shared" ref="K2285" si="489">SUM(G2285:J2285)</f>
        <v>12594</v>
      </c>
      <c r="L2285" s="36">
        <v>60000</v>
      </c>
      <c r="M2285" s="9">
        <f t="shared" ref="M2285" si="490">L2285/K2285</f>
        <v>4.7641734159123388</v>
      </c>
      <c r="N2285" s="5">
        <v>1</v>
      </c>
      <c r="O2285" s="10">
        <f t="shared" ref="O2285" si="491">N2285*M2285</f>
        <v>4.7641734159123388</v>
      </c>
    </row>
    <row r="2286" spans="1:15" ht="17.25" hidden="1" customHeight="1">
      <c r="A2286" s="66" t="s">
        <v>45</v>
      </c>
      <c r="B2286" s="66"/>
      <c r="C2286" s="66"/>
      <c r="D2286" s="66"/>
      <c r="E2286" s="66"/>
      <c r="F2286" s="66"/>
      <c r="G2286" s="66"/>
      <c r="H2286" s="66"/>
      <c r="I2286" s="66"/>
      <c r="J2286" s="66"/>
      <c r="K2286" s="66"/>
      <c r="L2286" s="66"/>
      <c r="M2286" s="66"/>
      <c r="N2286" s="22">
        <f>SUM(N2285:N2285)</f>
        <v>1</v>
      </c>
      <c r="O2286" s="23">
        <f>SUM(O2285:O2285)</f>
        <v>4.7641734159123388</v>
      </c>
    </row>
    <row r="2287" spans="1:15" ht="13.5" customHeight="1">
      <c r="A2287" s="44" t="s">
        <v>692</v>
      </c>
      <c r="B2287" s="44"/>
      <c r="C2287" s="44"/>
      <c r="D2287" s="44"/>
      <c r="E2287" s="44"/>
      <c r="F2287" s="44"/>
      <c r="G2287" s="44"/>
      <c r="H2287" s="44"/>
      <c r="I2287" s="44"/>
      <c r="J2287" s="44"/>
      <c r="K2287" s="44"/>
      <c r="L2287" s="44"/>
      <c r="M2287" s="44"/>
      <c r="N2287" s="44"/>
      <c r="O2287" s="44"/>
    </row>
    <row r="2288" spans="1:15" ht="13.5" customHeight="1">
      <c r="B2288" s="33">
        <v>1</v>
      </c>
      <c r="C2288" s="60"/>
      <c r="D2288" s="60"/>
      <c r="E2288" s="61"/>
      <c r="F2288" s="61" t="s">
        <v>42</v>
      </c>
      <c r="G2288" s="36">
        <f>+G2285+G2282+G2279</f>
        <v>20646</v>
      </c>
      <c r="H2288" s="36">
        <f t="shared" ref="H2288:J2288" si="492">+H2285+H2282+H2279</f>
        <v>5583</v>
      </c>
      <c r="I2288" s="36">
        <f t="shared" si="492"/>
        <v>9720</v>
      </c>
      <c r="J2288" s="36">
        <f t="shared" si="492"/>
        <v>1500</v>
      </c>
      <c r="K2288" s="36">
        <f t="shared" ref="K2288" si="493">SUM(G2288:J2288)</f>
        <v>37449</v>
      </c>
      <c r="L2288" s="36">
        <v>120000</v>
      </c>
      <c r="M2288" s="9">
        <f t="shared" ref="M2288" si="494">L2288/K2288</f>
        <v>3.2043579267804212</v>
      </c>
      <c r="N2288" s="5">
        <v>1</v>
      </c>
      <c r="O2288" s="10">
        <f t="shared" ref="O2288" si="495">N2288*M2288</f>
        <v>3.2043579267804212</v>
      </c>
    </row>
    <row r="2289" spans="1:15" ht="17.25" customHeight="1">
      <c r="A2289" s="66" t="s">
        <v>45</v>
      </c>
      <c r="B2289" s="66"/>
      <c r="C2289" s="66"/>
      <c r="D2289" s="66"/>
      <c r="E2289" s="66"/>
      <c r="F2289" s="66"/>
      <c r="G2289" s="66"/>
      <c r="H2289" s="66"/>
      <c r="I2289" s="66"/>
      <c r="J2289" s="66"/>
      <c r="K2289" s="66"/>
      <c r="L2289" s="66"/>
      <c r="M2289" s="66"/>
      <c r="N2289" s="22">
        <f>SUM(N2288:N2288)</f>
        <v>1</v>
      </c>
      <c r="O2289" s="23">
        <f>SUM(O2288:O2288)</f>
        <v>3.2043579267804212</v>
      </c>
    </row>
    <row r="2290" spans="1:15" ht="13.5" hidden="1" customHeight="1">
      <c r="A2290" s="44" t="s">
        <v>719</v>
      </c>
      <c r="B2290" s="44"/>
      <c r="C2290" s="44"/>
      <c r="D2290" s="44"/>
      <c r="E2290" s="44"/>
      <c r="F2290" s="44"/>
      <c r="G2290" s="44"/>
      <c r="H2290" s="44"/>
      <c r="I2290" s="44"/>
      <c r="J2290" s="44"/>
      <c r="K2290" s="44"/>
      <c r="L2290" s="44"/>
      <c r="M2290" s="44"/>
      <c r="N2290" s="44"/>
      <c r="O2290" s="44"/>
    </row>
    <row r="2291" spans="1:15" ht="13.5" hidden="1" customHeight="1">
      <c r="B2291" s="33">
        <v>1</v>
      </c>
      <c r="C2291" s="62" t="s">
        <v>710</v>
      </c>
      <c r="D2291" s="62" t="s">
        <v>696</v>
      </c>
      <c r="F2291" s="61" t="s">
        <v>332</v>
      </c>
      <c r="G2291" s="36">
        <f>450*15</f>
        <v>6750</v>
      </c>
      <c r="H2291" s="36">
        <f>1861</f>
        <v>1861</v>
      </c>
      <c r="I2291" s="36">
        <v>3240</v>
      </c>
      <c r="J2291" s="36">
        <v>500</v>
      </c>
      <c r="K2291" s="36">
        <f t="shared" ref="K2291" si="496">SUM(G2291:J2291)</f>
        <v>12351</v>
      </c>
      <c r="L2291" s="36">
        <v>7500</v>
      </c>
      <c r="M2291" s="9">
        <f t="shared" ref="M2291" si="497">L2291/K2291</f>
        <v>0.6072382803011902</v>
      </c>
      <c r="N2291" s="5">
        <v>1</v>
      </c>
      <c r="O2291" s="10">
        <f t="shared" ref="O2291" si="498">N2291*M2291</f>
        <v>0.6072382803011902</v>
      </c>
    </row>
    <row r="2292" spans="1:15" ht="13.5" hidden="1" customHeight="1">
      <c r="B2292" s="33">
        <f>+B2291+1</f>
        <v>2</v>
      </c>
      <c r="C2292" s="62" t="s">
        <v>263</v>
      </c>
      <c r="D2292" s="62" t="s">
        <v>706</v>
      </c>
      <c r="F2292" s="61" t="s">
        <v>42</v>
      </c>
      <c r="G2292" s="36">
        <f>333*20</f>
        <v>6660</v>
      </c>
      <c r="H2292" s="36">
        <f>1861</f>
        <v>1861</v>
      </c>
      <c r="I2292" s="36">
        <v>3240</v>
      </c>
      <c r="J2292" s="36">
        <v>500</v>
      </c>
      <c r="K2292" s="36">
        <f t="shared" ref="K2292:K2307" si="499">SUM(G2292:J2292)</f>
        <v>12261</v>
      </c>
      <c r="L2292" s="36">
        <v>7500</v>
      </c>
      <c r="M2292" s="9">
        <f t="shared" ref="M2292:M2307" si="500">L2292/K2292</f>
        <v>0.61169562025935897</v>
      </c>
      <c r="N2292" s="5">
        <v>1</v>
      </c>
      <c r="O2292" s="10">
        <f t="shared" ref="O2292:O2307" si="501">N2292*M2292</f>
        <v>0.61169562025935897</v>
      </c>
    </row>
    <row r="2293" spans="1:15" ht="13.5" hidden="1" customHeight="1">
      <c r="B2293" s="33">
        <f t="shared" ref="B2293:B2307" si="502">+B2292+1</f>
        <v>3</v>
      </c>
      <c r="C2293" s="62" t="s">
        <v>114</v>
      </c>
      <c r="D2293" s="62" t="s">
        <v>702</v>
      </c>
      <c r="F2293" s="61" t="s">
        <v>417</v>
      </c>
      <c r="G2293" s="36">
        <f>277*3</f>
        <v>831</v>
      </c>
      <c r="H2293" s="36">
        <f>1861</f>
        <v>1861</v>
      </c>
      <c r="I2293" s="36">
        <v>7890</v>
      </c>
      <c r="J2293" s="36">
        <v>500</v>
      </c>
      <c r="K2293" s="36">
        <f t="shared" si="499"/>
        <v>11082</v>
      </c>
      <c r="L2293" s="36">
        <v>7500</v>
      </c>
      <c r="M2293" s="9">
        <f t="shared" si="500"/>
        <v>0.67677314564158098</v>
      </c>
      <c r="N2293" s="5">
        <v>1</v>
      </c>
      <c r="O2293" s="10">
        <f t="shared" si="501"/>
        <v>0.67677314564158098</v>
      </c>
    </row>
    <row r="2294" spans="1:15" ht="13.5" hidden="1" customHeight="1">
      <c r="B2294" s="33">
        <f t="shared" si="502"/>
        <v>4</v>
      </c>
      <c r="C2294" s="62" t="s">
        <v>227</v>
      </c>
      <c r="D2294" s="62" t="s">
        <v>697</v>
      </c>
      <c r="F2294" s="61" t="s">
        <v>44</v>
      </c>
      <c r="G2294" s="36">
        <f>333*21</f>
        <v>6993</v>
      </c>
      <c r="H2294" s="36">
        <f>1861</f>
        <v>1861</v>
      </c>
      <c r="I2294" s="36">
        <v>3240</v>
      </c>
      <c r="J2294" s="36">
        <v>750</v>
      </c>
      <c r="K2294" s="36">
        <f t="shared" si="499"/>
        <v>12844</v>
      </c>
      <c r="L2294" s="36">
        <v>7500</v>
      </c>
      <c r="M2294" s="9">
        <f t="shared" si="500"/>
        <v>0.58393023980068515</v>
      </c>
      <c r="N2294" s="5">
        <v>1</v>
      </c>
      <c r="O2294" s="10">
        <f t="shared" si="501"/>
        <v>0.58393023980068515</v>
      </c>
    </row>
    <row r="2295" spans="1:15" ht="13.5" hidden="1" customHeight="1">
      <c r="B2295" s="33">
        <f t="shared" si="502"/>
        <v>5</v>
      </c>
      <c r="C2295" s="62" t="s">
        <v>707</v>
      </c>
      <c r="D2295" s="62" t="s">
        <v>694</v>
      </c>
      <c r="F2295" s="61" t="s">
        <v>693</v>
      </c>
      <c r="G2295" s="36">
        <f>277*4</f>
        <v>1108</v>
      </c>
      <c r="H2295" s="36">
        <f>1861</f>
        <v>1861</v>
      </c>
      <c r="I2295" s="36">
        <v>7890</v>
      </c>
      <c r="J2295" s="36">
        <v>750</v>
      </c>
      <c r="K2295" s="36">
        <f t="shared" si="499"/>
        <v>11609</v>
      </c>
      <c r="L2295" s="36">
        <v>7500</v>
      </c>
      <c r="M2295" s="9">
        <f t="shared" si="500"/>
        <v>0.64605047807735383</v>
      </c>
      <c r="N2295" s="5">
        <v>1</v>
      </c>
      <c r="O2295" s="10">
        <f t="shared" si="501"/>
        <v>0.64605047807735383</v>
      </c>
    </row>
    <row r="2296" spans="1:15" ht="13.5" hidden="1" customHeight="1">
      <c r="B2296" s="33">
        <f t="shared" si="502"/>
        <v>6</v>
      </c>
      <c r="C2296" s="62" t="s">
        <v>712</v>
      </c>
      <c r="D2296" s="62" t="s">
        <v>699</v>
      </c>
      <c r="F2296" s="61" t="s">
        <v>214</v>
      </c>
      <c r="G2296" s="36">
        <f>333*19</f>
        <v>6327</v>
      </c>
      <c r="H2296" s="36">
        <f>1861</f>
        <v>1861</v>
      </c>
      <c r="I2296" s="36">
        <v>3790</v>
      </c>
      <c r="J2296" s="36">
        <v>750</v>
      </c>
      <c r="K2296" s="36">
        <f t="shared" si="499"/>
        <v>12728</v>
      </c>
      <c r="L2296" s="36">
        <v>7500</v>
      </c>
      <c r="M2296" s="9">
        <f t="shared" si="500"/>
        <v>0.58925204274041487</v>
      </c>
      <c r="N2296" s="5">
        <v>1</v>
      </c>
      <c r="O2296" s="10">
        <f t="shared" si="501"/>
        <v>0.58925204274041487</v>
      </c>
    </row>
    <row r="2297" spans="1:15" ht="13.5" hidden="1" customHeight="1">
      <c r="B2297" s="33">
        <f t="shared" si="502"/>
        <v>7</v>
      </c>
      <c r="C2297" s="62" t="s">
        <v>176</v>
      </c>
      <c r="D2297" s="62" t="s">
        <v>704</v>
      </c>
      <c r="F2297" s="61" t="s">
        <v>445</v>
      </c>
      <c r="G2297" s="36">
        <f>333*24</f>
        <v>7992</v>
      </c>
      <c r="H2297" s="36">
        <f>1861</f>
        <v>1861</v>
      </c>
      <c r="I2297" s="36">
        <v>3240</v>
      </c>
      <c r="J2297" s="36">
        <v>750</v>
      </c>
      <c r="K2297" s="36">
        <f t="shared" si="499"/>
        <v>13843</v>
      </c>
      <c r="L2297" s="36">
        <v>7500</v>
      </c>
      <c r="M2297" s="9">
        <f t="shared" si="500"/>
        <v>0.54179007440583693</v>
      </c>
      <c r="N2297" s="5">
        <v>1</v>
      </c>
      <c r="O2297" s="10">
        <f t="shared" si="501"/>
        <v>0.54179007440583693</v>
      </c>
    </row>
    <row r="2298" spans="1:15" ht="13.5" hidden="1" customHeight="1">
      <c r="B2298" s="33">
        <f t="shared" si="502"/>
        <v>8</v>
      </c>
      <c r="C2298" s="62" t="s">
        <v>713</v>
      </c>
      <c r="D2298" s="62" t="s">
        <v>701</v>
      </c>
      <c r="F2298" s="61" t="s">
        <v>418</v>
      </c>
      <c r="G2298" s="36">
        <f>300*21</f>
        <v>6300</v>
      </c>
      <c r="H2298" s="36">
        <f>1861</f>
        <v>1861</v>
      </c>
      <c r="I2298" s="36">
        <v>3240</v>
      </c>
      <c r="J2298" s="36">
        <v>750</v>
      </c>
      <c r="K2298" s="36">
        <f t="shared" si="499"/>
        <v>12151</v>
      </c>
      <c r="L2298" s="36">
        <v>7500</v>
      </c>
      <c r="M2298" s="9">
        <f t="shared" si="500"/>
        <v>0.61723314953501773</v>
      </c>
      <c r="N2298" s="5">
        <v>1</v>
      </c>
      <c r="O2298" s="10">
        <f t="shared" si="501"/>
        <v>0.61723314953501773</v>
      </c>
    </row>
    <row r="2299" spans="1:15" ht="13.5" hidden="1" customHeight="1">
      <c r="B2299" s="33">
        <f t="shared" si="502"/>
        <v>9</v>
      </c>
      <c r="C2299" s="62" t="s">
        <v>714</v>
      </c>
      <c r="D2299" s="62" t="s">
        <v>550</v>
      </c>
      <c r="F2299" s="61" t="s">
        <v>418</v>
      </c>
      <c r="G2299" s="36">
        <f>300*21</f>
        <v>6300</v>
      </c>
      <c r="H2299" s="36">
        <f>1861</f>
        <v>1861</v>
      </c>
      <c r="I2299" s="36">
        <v>3240</v>
      </c>
      <c r="J2299" s="36">
        <v>750</v>
      </c>
      <c r="K2299" s="36">
        <f t="shared" si="499"/>
        <v>12151</v>
      </c>
      <c r="L2299" s="36">
        <v>7500</v>
      </c>
      <c r="M2299" s="9">
        <f t="shared" si="500"/>
        <v>0.61723314953501773</v>
      </c>
      <c r="N2299" s="5">
        <v>1</v>
      </c>
      <c r="O2299" s="10">
        <f t="shared" si="501"/>
        <v>0.61723314953501773</v>
      </c>
    </row>
    <row r="2300" spans="1:15" ht="13.5" hidden="1" customHeight="1">
      <c r="B2300" s="33">
        <f t="shared" si="502"/>
        <v>10</v>
      </c>
      <c r="C2300" s="62" t="s">
        <v>709</v>
      </c>
      <c r="D2300" s="62" t="s">
        <v>717</v>
      </c>
      <c r="F2300" s="61" t="s">
        <v>26</v>
      </c>
      <c r="G2300" s="36">
        <f>333*19</f>
        <v>6327</v>
      </c>
      <c r="H2300" s="36">
        <f>1861</f>
        <v>1861</v>
      </c>
      <c r="I2300" s="36">
        <v>3240</v>
      </c>
      <c r="J2300" s="36">
        <v>900</v>
      </c>
      <c r="K2300" s="36">
        <f t="shared" si="499"/>
        <v>12328</v>
      </c>
      <c r="L2300" s="36">
        <v>7500</v>
      </c>
      <c r="M2300" s="9">
        <f t="shared" si="500"/>
        <v>0.60837118754055808</v>
      </c>
      <c r="N2300" s="5">
        <v>1</v>
      </c>
      <c r="O2300" s="10">
        <f t="shared" si="501"/>
        <v>0.60837118754055808</v>
      </c>
    </row>
    <row r="2301" spans="1:15" ht="13.5" hidden="1" customHeight="1">
      <c r="B2301" s="33">
        <f t="shared" si="502"/>
        <v>11</v>
      </c>
      <c r="C2301" s="62" t="s">
        <v>711</v>
      </c>
      <c r="D2301" s="62" t="s">
        <v>698</v>
      </c>
      <c r="F2301" s="61" t="s">
        <v>26</v>
      </c>
      <c r="G2301" s="36">
        <f>333*6</f>
        <v>1998</v>
      </c>
      <c r="H2301" s="36">
        <f>1861</f>
        <v>1861</v>
      </c>
      <c r="I2301" s="36">
        <v>3240</v>
      </c>
      <c r="J2301" s="36">
        <v>900</v>
      </c>
      <c r="K2301" s="36">
        <f t="shared" si="499"/>
        <v>7999</v>
      </c>
      <c r="L2301" s="36">
        <v>7500</v>
      </c>
      <c r="M2301" s="9">
        <f t="shared" si="500"/>
        <v>0.93761720215026878</v>
      </c>
      <c r="N2301" s="5">
        <v>1</v>
      </c>
      <c r="O2301" s="10">
        <f t="shared" si="501"/>
        <v>0.93761720215026878</v>
      </c>
    </row>
    <row r="2302" spans="1:15" ht="13.5" hidden="1" customHeight="1">
      <c r="B2302" s="33">
        <f t="shared" si="502"/>
        <v>12</v>
      </c>
      <c r="C2302" s="62" t="s">
        <v>59</v>
      </c>
      <c r="D2302" s="62" t="s">
        <v>555</v>
      </c>
      <c r="F2302" s="61" t="s">
        <v>26</v>
      </c>
      <c r="G2302" s="36">
        <f>333*19</f>
        <v>6327</v>
      </c>
      <c r="H2302" s="36">
        <f>1861</f>
        <v>1861</v>
      </c>
      <c r="I2302" s="36">
        <v>3240</v>
      </c>
      <c r="J2302" s="36">
        <v>900</v>
      </c>
      <c r="K2302" s="36">
        <f t="shared" si="499"/>
        <v>12328</v>
      </c>
      <c r="L2302" s="36">
        <v>7500</v>
      </c>
      <c r="M2302" s="9">
        <f t="shared" si="500"/>
        <v>0.60837118754055808</v>
      </c>
      <c r="N2302" s="5">
        <v>1</v>
      </c>
      <c r="O2302" s="10">
        <f t="shared" si="501"/>
        <v>0.60837118754055808</v>
      </c>
    </row>
    <row r="2303" spans="1:15" ht="13.5" hidden="1" customHeight="1">
      <c r="B2303" s="33">
        <f t="shared" si="502"/>
        <v>13</v>
      </c>
      <c r="C2303" s="62" t="s">
        <v>715</v>
      </c>
      <c r="D2303" s="62" t="s">
        <v>703</v>
      </c>
      <c r="F2303" s="61" t="s">
        <v>26</v>
      </c>
      <c r="G2303" s="36">
        <f t="shared" ref="G2303:G2304" si="503">333*19</f>
        <v>6327</v>
      </c>
      <c r="H2303" s="36">
        <f>1861</f>
        <v>1861</v>
      </c>
      <c r="I2303" s="36">
        <v>3240</v>
      </c>
      <c r="J2303" s="36">
        <v>900</v>
      </c>
      <c r="K2303" s="36">
        <f t="shared" si="499"/>
        <v>12328</v>
      </c>
      <c r="L2303" s="36">
        <v>7500</v>
      </c>
      <c r="M2303" s="9">
        <f t="shared" si="500"/>
        <v>0.60837118754055808</v>
      </c>
      <c r="N2303" s="5">
        <v>1</v>
      </c>
      <c r="O2303" s="10">
        <f t="shared" si="501"/>
        <v>0.60837118754055808</v>
      </c>
    </row>
    <row r="2304" spans="1:15" ht="13.5" hidden="1" customHeight="1">
      <c r="B2304" s="33">
        <f t="shared" si="502"/>
        <v>14</v>
      </c>
      <c r="C2304" s="62" t="s">
        <v>89</v>
      </c>
      <c r="D2304" s="62" t="s">
        <v>716</v>
      </c>
      <c r="F2304" s="61" t="s">
        <v>26</v>
      </c>
      <c r="G2304" s="36">
        <f t="shared" si="503"/>
        <v>6327</v>
      </c>
      <c r="H2304" s="36">
        <f>1861</f>
        <v>1861</v>
      </c>
      <c r="I2304" s="36">
        <v>3240</v>
      </c>
      <c r="J2304" s="36">
        <v>900</v>
      </c>
      <c r="K2304" s="36">
        <f t="shared" si="499"/>
        <v>12328</v>
      </c>
      <c r="L2304" s="36">
        <v>7500</v>
      </c>
      <c r="M2304" s="9">
        <f t="shared" si="500"/>
        <v>0.60837118754055808</v>
      </c>
      <c r="N2304" s="5">
        <v>1</v>
      </c>
      <c r="O2304" s="10">
        <f t="shared" si="501"/>
        <v>0.60837118754055808</v>
      </c>
    </row>
    <row r="2305" spans="1:15" ht="13.5" hidden="1" customHeight="1">
      <c r="B2305" s="33">
        <f t="shared" si="502"/>
        <v>15</v>
      </c>
      <c r="C2305" s="62" t="s">
        <v>360</v>
      </c>
      <c r="D2305" s="62" t="s">
        <v>705</v>
      </c>
      <c r="F2305" s="61" t="s">
        <v>43</v>
      </c>
      <c r="G2305" s="36">
        <f>333*18.5</f>
        <v>6160.5</v>
      </c>
      <c r="H2305" s="36">
        <f>1861</f>
        <v>1861</v>
      </c>
      <c r="I2305" s="36">
        <v>3790</v>
      </c>
      <c r="J2305" s="36">
        <v>500</v>
      </c>
      <c r="K2305" s="36">
        <f t="shared" si="499"/>
        <v>12311.5</v>
      </c>
      <c r="L2305" s="36">
        <v>7500</v>
      </c>
      <c r="M2305" s="9">
        <f t="shared" si="500"/>
        <v>0.60918653291637903</v>
      </c>
      <c r="N2305" s="5">
        <v>1</v>
      </c>
      <c r="O2305" s="10">
        <f t="shared" si="501"/>
        <v>0.60918653291637903</v>
      </c>
    </row>
    <row r="2306" spans="1:15" ht="13.5" hidden="1" customHeight="1">
      <c r="B2306" s="33">
        <f t="shared" si="502"/>
        <v>16</v>
      </c>
      <c r="C2306" s="62" t="s">
        <v>708</v>
      </c>
      <c r="D2306" s="62" t="s">
        <v>695</v>
      </c>
      <c r="F2306" s="61" t="s">
        <v>27</v>
      </c>
      <c r="G2306" s="36">
        <f>333*21</f>
        <v>6993</v>
      </c>
      <c r="H2306" s="36">
        <f>1861</f>
        <v>1861</v>
      </c>
      <c r="I2306" s="36">
        <v>3240</v>
      </c>
      <c r="J2306" s="36">
        <v>500</v>
      </c>
      <c r="K2306" s="36">
        <f t="shared" si="499"/>
        <v>12594</v>
      </c>
      <c r="L2306" s="36">
        <v>7500</v>
      </c>
      <c r="M2306" s="9">
        <f t="shared" si="500"/>
        <v>0.59552167698904235</v>
      </c>
      <c r="N2306" s="5">
        <v>1</v>
      </c>
      <c r="O2306" s="10">
        <f t="shared" si="501"/>
        <v>0.59552167698904235</v>
      </c>
    </row>
    <row r="2307" spans="1:15" ht="13.5" hidden="1" customHeight="1">
      <c r="B2307" s="33">
        <f t="shared" si="502"/>
        <v>17</v>
      </c>
      <c r="C2307" s="62" t="s">
        <v>485</v>
      </c>
      <c r="D2307" s="62" t="s">
        <v>700</v>
      </c>
      <c r="F2307" s="61" t="s">
        <v>30</v>
      </c>
      <c r="G2307" s="36">
        <f>300*21</f>
        <v>6300</v>
      </c>
      <c r="H2307" s="36">
        <f>1861</f>
        <v>1861</v>
      </c>
      <c r="I2307" s="36">
        <v>3240</v>
      </c>
      <c r="J2307" s="36">
        <v>500</v>
      </c>
      <c r="K2307" s="36">
        <f t="shared" si="499"/>
        <v>11901</v>
      </c>
      <c r="L2307" s="36">
        <v>7500</v>
      </c>
      <c r="M2307" s="9">
        <f t="shared" si="500"/>
        <v>0.63019914292916557</v>
      </c>
      <c r="N2307" s="5">
        <v>1</v>
      </c>
      <c r="O2307" s="10">
        <f t="shared" si="501"/>
        <v>0.63019914292916557</v>
      </c>
    </row>
    <row r="2308" spans="1:15" ht="17.25" hidden="1" customHeight="1">
      <c r="A2308" s="66" t="s">
        <v>45</v>
      </c>
      <c r="B2308" s="66"/>
      <c r="C2308" s="66"/>
      <c r="D2308" s="66"/>
      <c r="E2308" s="66"/>
      <c r="F2308" s="66"/>
      <c r="G2308" s="66"/>
      <c r="H2308" s="66"/>
      <c r="I2308" s="66"/>
      <c r="J2308" s="66"/>
      <c r="K2308" s="66"/>
      <c r="L2308" s="66"/>
      <c r="M2308" s="66"/>
      <c r="N2308" s="22">
        <f>SUM(N2291:N2307)</f>
        <v>17</v>
      </c>
      <c r="O2308" s="23">
        <f>SUM(O2291:O2307)</f>
        <v>10.697205485443543</v>
      </c>
    </row>
    <row r="2309" spans="1:15" ht="13.5" hidden="1" customHeight="1">
      <c r="A2309" s="44" t="s">
        <v>720</v>
      </c>
      <c r="B2309" s="44"/>
      <c r="C2309" s="44"/>
      <c r="D2309" s="44"/>
      <c r="E2309" s="44"/>
      <c r="F2309" s="44"/>
      <c r="G2309" s="44"/>
      <c r="H2309" s="44"/>
      <c r="I2309" s="44"/>
      <c r="J2309" s="44"/>
      <c r="K2309" s="44"/>
      <c r="L2309" s="44"/>
      <c r="M2309" s="44"/>
      <c r="N2309" s="44"/>
      <c r="O2309" s="44"/>
    </row>
    <row r="2310" spans="1:15" ht="13.5" hidden="1" customHeight="1">
      <c r="B2310" s="33">
        <v>1</v>
      </c>
      <c r="C2310" s="62" t="s">
        <v>710</v>
      </c>
      <c r="D2310" s="62" t="s">
        <v>696</v>
      </c>
      <c r="F2310" s="61" t="s">
        <v>332</v>
      </c>
      <c r="G2310" s="36">
        <f>450*6</f>
        <v>2700</v>
      </c>
      <c r="H2310" s="36">
        <f>1861</f>
        <v>1861</v>
      </c>
      <c r="I2310" s="36">
        <v>3240</v>
      </c>
      <c r="J2310" s="36">
        <v>500</v>
      </c>
      <c r="K2310" s="36">
        <f t="shared" ref="K2310:K2326" si="504">SUM(G2310:J2310)</f>
        <v>8301</v>
      </c>
      <c r="L2310" s="36">
        <v>7500</v>
      </c>
      <c r="M2310" s="9">
        <f t="shared" ref="M2310:M2326" si="505">L2310/K2310</f>
        <v>0.90350560173473071</v>
      </c>
      <c r="N2310" s="5">
        <v>1</v>
      </c>
      <c r="O2310" s="10">
        <f t="shared" ref="O2310:O2326" si="506">N2310*M2310</f>
        <v>0.90350560173473071</v>
      </c>
    </row>
    <row r="2311" spans="1:15" ht="13.5" hidden="1" customHeight="1">
      <c r="B2311" s="33">
        <f>+B2310+1</f>
        <v>2</v>
      </c>
      <c r="C2311" s="62" t="s">
        <v>263</v>
      </c>
      <c r="D2311" s="62" t="s">
        <v>706</v>
      </c>
      <c r="F2311" s="61" t="s">
        <v>42</v>
      </c>
      <c r="G2311" s="36">
        <f>333*21</f>
        <v>6993</v>
      </c>
      <c r="H2311" s="36">
        <f>1861</f>
        <v>1861</v>
      </c>
      <c r="I2311" s="36">
        <v>3240</v>
      </c>
      <c r="J2311" s="36">
        <v>500</v>
      </c>
      <c r="K2311" s="36">
        <f t="shared" si="504"/>
        <v>12594</v>
      </c>
      <c r="L2311" s="36">
        <v>7500</v>
      </c>
      <c r="M2311" s="9">
        <f t="shared" si="505"/>
        <v>0.59552167698904235</v>
      </c>
      <c r="N2311" s="5">
        <v>1</v>
      </c>
      <c r="O2311" s="10">
        <f t="shared" si="506"/>
        <v>0.59552167698904235</v>
      </c>
    </row>
    <row r="2312" spans="1:15" ht="13.5" hidden="1" customHeight="1">
      <c r="B2312" s="33">
        <f t="shared" ref="B2312:B2326" si="507">+B2311+1</f>
        <v>3</v>
      </c>
      <c r="C2312" s="62" t="s">
        <v>114</v>
      </c>
      <c r="D2312" s="62" t="s">
        <v>702</v>
      </c>
      <c r="F2312" s="61" t="s">
        <v>417</v>
      </c>
      <c r="G2312" s="36">
        <v>0</v>
      </c>
      <c r="H2312" s="36">
        <f>1861</f>
        <v>1861</v>
      </c>
      <c r="I2312" s="36">
        <v>7890</v>
      </c>
      <c r="J2312" s="36">
        <v>500</v>
      </c>
      <c r="K2312" s="36">
        <f t="shared" si="504"/>
        <v>10251</v>
      </c>
      <c r="L2312" s="36">
        <v>7500</v>
      </c>
      <c r="M2312" s="9">
        <f t="shared" si="505"/>
        <v>0.73163593795727244</v>
      </c>
      <c r="N2312" s="5">
        <v>1</v>
      </c>
      <c r="O2312" s="10">
        <f t="shared" si="506"/>
        <v>0.73163593795727244</v>
      </c>
    </row>
    <row r="2313" spans="1:15" ht="13.5" hidden="1" customHeight="1">
      <c r="B2313" s="33">
        <f t="shared" si="507"/>
        <v>4</v>
      </c>
      <c r="C2313" s="62" t="s">
        <v>227</v>
      </c>
      <c r="D2313" s="62" t="s">
        <v>697</v>
      </c>
      <c r="F2313" s="61" t="s">
        <v>44</v>
      </c>
      <c r="G2313" s="36">
        <f>333*15</f>
        <v>4995</v>
      </c>
      <c r="H2313" s="36">
        <f>1861</f>
        <v>1861</v>
      </c>
      <c r="I2313" s="36">
        <v>3240</v>
      </c>
      <c r="J2313" s="36">
        <v>750</v>
      </c>
      <c r="K2313" s="36">
        <f t="shared" si="504"/>
        <v>10846</v>
      </c>
      <c r="L2313" s="36">
        <v>7500</v>
      </c>
      <c r="M2313" s="9">
        <f t="shared" si="505"/>
        <v>0.69149917020099572</v>
      </c>
      <c r="N2313" s="5">
        <v>1</v>
      </c>
      <c r="O2313" s="10">
        <f t="shared" si="506"/>
        <v>0.69149917020099572</v>
      </c>
    </row>
    <row r="2314" spans="1:15" ht="13.5" hidden="1" customHeight="1">
      <c r="B2314" s="33">
        <f t="shared" si="507"/>
        <v>5</v>
      </c>
      <c r="C2314" s="62" t="s">
        <v>707</v>
      </c>
      <c r="D2314" s="62" t="s">
        <v>694</v>
      </c>
      <c r="F2314" s="61" t="s">
        <v>693</v>
      </c>
      <c r="G2314" s="36">
        <v>0</v>
      </c>
      <c r="H2314" s="36">
        <f>1861</f>
        <v>1861</v>
      </c>
      <c r="I2314" s="36">
        <v>7890</v>
      </c>
      <c r="J2314" s="36">
        <v>750</v>
      </c>
      <c r="K2314" s="36">
        <f t="shared" si="504"/>
        <v>10501</v>
      </c>
      <c r="L2314" s="36">
        <v>7500</v>
      </c>
      <c r="M2314" s="9">
        <f t="shared" si="505"/>
        <v>0.71421769355299491</v>
      </c>
      <c r="N2314" s="5">
        <v>1</v>
      </c>
      <c r="O2314" s="10">
        <f t="shared" si="506"/>
        <v>0.71421769355299491</v>
      </c>
    </row>
    <row r="2315" spans="1:15" ht="13.5" hidden="1" customHeight="1">
      <c r="B2315" s="33">
        <f t="shared" si="507"/>
        <v>6</v>
      </c>
      <c r="C2315" s="62" t="s">
        <v>712</v>
      </c>
      <c r="D2315" s="62" t="s">
        <v>699</v>
      </c>
      <c r="F2315" s="61" t="s">
        <v>214</v>
      </c>
      <c r="G2315" s="36">
        <f>333*18</f>
        <v>5994</v>
      </c>
      <c r="H2315" s="36">
        <f>1861</f>
        <v>1861</v>
      </c>
      <c r="I2315" s="36">
        <v>3790</v>
      </c>
      <c r="J2315" s="36">
        <v>750</v>
      </c>
      <c r="K2315" s="36">
        <f t="shared" si="504"/>
        <v>12395</v>
      </c>
      <c r="L2315" s="36">
        <v>7500</v>
      </c>
      <c r="M2315" s="9">
        <f t="shared" si="505"/>
        <v>0.60508269463493347</v>
      </c>
      <c r="N2315" s="5">
        <v>1</v>
      </c>
      <c r="O2315" s="10">
        <f t="shared" si="506"/>
        <v>0.60508269463493347</v>
      </c>
    </row>
    <row r="2316" spans="1:15" ht="13.5" hidden="1" customHeight="1">
      <c r="B2316" s="33">
        <f t="shared" si="507"/>
        <v>7</v>
      </c>
      <c r="C2316" s="62" t="s">
        <v>176</v>
      </c>
      <c r="D2316" s="62" t="s">
        <v>704</v>
      </c>
      <c r="F2316" s="61" t="s">
        <v>445</v>
      </c>
      <c r="G2316" s="36">
        <f>333*18</f>
        <v>5994</v>
      </c>
      <c r="H2316" s="36">
        <f>1861</f>
        <v>1861</v>
      </c>
      <c r="I2316" s="36">
        <v>3240</v>
      </c>
      <c r="J2316" s="36">
        <v>750</v>
      </c>
      <c r="K2316" s="36">
        <f t="shared" si="504"/>
        <v>11845</v>
      </c>
      <c r="L2316" s="36">
        <v>7500</v>
      </c>
      <c r="M2316" s="9">
        <f t="shared" si="505"/>
        <v>0.63317855635289155</v>
      </c>
      <c r="N2316" s="5">
        <v>1</v>
      </c>
      <c r="O2316" s="10">
        <f t="shared" si="506"/>
        <v>0.63317855635289155</v>
      </c>
    </row>
    <row r="2317" spans="1:15" ht="13.5" hidden="1" customHeight="1">
      <c r="B2317" s="33">
        <f t="shared" si="507"/>
        <v>8</v>
      </c>
      <c r="C2317" s="62" t="s">
        <v>713</v>
      </c>
      <c r="D2317" s="62" t="s">
        <v>701</v>
      </c>
      <c r="F2317" s="61" t="s">
        <v>418</v>
      </c>
      <c r="G2317" s="36">
        <f>300*21</f>
        <v>6300</v>
      </c>
      <c r="H2317" s="36">
        <f>1861</f>
        <v>1861</v>
      </c>
      <c r="I2317" s="36">
        <v>3240</v>
      </c>
      <c r="J2317" s="36">
        <v>750</v>
      </c>
      <c r="K2317" s="36">
        <f t="shared" si="504"/>
        <v>12151</v>
      </c>
      <c r="L2317" s="36">
        <v>7500</v>
      </c>
      <c r="M2317" s="9">
        <f t="shared" si="505"/>
        <v>0.61723314953501773</v>
      </c>
      <c r="N2317" s="5">
        <v>1</v>
      </c>
      <c r="O2317" s="10">
        <f t="shared" si="506"/>
        <v>0.61723314953501773</v>
      </c>
    </row>
    <row r="2318" spans="1:15" ht="13.5" hidden="1" customHeight="1">
      <c r="B2318" s="33">
        <f t="shared" si="507"/>
        <v>9</v>
      </c>
      <c r="C2318" s="62" t="s">
        <v>714</v>
      </c>
      <c r="D2318" s="62" t="s">
        <v>550</v>
      </c>
      <c r="F2318" s="61" t="s">
        <v>418</v>
      </c>
      <c r="G2318" s="36">
        <f>300*21</f>
        <v>6300</v>
      </c>
      <c r="H2318" s="36">
        <f>1861</f>
        <v>1861</v>
      </c>
      <c r="I2318" s="36">
        <v>3240</v>
      </c>
      <c r="J2318" s="36">
        <v>750</v>
      </c>
      <c r="K2318" s="36">
        <f t="shared" si="504"/>
        <v>12151</v>
      </c>
      <c r="L2318" s="36">
        <v>7500</v>
      </c>
      <c r="M2318" s="9">
        <f t="shared" si="505"/>
        <v>0.61723314953501773</v>
      </c>
      <c r="N2318" s="5">
        <v>1</v>
      </c>
      <c r="O2318" s="10">
        <f t="shared" si="506"/>
        <v>0.61723314953501773</v>
      </c>
    </row>
    <row r="2319" spans="1:15" ht="13.5" hidden="1" customHeight="1">
      <c r="B2319" s="33">
        <f t="shared" si="507"/>
        <v>10</v>
      </c>
      <c r="C2319" s="62" t="s">
        <v>709</v>
      </c>
      <c r="D2319" s="62" t="s">
        <v>717</v>
      </c>
      <c r="F2319" s="61" t="s">
        <v>26</v>
      </c>
      <c r="G2319" s="36">
        <f>333*19</f>
        <v>6327</v>
      </c>
      <c r="H2319" s="36">
        <f>1861</f>
        <v>1861</v>
      </c>
      <c r="I2319" s="36">
        <v>3240</v>
      </c>
      <c r="J2319" s="36">
        <v>900</v>
      </c>
      <c r="K2319" s="36">
        <f t="shared" si="504"/>
        <v>12328</v>
      </c>
      <c r="L2319" s="36">
        <v>7500</v>
      </c>
      <c r="M2319" s="9">
        <f t="shared" si="505"/>
        <v>0.60837118754055808</v>
      </c>
      <c r="N2319" s="5">
        <v>1</v>
      </c>
      <c r="O2319" s="10">
        <f t="shared" si="506"/>
        <v>0.60837118754055808</v>
      </c>
    </row>
    <row r="2320" spans="1:15" ht="13.5" hidden="1" customHeight="1">
      <c r="B2320" s="33">
        <f t="shared" si="507"/>
        <v>11</v>
      </c>
      <c r="C2320" s="62" t="s">
        <v>711</v>
      </c>
      <c r="D2320" s="62" t="s">
        <v>698</v>
      </c>
      <c r="F2320" s="61" t="s">
        <v>26</v>
      </c>
      <c r="G2320" s="36">
        <f t="shared" ref="G2320:G2323" si="508">333*19</f>
        <v>6327</v>
      </c>
      <c r="H2320" s="36">
        <f>1861</f>
        <v>1861</v>
      </c>
      <c r="I2320" s="36">
        <v>3240</v>
      </c>
      <c r="J2320" s="36">
        <v>900</v>
      </c>
      <c r="K2320" s="36">
        <f t="shared" si="504"/>
        <v>12328</v>
      </c>
      <c r="L2320" s="36">
        <v>7500</v>
      </c>
      <c r="M2320" s="9">
        <f t="shared" si="505"/>
        <v>0.60837118754055808</v>
      </c>
      <c r="N2320" s="5">
        <v>1</v>
      </c>
      <c r="O2320" s="10">
        <f t="shared" si="506"/>
        <v>0.60837118754055808</v>
      </c>
    </row>
    <row r="2321" spans="1:15" ht="13.5" hidden="1" customHeight="1">
      <c r="B2321" s="33">
        <f t="shared" si="507"/>
        <v>12</v>
      </c>
      <c r="C2321" s="62" t="s">
        <v>59</v>
      </c>
      <c r="D2321" s="62" t="s">
        <v>555</v>
      </c>
      <c r="F2321" s="61" t="s">
        <v>26</v>
      </c>
      <c r="G2321" s="36">
        <f t="shared" si="508"/>
        <v>6327</v>
      </c>
      <c r="H2321" s="36">
        <f>1861</f>
        <v>1861</v>
      </c>
      <c r="I2321" s="36">
        <v>3240</v>
      </c>
      <c r="J2321" s="36">
        <v>900</v>
      </c>
      <c r="K2321" s="36">
        <f t="shared" si="504"/>
        <v>12328</v>
      </c>
      <c r="L2321" s="36">
        <v>7500</v>
      </c>
      <c r="M2321" s="9">
        <f t="shared" si="505"/>
        <v>0.60837118754055808</v>
      </c>
      <c r="N2321" s="5">
        <v>1</v>
      </c>
      <c r="O2321" s="10">
        <f t="shared" si="506"/>
        <v>0.60837118754055808</v>
      </c>
    </row>
    <row r="2322" spans="1:15" ht="13.5" hidden="1" customHeight="1">
      <c r="B2322" s="33">
        <f t="shared" si="507"/>
        <v>13</v>
      </c>
      <c r="C2322" s="62" t="s">
        <v>715</v>
      </c>
      <c r="D2322" s="62" t="s">
        <v>703</v>
      </c>
      <c r="F2322" s="61" t="s">
        <v>26</v>
      </c>
      <c r="G2322" s="36">
        <f t="shared" si="508"/>
        <v>6327</v>
      </c>
      <c r="H2322" s="36">
        <f>1861</f>
        <v>1861</v>
      </c>
      <c r="I2322" s="36">
        <v>3240</v>
      </c>
      <c r="J2322" s="36">
        <v>900</v>
      </c>
      <c r="K2322" s="36">
        <f t="shared" si="504"/>
        <v>12328</v>
      </c>
      <c r="L2322" s="36">
        <v>7500</v>
      </c>
      <c r="M2322" s="9">
        <f t="shared" si="505"/>
        <v>0.60837118754055808</v>
      </c>
      <c r="N2322" s="5">
        <v>1</v>
      </c>
      <c r="O2322" s="10">
        <f t="shared" si="506"/>
        <v>0.60837118754055808</v>
      </c>
    </row>
    <row r="2323" spans="1:15" ht="13.5" hidden="1" customHeight="1">
      <c r="B2323" s="33">
        <f t="shared" si="507"/>
        <v>14</v>
      </c>
      <c r="C2323" s="62" t="s">
        <v>89</v>
      </c>
      <c r="D2323" s="62" t="s">
        <v>716</v>
      </c>
      <c r="F2323" s="61" t="s">
        <v>26</v>
      </c>
      <c r="G2323" s="36">
        <f t="shared" si="508"/>
        <v>6327</v>
      </c>
      <c r="H2323" s="36">
        <f>1861</f>
        <v>1861</v>
      </c>
      <c r="I2323" s="36">
        <v>3240</v>
      </c>
      <c r="J2323" s="36">
        <v>900</v>
      </c>
      <c r="K2323" s="36">
        <f t="shared" si="504"/>
        <v>12328</v>
      </c>
      <c r="L2323" s="36">
        <v>7500</v>
      </c>
      <c r="M2323" s="9">
        <f t="shared" si="505"/>
        <v>0.60837118754055808</v>
      </c>
      <c r="N2323" s="5">
        <v>1</v>
      </c>
      <c r="O2323" s="10">
        <f t="shared" si="506"/>
        <v>0.60837118754055808</v>
      </c>
    </row>
    <row r="2324" spans="1:15" ht="13.5" hidden="1" customHeight="1">
      <c r="B2324" s="33">
        <f t="shared" si="507"/>
        <v>15</v>
      </c>
      <c r="C2324" s="62" t="s">
        <v>360</v>
      </c>
      <c r="D2324" s="62" t="s">
        <v>705</v>
      </c>
      <c r="F2324" s="61" t="s">
        <v>43</v>
      </c>
      <c r="G2324" s="36">
        <f>333*18.5</f>
        <v>6160.5</v>
      </c>
      <c r="H2324" s="36">
        <f>1861</f>
        <v>1861</v>
      </c>
      <c r="I2324" s="36">
        <v>3790</v>
      </c>
      <c r="J2324" s="36">
        <v>500</v>
      </c>
      <c r="K2324" s="36">
        <f t="shared" si="504"/>
        <v>12311.5</v>
      </c>
      <c r="L2324" s="36">
        <v>7500</v>
      </c>
      <c r="M2324" s="9">
        <f t="shared" si="505"/>
        <v>0.60918653291637903</v>
      </c>
      <c r="N2324" s="5">
        <v>1</v>
      </c>
      <c r="O2324" s="10">
        <f t="shared" si="506"/>
        <v>0.60918653291637903</v>
      </c>
    </row>
    <row r="2325" spans="1:15" ht="13.5" hidden="1" customHeight="1">
      <c r="B2325" s="33">
        <f t="shared" si="507"/>
        <v>16</v>
      </c>
      <c r="C2325" s="62" t="s">
        <v>708</v>
      </c>
      <c r="D2325" s="62" t="s">
        <v>695</v>
      </c>
      <c r="F2325" s="61" t="s">
        <v>27</v>
      </c>
      <c r="G2325" s="36">
        <f>333*18</f>
        <v>5994</v>
      </c>
      <c r="H2325" s="36">
        <f>1861</f>
        <v>1861</v>
      </c>
      <c r="I2325" s="36">
        <v>3240</v>
      </c>
      <c r="J2325" s="36">
        <v>500</v>
      </c>
      <c r="K2325" s="36">
        <f t="shared" si="504"/>
        <v>11595</v>
      </c>
      <c r="L2325" s="36">
        <v>7500</v>
      </c>
      <c r="M2325" s="9">
        <f t="shared" si="505"/>
        <v>0.64683053040103489</v>
      </c>
      <c r="N2325" s="5">
        <v>1</v>
      </c>
      <c r="O2325" s="10">
        <f t="shared" si="506"/>
        <v>0.64683053040103489</v>
      </c>
    </row>
    <row r="2326" spans="1:15" ht="13.5" hidden="1" customHeight="1">
      <c r="B2326" s="33">
        <f t="shared" si="507"/>
        <v>17</v>
      </c>
      <c r="C2326" s="62" t="s">
        <v>485</v>
      </c>
      <c r="D2326" s="62" t="s">
        <v>700</v>
      </c>
      <c r="F2326" s="61" t="s">
        <v>30</v>
      </c>
      <c r="G2326" s="36">
        <f>333*21</f>
        <v>6993</v>
      </c>
      <c r="H2326" s="36">
        <f>1861</f>
        <v>1861</v>
      </c>
      <c r="I2326" s="36">
        <v>3240</v>
      </c>
      <c r="J2326" s="36">
        <v>500</v>
      </c>
      <c r="K2326" s="36">
        <f t="shared" si="504"/>
        <v>12594</v>
      </c>
      <c r="L2326" s="36">
        <v>7500</v>
      </c>
      <c r="M2326" s="9">
        <f t="shared" si="505"/>
        <v>0.59552167698904235</v>
      </c>
      <c r="N2326" s="5">
        <v>1</v>
      </c>
      <c r="O2326" s="10">
        <f t="shared" si="506"/>
        <v>0.59552167698904235</v>
      </c>
    </row>
    <row r="2327" spans="1:15" ht="17.25" hidden="1" customHeight="1">
      <c r="A2327" s="66" t="s">
        <v>45</v>
      </c>
      <c r="B2327" s="66"/>
      <c r="C2327" s="66"/>
      <c r="D2327" s="66"/>
      <c r="E2327" s="66"/>
      <c r="F2327" s="66"/>
      <c r="G2327" s="66"/>
      <c r="H2327" s="66"/>
      <c r="I2327" s="66"/>
      <c r="J2327" s="66"/>
      <c r="K2327" s="66"/>
      <c r="L2327" s="66"/>
      <c r="M2327" s="66"/>
      <c r="N2327" s="22">
        <f>SUM(N2310:N2326)</f>
        <v>17</v>
      </c>
      <c r="O2327" s="23">
        <f>SUM(O2310:O2326)</f>
        <v>11.002502308502143</v>
      </c>
    </row>
    <row r="2328" spans="1:15" ht="13.5" hidden="1" customHeight="1">
      <c r="A2328" s="44" t="s">
        <v>718</v>
      </c>
      <c r="B2328" s="44"/>
      <c r="C2328" s="44"/>
      <c r="D2328" s="44"/>
      <c r="E2328" s="44"/>
      <c r="F2328" s="44"/>
      <c r="G2328" s="44"/>
      <c r="H2328" s="44"/>
      <c r="I2328" s="44"/>
      <c r="J2328" s="44"/>
      <c r="K2328" s="44"/>
      <c r="L2328" s="44"/>
      <c r="M2328" s="44"/>
      <c r="N2328" s="44"/>
      <c r="O2328" s="44"/>
    </row>
    <row r="2329" spans="1:15" ht="13.5" hidden="1" customHeight="1">
      <c r="B2329" s="33">
        <v>1</v>
      </c>
      <c r="C2329" s="62" t="s">
        <v>710</v>
      </c>
      <c r="D2329" s="62" t="s">
        <v>696</v>
      </c>
      <c r="F2329" s="61" t="s">
        <v>332</v>
      </c>
      <c r="G2329" s="36">
        <f>450*12</f>
        <v>5400</v>
      </c>
      <c r="H2329" s="36">
        <f>1861</f>
        <v>1861</v>
      </c>
      <c r="I2329" s="36">
        <v>3240</v>
      </c>
      <c r="J2329" s="36">
        <v>500</v>
      </c>
      <c r="K2329" s="36">
        <f t="shared" ref="K2329:K2345" si="509">SUM(G2329:J2329)</f>
        <v>11001</v>
      </c>
      <c r="L2329" s="36">
        <v>7500</v>
      </c>
      <c r="M2329" s="9">
        <f t="shared" ref="M2329:M2345" si="510">L2329/K2329</f>
        <v>0.6817562039814562</v>
      </c>
      <c r="N2329" s="5">
        <v>1</v>
      </c>
      <c r="O2329" s="10">
        <f t="shared" ref="O2329:O2345" si="511">N2329*M2329</f>
        <v>0.6817562039814562</v>
      </c>
    </row>
    <row r="2330" spans="1:15" ht="13.5" hidden="1" customHeight="1">
      <c r="B2330" s="33">
        <f>+B2329+1</f>
        <v>2</v>
      </c>
      <c r="C2330" s="62" t="s">
        <v>263</v>
      </c>
      <c r="D2330" s="62" t="s">
        <v>706</v>
      </c>
      <c r="F2330" s="61" t="s">
        <v>42</v>
      </c>
      <c r="G2330" s="36">
        <f>333*21</f>
        <v>6993</v>
      </c>
      <c r="H2330" s="36">
        <f>1861</f>
        <v>1861</v>
      </c>
      <c r="I2330" s="36">
        <v>3240</v>
      </c>
      <c r="J2330" s="36">
        <v>500</v>
      </c>
      <c r="K2330" s="36">
        <f t="shared" si="509"/>
        <v>12594</v>
      </c>
      <c r="L2330" s="36">
        <v>7500</v>
      </c>
      <c r="M2330" s="9">
        <f t="shared" si="510"/>
        <v>0.59552167698904235</v>
      </c>
      <c r="N2330" s="5">
        <v>1</v>
      </c>
      <c r="O2330" s="10">
        <f t="shared" si="511"/>
        <v>0.59552167698904235</v>
      </c>
    </row>
    <row r="2331" spans="1:15" ht="13.5" hidden="1" customHeight="1">
      <c r="B2331" s="33">
        <f t="shared" ref="B2331:B2345" si="512">+B2330+1</f>
        <v>3</v>
      </c>
      <c r="C2331" s="62" t="s">
        <v>114</v>
      </c>
      <c r="D2331" s="62" t="s">
        <v>702</v>
      </c>
      <c r="F2331" s="61" t="s">
        <v>417</v>
      </c>
      <c r="G2331" s="36">
        <v>0</v>
      </c>
      <c r="H2331" s="36">
        <v>0</v>
      </c>
      <c r="I2331" s="36">
        <v>0</v>
      </c>
      <c r="J2331" s="36">
        <v>0</v>
      </c>
      <c r="K2331" s="36">
        <f t="shared" si="509"/>
        <v>0</v>
      </c>
      <c r="L2331" s="36">
        <v>7500</v>
      </c>
      <c r="M2331" s="9" t="e">
        <f t="shared" si="510"/>
        <v>#DIV/0!</v>
      </c>
      <c r="N2331" s="5">
        <v>1</v>
      </c>
      <c r="O2331" s="10" t="e">
        <f t="shared" si="511"/>
        <v>#DIV/0!</v>
      </c>
    </row>
    <row r="2332" spans="1:15" ht="13.5" hidden="1" customHeight="1">
      <c r="B2332" s="33">
        <f t="shared" si="512"/>
        <v>4</v>
      </c>
      <c r="C2332" s="62" t="s">
        <v>227</v>
      </c>
      <c r="D2332" s="62" t="s">
        <v>697</v>
      </c>
      <c r="F2332" s="61" t="s">
        <v>44</v>
      </c>
      <c r="G2332" s="36">
        <f>333*5</f>
        <v>1665</v>
      </c>
      <c r="H2332" s="36">
        <f>1861</f>
        <v>1861</v>
      </c>
      <c r="I2332" s="36">
        <v>3240</v>
      </c>
      <c r="J2332" s="36">
        <v>750</v>
      </c>
      <c r="K2332" s="36">
        <f t="shared" si="509"/>
        <v>7516</v>
      </c>
      <c r="L2332" s="36">
        <v>7500</v>
      </c>
      <c r="M2332" s="9">
        <f t="shared" si="510"/>
        <v>0.99787120808940921</v>
      </c>
      <c r="N2332" s="5">
        <v>1</v>
      </c>
      <c r="O2332" s="10">
        <f t="shared" si="511"/>
        <v>0.99787120808940921</v>
      </c>
    </row>
    <row r="2333" spans="1:15" ht="13.5" hidden="1" customHeight="1">
      <c r="B2333" s="33">
        <f t="shared" si="512"/>
        <v>5</v>
      </c>
      <c r="C2333" s="62" t="s">
        <v>707</v>
      </c>
      <c r="D2333" s="62" t="s">
        <v>694</v>
      </c>
      <c r="F2333" s="61" t="s">
        <v>693</v>
      </c>
      <c r="G2333" s="36">
        <v>0</v>
      </c>
      <c r="H2333" s="36">
        <v>0</v>
      </c>
      <c r="I2333" s="36">
        <v>0</v>
      </c>
      <c r="J2333" s="36">
        <v>0</v>
      </c>
      <c r="K2333" s="36">
        <f t="shared" si="509"/>
        <v>0</v>
      </c>
      <c r="L2333" s="36">
        <v>7500</v>
      </c>
      <c r="M2333" s="9" t="e">
        <f t="shared" si="510"/>
        <v>#DIV/0!</v>
      </c>
      <c r="N2333" s="5">
        <v>1</v>
      </c>
      <c r="O2333" s="10" t="e">
        <f t="shared" si="511"/>
        <v>#DIV/0!</v>
      </c>
    </row>
    <row r="2334" spans="1:15" ht="13.5" hidden="1" customHeight="1">
      <c r="B2334" s="33">
        <f t="shared" si="512"/>
        <v>6</v>
      </c>
      <c r="C2334" s="62" t="s">
        <v>712</v>
      </c>
      <c r="D2334" s="62" t="s">
        <v>699</v>
      </c>
      <c r="F2334" s="61" t="s">
        <v>214</v>
      </c>
      <c r="G2334" s="36">
        <v>0</v>
      </c>
      <c r="H2334" s="36">
        <v>0</v>
      </c>
      <c r="I2334" s="36">
        <v>0</v>
      </c>
      <c r="J2334" s="36">
        <v>0</v>
      </c>
      <c r="K2334" s="36">
        <f t="shared" si="509"/>
        <v>0</v>
      </c>
      <c r="L2334" s="36">
        <v>7500</v>
      </c>
      <c r="M2334" s="9" t="e">
        <f t="shared" si="510"/>
        <v>#DIV/0!</v>
      </c>
      <c r="N2334" s="5">
        <v>1</v>
      </c>
      <c r="O2334" s="10" t="e">
        <f t="shared" si="511"/>
        <v>#DIV/0!</v>
      </c>
    </row>
    <row r="2335" spans="1:15" ht="13.5" hidden="1" customHeight="1">
      <c r="B2335" s="33">
        <f t="shared" si="512"/>
        <v>7</v>
      </c>
      <c r="C2335" s="62" t="s">
        <v>176</v>
      </c>
      <c r="D2335" s="62" t="s">
        <v>704</v>
      </c>
      <c r="F2335" s="61" t="s">
        <v>445</v>
      </c>
      <c r="G2335" s="36">
        <f>333*5</f>
        <v>1665</v>
      </c>
      <c r="H2335" s="36">
        <f>1861</f>
        <v>1861</v>
      </c>
      <c r="I2335" s="36">
        <v>3240</v>
      </c>
      <c r="J2335" s="36">
        <v>750</v>
      </c>
      <c r="K2335" s="36">
        <f t="shared" si="509"/>
        <v>7516</v>
      </c>
      <c r="L2335" s="36">
        <v>7500</v>
      </c>
      <c r="M2335" s="9">
        <f t="shared" si="510"/>
        <v>0.99787120808940921</v>
      </c>
      <c r="N2335" s="5">
        <v>1</v>
      </c>
      <c r="O2335" s="10">
        <f t="shared" si="511"/>
        <v>0.99787120808940921</v>
      </c>
    </row>
    <row r="2336" spans="1:15" ht="13.5" hidden="1" customHeight="1">
      <c r="B2336" s="33">
        <f t="shared" si="512"/>
        <v>8</v>
      </c>
      <c r="C2336" s="62" t="s">
        <v>713</v>
      </c>
      <c r="D2336" s="62" t="s">
        <v>701</v>
      </c>
      <c r="F2336" s="61" t="s">
        <v>418</v>
      </c>
      <c r="G2336" s="36">
        <f>300*19</f>
        <v>5700</v>
      </c>
      <c r="H2336" s="36">
        <f>1861</f>
        <v>1861</v>
      </c>
      <c r="I2336" s="36">
        <v>3240</v>
      </c>
      <c r="J2336" s="36">
        <v>750</v>
      </c>
      <c r="K2336" s="36">
        <f t="shared" si="509"/>
        <v>11551</v>
      </c>
      <c r="L2336" s="36">
        <v>7500</v>
      </c>
      <c r="M2336" s="9">
        <f t="shared" si="510"/>
        <v>0.64929443338239112</v>
      </c>
      <c r="N2336" s="5">
        <v>1</v>
      </c>
      <c r="O2336" s="10">
        <f t="shared" si="511"/>
        <v>0.64929443338239112</v>
      </c>
    </row>
    <row r="2337" spans="1:15" ht="13.5" hidden="1" customHeight="1">
      <c r="B2337" s="33">
        <f t="shared" si="512"/>
        <v>9</v>
      </c>
      <c r="C2337" s="62" t="s">
        <v>714</v>
      </c>
      <c r="D2337" s="62" t="s">
        <v>550</v>
      </c>
      <c r="F2337" s="61" t="s">
        <v>418</v>
      </c>
      <c r="G2337" s="36">
        <f>300*19</f>
        <v>5700</v>
      </c>
      <c r="H2337" s="36">
        <f>1861</f>
        <v>1861</v>
      </c>
      <c r="I2337" s="36">
        <v>3240</v>
      </c>
      <c r="J2337" s="36">
        <v>750</v>
      </c>
      <c r="K2337" s="36">
        <f t="shared" si="509"/>
        <v>11551</v>
      </c>
      <c r="L2337" s="36">
        <v>7500</v>
      </c>
      <c r="M2337" s="9">
        <f t="shared" si="510"/>
        <v>0.64929443338239112</v>
      </c>
      <c r="N2337" s="5">
        <v>1</v>
      </c>
      <c r="O2337" s="10">
        <f t="shared" si="511"/>
        <v>0.64929443338239112</v>
      </c>
    </row>
    <row r="2338" spans="1:15" ht="13.5" hidden="1" customHeight="1">
      <c r="B2338" s="33">
        <f t="shared" si="512"/>
        <v>10</v>
      </c>
      <c r="C2338" s="62" t="s">
        <v>709</v>
      </c>
      <c r="D2338" s="62" t="s">
        <v>717</v>
      </c>
      <c r="F2338" s="61" t="s">
        <v>26</v>
      </c>
      <c r="G2338" s="36">
        <f>333*22</f>
        <v>7326</v>
      </c>
      <c r="H2338" s="36">
        <f>1861</f>
        <v>1861</v>
      </c>
      <c r="I2338" s="36">
        <v>3240</v>
      </c>
      <c r="J2338" s="36">
        <v>900</v>
      </c>
      <c r="K2338" s="36">
        <f t="shared" si="509"/>
        <v>13327</v>
      </c>
      <c r="L2338" s="36">
        <v>7500</v>
      </c>
      <c r="M2338" s="9">
        <f t="shared" si="510"/>
        <v>0.56276731447437534</v>
      </c>
      <c r="N2338" s="5">
        <v>1</v>
      </c>
      <c r="O2338" s="10">
        <f t="shared" si="511"/>
        <v>0.56276731447437534</v>
      </c>
    </row>
    <row r="2339" spans="1:15" ht="13.5" hidden="1" customHeight="1">
      <c r="B2339" s="33">
        <f t="shared" si="512"/>
        <v>11</v>
      </c>
      <c r="C2339" s="62" t="s">
        <v>711</v>
      </c>
      <c r="D2339" s="62" t="s">
        <v>698</v>
      </c>
      <c r="F2339" s="61" t="s">
        <v>26</v>
      </c>
      <c r="G2339" s="36">
        <f t="shared" ref="G2339:G2341" si="513">333*22</f>
        <v>7326</v>
      </c>
      <c r="H2339" s="36">
        <f>1861</f>
        <v>1861</v>
      </c>
      <c r="I2339" s="36">
        <v>3240</v>
      </c>
      <c r="J2339" s="36">
        <v>900</v>
      </c>
      <c r="K2339" s="36">
        <f t="shared" si="509"/>
        <v>13327</v>
      </c>
      <c r="L2339" s="36">
        <v>7500</v>
      </c>
      <c r="M2339" s="9">
        <f t="shared" si="510"/>
        <v>0.56276731447437534</v>
      </c>
      <c r="N2339" s="5">
        <v>1</v>
      </c>
      <c r="O2339" s="10">
        <f t="shared" si="511"/>
        <v>0.56276731447437534</v>
      </c>
    </row>
    <row r="2340" spans="1:15" ht="13.5" hidden="1" customHeight="1">
      <c r="B2340" s="33">
        <f t="shared" si="512"/>
        <v>12</v>
      </c>
      <c r="C2340" s="62" t="s">
        <v>59</v>
      </c>
      <c r="D2340" s="62" t="s">
        <v>555</v>
      </c>
      <c r="F2340" s="61" t="s">
        <v>26</v>
      </c>
      <c r="G2340" s="36">
        <f t="shared" si="513"/>
        <v>7326</v>
      </c>
      <c r="H2340" s="36">
        <f>1861</f>
        <v>1861</v>
      </c>
      <c r="I2340" s="36">
        <v>3240</v>
      </c>
      <c r="J2340" s="36">
        <v>900</v>
      </c>
      <c r="K2340" s="36">
        <f t="shared" si="509"/>
        <v>13327</v>
      </c>
      <c r="L2340" s="36">
        <v>7500</v>
      </c>
      <c r="M2340" s="9">
        <f t="shared" si="510"/>
        <v>0.56276731447437534</v>
      </c>
      <c r="N2340" s="5">
        <v>1</v>
      </c>
      <c r="O2340" s="10">
        <f t="shared" si="511"/>
        <v>0.56276731447437534</v>
      </c>
    </row>
    <row r="2341" spans="1:15" ht="13.5" hidden="1" customHeight="1">
      <c r="B2341" s="33">
        <f t="shared" si="512"/>
        <v>13</v>
      </c>
      <c r="C2341" s="62" t="s">
        <v>715</v>
      </c>
      <c r="D2341" s="62" t="s">
        <v>703</v>
      </c>
      <c r="F2341" s="61" t="s">
        <v>26</v>
      </c>
      <c r="G2341" s="36">
        <f t="shared" si="513"/>
        <v>7326</v>
      </c>
      <c r="H2341" s="36">
        <f>1861</f>
        <v>1861</v>
      </c>
      <c r="I2341" s="36">
        <v>3240</v>
      </c>
      <c r="J2341" s="36">
        <v>900</v>
      </c>
      <c r="K2341" s="36">
        <f t="shared" si="509"/>
        <v>13327</v>
      </c>
      <c r="L2341" s="36">
        <v>7500</v>
      </c>
      <c r="M2341" s="9">
        <f t="shared" si="510"/>
        <v>0.56276731447437534</v>
      </c>
      <c r="N2341" s="5">
        <v>1</v>
      </c>
      <c r="O2341" s="10">
        <f t="shared" si="511"/>
        <v>0.56276731447437534</v>
      </c>
    </row>
    <row r="2342" spans="1:15" ht="13.5" hidden="1" customHeight="1">
      <c r="B2342" s="33">
        <f t="shared" si="512"/>
        <v>14</v>
      </c>
      <c r="C2342" s="62" t="s">
        <v>89</v>
      </c>
      <c r="D2342" s="62" t="s">
        <v>716</v>
      </c>
      <c r="F2342" s="61" t="s">
        <v>26</v>
      </c>
      <c r="G2342" s="36">
        <f>333*17</f>
        <v>5661</v>
      </c>
      <c r="H2342" s="36">
        <f>1861</f>
        <v>1861</v>
      </c>
      <c r="I2342" s="36">
        <v>3240</v>
      </c>
      <c r="J2342" s="36">
        <v>900</v>
      </c>
      <c r="K2342" s="36">
        <f t="shared" si="509"/>
        <v>11662</v>
      </c>
      <c r="L2342" s="36">
        <v>7500</v>
      </c>
      <c r="M2342" s="9">
        <f t="shared" si="510"/>
        <v>0.64311438861258785</v>
      </c>
      <c r="N2342" s="5">
        <v>1</v>
      </c>
      <c r="O2342" s="10">
        <f t="shared" si="511"/>
        <v>0.64311438861258785</v>
      </c>
    </row>
    <row r="2343" spans="1:15" ht="13.5" hidden="1" customHeight="1">
      <c r="B2343" s="33">
        <f t="shared" si="512"/>
        <v>15</v>
      </c>
      <c r="C2343" s="62" t="s">
        <v>360</v>
      </c>
      <c r="D2343" s="62" t="s">
        <v>705</v>
      </c>
      <c r="F2343" s="61" t="s">
        <v>43</v>
      </c>
      <c r="G2343" s="36">
        <v>0</v>
      </c>
      <c r="H2343" s="36">
        <v>0</v>
      </c>
      <c r="I2343" s="36">
        <v>0</v>
      </c>
      <c r="J2343" s="36">
        <v>0</v>
      </c>
      <c r="K2343" s="36">
        <f t="shared" si="509"/>
        <v>0</v>
      </c>
      <c r="L2343" s="36">
        <v>7500</v>
      </c>
      <c r="M2343" s="9" t="e">
        <f t="shared" si="510"/>
        <v>#DIV/0!</v>
      </c>
      <c r="N2343" s="5">
        <v>1</v>
      </c>
      <c r="O2343" s="10" t="e">
        <f t="shared" si="511"/>
        <v>#DIV/0!</v>
      </c>
    </row>
    <row r="2344" spans="1:15" ht="13.5" hidden="1" customHeight="1">
      <c r="B2344" s="33">
        <f t="shared" si="512"/>
        <v>16</v>
      </c>
      <c r="C2344" s="62" t="s">
        <v>708</v>
      </c>
      <c r="D2344" s="62" t="s">
        <v>695</v>
      </c>
      <c r="F2344" s="61" t="s">
        <v>27</v>
      </c>
      <c r="G2344" s="36">
        <f>333*5</f>
        <v>1665</v>
      </c>
      <c r="H2344" s="36">
        <f>1861</f>
        <v>1861</v>
      </c>
      <c r="I2344" s="36">
        <v>3240</v>
      </c>
      <c r="J2344" s="36">
        <v>500</v>
      </c>
      <c r="K2344" s="36">
        <f t="shared" si="509"/>
        <v>7266</v>
      </c>
      <c r="L2344" s="36">
        <v>7500</v>
      </c>
      <c r="M2344" s="9">
        <f t="shared" si="510"/>
        <v>1.0322047894302229</v>
      </c>
      <c r="N2344" s="5">
        <v>1</v>
      </c>
      <c r="O2344" s="10">
        <f t="shared" si="511"/>
        <v>1.0322047894302229</v>
      </c>
    </row>
    <row r="2345" spans="1:15" ht="13.5" hidden="1" customHeight="1">
      <c r="B2345" s="33">
        <f t="shared" si="512"/>
        <v>17</v>
      </c>
      <c r="C2345" s="62" t="s">
        <v>485</v>
      </c>
      <c r="D2345" s="62" t="s">
        <v>700</v>
      </c>
      <c r="F2345" s="61" t="s">
        <v>30</v>
      </c>
      <c r="G2345" s="36">
        <f>300*19</f>
        <v>5700</v>
      </c>
      <c r="H2345" s="36">
        <f>1861</f>
        <v>1861</v>
      </c>
      <c r="I2345" s="36">
        <v>3240</v>
      </c>
      <c r="J2345" s="36">
        <v>500</v>
      </c>
      <c r="K2345" s="36">
        <f t="shared" si="509"/>
        <v>11301</v>
      </c>
      <c r="L2345" s="36">
        <v>7500</v>
      </c>
      <c r="M2345" s="9">
        <f t="shared" si="510"/>
        <v>0.66365808335545529</v>
      </c>
      <c r="N2345" s="5">
        <v>1</v>
      </c>
      <c r="O2345" s="10">
        <f t="shared" si="511"/>
        <v>0.66365808335545529</v>
      </c>
    </row>
    <row r="2346" spans="1:15" ht="17.25" hidden="1" customHeight="1">
      <c r="A2346" s="66" t="s">
        <v>45</v>
      </c>
      <c r="B2346" s="66"/>
      <c r="C2346" s="66"/>
      <c r="D2346" s="66"/>
      <c r="E2346" s="66"/>
      <c r="F2346" s="66"/>
      <c r="G2346" s="66"/>
      <c r="H2346" s="66"/>
      <c r="I2346" s="66"/>
      <c r="J2346" s="66"/>
      <c r="K2346" s="66"/>
      <c r="L2346" s="66"/>
      <c r="M2346" s="66"/>
      <c r="N2346" s="22">
        <f>SUM(N2329:N2345)</f>
        <v>17</v>
      </c>
      <c r="O2346" s="23" t="e">
        <f>SUM(O2329:O2345)</f>
        <v>#DIV/0!</v>
      </c>
    </row>
    <row r="2347" spans="1:15" ht="13.5" customHeight="1">
      <c r="A2347" s="44" t="s">
        <v>721</v>
      </c>
      <c r="B2347" s="44"/>
      <c r="C2347" s="44"/>
      <c r="D2347" s="44"/>
      <c r="E2347" s="44"/>
      <c r="F2347" s="44"/>
      <c r="G2347" s="44"/>
      <c r="H2347" s="44"/>
      <c r="I2347" s="44"/>
      <c r="J2347" s="44"/>
      <c r="K2347" s="44"/>
      <c r="L2347" s="44"/>
      <c r="M2347" s="44"/>
      <c r="N2347" s="44"/>
      <c r="O2347" s="44"/>
    </row>
    <row r="2348" spans="1:15" ht="13.5" customHeight="1">
      <c r="B2348" s="33">
        <v>1</v>
      </c>
      <c r="C2348" s="62"/>
      <c r="D2348" s="62"/>
      <c r="F2348" s="61" t="s">
        <v>332</v>
      </c>
      <c r="G2348" s="36">
        <f>+G2329+G2310+G2291</f>
        <v>14850</v>
      </c>
      <c r="H2348" s="36">
        <f t="shared" ref="H2348:J2348" si="514">+H2329+H2310+H2291</f>
        <v>5583</v>
      </c>
      <c r="I2348" s="36">
        <f t="shared" si="514"/>
        <v>9720</v>
      </c>
      <c r="J2348" s="36">
        <f t="shared" si="514"/>
        <v>1500</v>
      </c>
      <c r="K2348" s="36">
        <f t="shared" ref="K2348:K2363" si="515">SUM(G2348:J2348)</f>
        <v>31653</v>
      </c>
      <c r="L2348" s="36">
        <v>15000</v>
      </c>
      <c r="M2348" s="9">
        <f t="shared" ref="M2348:M2363" si="516">L2348/K2348</f>
        <v>0.47388873092597861</v>
      </c>
      <c r="N2348" s="5">
        <v>1</v>
      </c>
      <c r="O2348" s="10">
        <f t="shared" ref="O2348:O2363" si="517">IF(M2348&gt;1,1,M2348)</f>
        <v>0.47388873092597861</v>
      </c>
    </row>
    <row r="2349" spans="1:15" ht="13.5" customHeight="1">
      <c r="A2349" s="1" t="s">
        <v>1019</v>
      </c>
      <c r="B2349" s="33">
        <f>+B2348+1</f>
        <v>2</v>
      </c>
      <c r="C2349" s="62"/>
      <c r="D2349" s="62"/>
      <c r="F2349" s="61" t="s">
        <v>42</v>
      </c>
      <c r="G2349" s="36">
        <f t="shared" ref="G2349:J2349" si="518">+G2330+G2311+G2292</f>
        <v>20646</v>
      </c>
      <c r="H2349" s="36">
        <f t="shared" si="518"/>
        <v>5583</v>
      </c>
      <c r="I2349" s="36">
        <f t="shared" si="518"/>
        <v>9720</v>
      </c>
      <c r="J2349" s="36">
        <f t="shared" si="518"/>
        <v>1500</v>
      </c>
      <c r="K2349" s="36">
        <v>16449</v>
      </c>
      <c r="L2349" s="36">
        <v>15000</v>
      </c>
      <c r="M2349" s="9">
        <f t="shared" si="516"/>
        <v>0.91190953857377344</v>
      </c>
      <c r="N2349" s="5">
        <v>1</v>
      </c>
      <c r="O2349" s="10">
        <f t="shared" si="517"/>
        <v>0.91190953857377344</v>
      </c>
    </row>
    <row r="2350" spans="1:15" ht="13.5" customHeight="1">
      <c r="B2350" s="33">
        <f t="shared" ref="B2350:B2363" si="519">+B2349+1</f>
        <v>3</v>
      </c>
      <c r="C2350" s="62"/>
      <c r="D2350" s="62"/>
      <c r="F2350" s="61" t="s">
        <v>417</v>
      </c>
      <c r="G2350" s="36">
        <f t="shared" ref="G2350:J2350" si="520">+G2331+G2312+G2293</f>
        <v>831</v>
      </c>
      <c r="H2350" s="36">
        <f t="shared" si="520"/>
        <v>3722</v>
      </c>
      <c r="I2350" s="36">
        <f t="shared" si="520"/>
        <v>15780</v>
      </c>
      <c r="J2350" s="36">
        <f t="shared" si="520"/>
        <v>1000</v>
      </c>
      <c r="K2350" s="36">
        <f t="shared" si="515"/>
        <v>21333</v>
      </c>
      <c r="L2350" s="36">
        <v>15000</v>
      </c>
      <c r="M2350" s="9">
        <f t="shared" si="516"/>
        <v>0.70313598649978903</v>
      </c>
      <c r="N2350" s="5">
        <v>1</v>
      </c>
      <c r="O2350" s="10">
        <f t="shared" si="517"/>
        <v>0.70313598649978903</v>
      </c>
    </row>
    <row r="2351" spans="1:15" ht="13.5" customHeight="1">
      <c r="A2351" s="1" t="s">
        <v>1019</v>
      </c>
      <c r="B2351" s="33">
        <f t="shared" si="519"/>
        <v>4</v>
      </c>
      <c r="C2351" s="62"/>
      <c r="D2351" s="62"/>
      <c r="F2351" s="61" t="s">
        <v>44</v>
      </c>
      <c r="G2351" s="36">
        <f t="shared" ref="G2351:J2351" si="521">+G2332+G2313+G2294</f>
        <v>13653</v>
      </c>
      <c r="H2351" s="36">
        <f t="shared" si="521"/>
        <v>5583</v>
      </c>
      <c r="I2351" s="36">
        <f t="shared" si="521"/>
        <v>9720</v>
      </c>
      <c r="J2351" s="36">
        <f t="shared" si="521"/>
        <v>2250</v>
      </c>
      <c r="K2351" s="36">
        <v>14412</v>
      </c>
      <c r="L2351" s="36">
        <v>15000</v>
      </c>
      <c r="M2351" s="9">
        <f t="shared" si="516"/>
        <v>1.0407993338884263</v>
      </c>
      <c r="N2351" s="5">
        <v>1</v>
      </c>
      <c r="O2351" s="10">
        <f t="shared" si="517"/>
        <v>1</v>
      </c>
    </row>
    <row r="2352" spans="1:15" ht="13.5" customHeight="1">
      <c r="B2352" s="33">
        <f t="shared" si="519"/>
        <v>5</v>
      </c>
      <c r="C2352" s="62"/>
      <c r="D2352" s="62"/>
      <c r="F2352" s="61" t="s">
        <v>693</v>
      </c>
      <c r="G2352" s="36">
        <f t="shared" ref="G2352:J2352" si="522">+G2333+G2314+G2295</f>
        <v>1108</v>
      </c>
      <c r="H2352" s="36">
        <f t="shared" si="522"/>
        <v>3722</v>
      </c>
      <c r="I2352" s="36">
        <f t="shared" si="522"/>
        <v>15780</v>
      </c>
      <c r="J2352" s="36">
        <f t="shared" si="522"/>
        <v>1500</v>
      </c>
      <c r="K2352" s="36">
        <f t="shared" si="515"/>
        <v>22110</v>
      </c>
      <c r="L2352" s="36">
        <v>15000</v>
      </c>
      <c r="M2352" s="9">
        <f t="shared" si="516"/>
        <v>0.67842605156037994</v>
      </c>
      <c r="N2352" s="5">
        <v>1</v>
      </c>
      <c r="O2352" s="10">
        <f t="shared" si="517"/>
        <v>0.67842605156037994</v>
      </c>
    </row>
    <row r="2353" spans="1:15" ht="13.5" customHeight="1">
      <c r="B2353" s="33">
        <f t="shared" si="519"/>
        <v>6</v>
      </c>
      <c r="C2353" s="62"/>
      <c r="D2353" s="62"/>
      <c r="F2353" s="61" t="s">
        <v>214</v>
      </c>
      <c r="G2353" s="36">
        <f t="shared" ref="G2353:J2353" si="523">+G2334+G2315+G2296</f>
        <v>12321</v>
      </c>
      <c r="H2353" s="36">
        <f t="shared" si="523"/>
        <v>3722</v>
      </c>
      <c r="I2353" s="36">
        <f t="shared" si="523"/>
        <v>7580</v>
      </c>
      <c r="J2353" s="36">
        <f t="shared" si="523"/>
        <v>1500</v>
      </c>
      <c r="K2353" s="36">
        <f t="shared" si="515"/>
        <v>25123</v>
      </c>
      <c r="L2353" s="36">
        <v>15000</v>
      </c>
      <c r="M2353" s="9">
        <f t="shared" si="516"/>
        <v>0.59706245273255587</v>
      </c>
      <c r="N2353" s="5">
        <v>1</v>
      </c>
      <c r="O2353" s="10">
        <f t="shared" si="517"/>
        <v>0.59706245273255587</v>
      </c>
    </row>
    <row r="2354" spans="1:15" ht="13.5" customHeight="1">
      <c r="B2354" s="33">
        <f t="shared" si="519"/>
        <v>7</v>
      </c>
      <c r="C2354" s="62"/>
      <c r="D2354" s="62"/>
      <c r="F2354" s="61" t="s">
        <v>418</v>
      </c>
      <c r="G2354" s="36">
        <f t="shared" ref="G2354:J2363" si="524">+G2336+G2317+G2298</f>
        <v>18300</v>
      </c>
      <c r="H2354" s="36">
        <f t="shared" si="524"/>
        <v>5583</v>
      </c>
      <c r="I2354" s="36">
        <f t="shared" si="524"/>
        <v>9720</v>
      </c>
      <c r="J2354" s="36">
        <f t="shared" si="524"/>
        <v>2250</v>
      </c>
      <c r="K2354" s="36">
        <f t="shared" si="515"/>
        <v>35853</v>
      </c>
      <c r="L2354" s="36">
        <v>15000</v>
      </c>
      <c r="M2354" s="9">
        <f t="shared" si="516"/>
        <v>0.41837503137812737</v>
      </c>
      <c r="N2354" s="5">
        <v>1</v>
      </c>
      <c r="O2354" s="10">
        <f t="shared" si="517"/>
        <v>0.41837503137812737</v>
      </c>
    </row>
    <row r="2355" spans="1:15" ht="13.5" customHeight="1">
      <c r="B2355" s="33">
        <f t="shared" si="519"/>
        <v>8</v>
      </c>
      <c r="C2355" s="62"/>
      <c r="D2355" s="62"/>
      <c r="F2355" s="61" t="s">
        <v>418</v>
      </c>
      <c r="G2355" s="36">
        <f t="shared" si="524"/>
        <v>18300</v>
      </c>
      <c r="H2355" s="36">
        <f t="shared" si="524"/>
        <v>5583</v>
      </c>
      <c r="I2355" s="36">
        <f t="shared" si="524"/>
        <v>9720</v>
      </c>
      <c r="J2355" s="36">
        <f t="shared" si="524"/>
        <v>2250</v>
      </c>
      <c r="K2355" s="36">
        <f t="shared" si="515"/>
        <v>35853</v>
      </c>
      <c r="L2355" s="36">
        <v>15000</v>
      </c>
      <c r="M2355" s="9">
        <f t="shared" si="516"/>
        <v>0.41837503137812737</v>
      </c>
      <c r="N2355" s="5">
        <v>1</v>
      </c>
      <c r="O2355" s="10">
        <f t="shared" si="517"/>
        <v>0.41837503137812737</v>
      </c>
    </row>
    <row r="2356" spans="1:15" ht="13.5" customHeight="1">
      <c r="B2356" s="33">
        <f t="shared" si="519"/>
        <v>9</v>
      </c>
      <c r="C2356" s="62"/>
      <c r="D2356" s="62"/>
      <c r="F2356" s="61" t="s">
        <v>26</v>
      </c>
      <c r="G2356" s="36">
        <f t="shared" si="524"/>
        <v>19980</v>
      </c>
      <c r="H2356" s="36">
        <f t="shared" si="524"/>
        <v>5583</v>
      </c>
      <c r="I2356" s="36">
        <f t="shared" si="524"/>
        <v>9720</v>
      </c>
      <c r="J2356" s="36">
        <f t="shared" si="524"/>
        <v>2700</v>
      </c>
      <c r="K2356" s="36">
        <f t="shared" si="515"/>
        <v>37983</v>
      </c>
      <c r="L2356" s="36">
        <v>15000</v>
      </c>
      <c r="M2356" s="9">
        <f t="shared" si="516"/>
        <v>0.39491351394044705</v>
      </c>
      <c r="N2356" s="5">
        <v>1</v>
      </c>
      <c r="O2356" s="10">
        <f t="shared" si="517"/>
        <v>0.39491351394044705</v>
      </c>
    </row>
    <row r="2357" spans="1:15" ht="13.5" customHeight="1">
      <c r="B2357" s="33">
        <f t="shared" si="519"/>
        <v>10</v>
      </c>
      <c r="C2357" s="62"/>
      <c r="D2357" s="62"/>
      <c r="F2357" s="61" t="s">
        <v>26</v>
      </c>
      <c r="G2357" s="36">
        <f t="shared" si="524"/>
        <v>15651</v>
      </c>
      <c r="H2357" s="36">
        <f t="shared" si="524"/>
        <v>5583</v>
      </c>
      <c r="I2357" s="36">
        <f t="shared" si="524"/>
        <v>9720</v>
      </c>
      <c r="J2357" s="36">
        <f t="shared" si="524"/>
        <v>2700</v>
      </c>
      <c r="K2357" s="36">
        <f t="shared" si="515"/>
        <v>33654</v>
      </c>
      <c r="L2357" s="36">
        <v>15000</v>
      </c>
      <c r="M2357" s="9">
        <f t="shared" si="516"/>
        <v>0.44571224817257976</v>
      </c>
      <c r="N2357" s="5">
        <v>1</v>
      </c>
      <c r="O2357" s="10">
        <f t="shared" si="517"/>
        <v>0.44571224817257976</v>
      </c>
    </row>
    <row r="2358" spans="1:15" ht="13.5" customHeight="1">
      <c r="B2358" s="33">
        <f t="shared" si="519"/>
        <v>11</v>
      </c>
      <c r="C2358" s="62"/>
      <c r="D2358" s="62"/>
      <c r="F2358" s="61" t="s">
        <v>26</v>
      </c>
      <c r="G2358" s="36">
        <f t="shared" si="524"/>
        <v>19980</v>
      </c>
      <c r="H2358" s="36">
        <f t="shared" si="524"/>
        <v>5583</v>
      </c>
      <c r="I2358" s="36">
        <f t="shared" si="524"/>
        <v>9720</v>
      </c>
      <c r="J2358" s="36">
        <f t="shared" si="524"/>
        <v>2700</v>
      </c>
      <c r="K2358" s="36">
        <f t="shared" si="515"/>
        <v>37983</v>
      </c>
      <c r="L2358" s="36">
        <v>15000</v>
      </c>
      <c r="M2358" s="9">
        <f t="shared" si="516"/>
        <v>0.39491351394044705</v>
      </c>
      <c r="N2358" s="5">
        <v>1</v>
      </c>
      <c r="O2358" s="10">
        <f t="shared" si="517"/>
        <v>0.39491351394044705</v>
      </c>
    </row>
    <row r="2359" spans="1:15" ht="13.5" customHeight="1">
      <c r="B2359" s="33">
        <f t="shared" si="519"/>
        <v>12</v>
      </c>
      <c r="C2359" s="62"/>
      <c r="D2359" s="62"/>
      <c r="F2359" s="61" t="s">
        <v>26</v>
      </c>
      <c r="G2359" s="36">
        <f t="shared" si="524"/>
        <v>19980</v>
      </c>
      <c r="H2359" s="36">
        <f t="shared" si="524"/>
        <v>5583</v>
      </c>
      <c r="I2359" s="36">
        <f t="shared" si="524"/>
        <v>9720</v>
      </c>
      <c r="J2359" s="36">
        <f t="shared" si="524"/>
        <v>2700</v>
      </c>
      <c r="K2359" s="36">
        <f t="shared" si="515"/>
        <v>37983</v>
      </c>
      <c r="L2359" s="36">
        <v>15000</v>
      </c>
      <c r="M2359" s="9">
        <f t="shared" si="516"/>
        <v>0.39491351394044705</v>
      </c>
      <c r="N2359" s="5">
        <v>1</v>
      </c>
      <c r="O2359" s="10">
        <f t="shared" si="517"/>
        <v>0.39491351394044705</v>
      </c>
    </row>
    <row r="2360" spans="1:15" ht="13.5" customHeight="1">
      <c r="B2360" s="33">
        <f t="shared" si="519"/>
        <v>13</v>
      </c>
      <c r="C2360" s="62"/>
      <c r="D2360" s="62"/>
      <c r="F2360" s="61" t="s">
        <v>26</v>
      </c>
      <c r="G2360" s="36">
        <f t="shared" si="524"/>
        <v>18315</v>
      </c>
      <c r="H2360" s="36">
        <f t="shared" si="524"/>
        <v>5583</v>
      </c>
      <c r="I2360" s="36">
        <f t="shared" si="524"/>
        <v>9720</v>
      </c>
      <c r="J2360" s="36">
        <f t="shared" si="524"/>
        <v>2700</v>
      </c>
      <c r="K2360" s="36">
        <f t="shared" si="515"/>
        <v>36318</v>
      </c>
      <c r="L2360" s="36">
        <v>15000</v>
      </c>
      <c r="M2360" s="9">
        <f t="shared" si="516"/>
        <v>0.41301833801420784</v>
      </c>
      <c r="N2360" s="5">
        <v>1</v>
      </c>
      <c r="O2360" s="10">
        <f t="shared" si="517"/>
        <v>0.41301833801420784</v>
      </c>
    </row>
    <row r="2361" spans="1:15" ht="13.5" customHeight="1">
      <c r="B2361" s="33">
        <f t="shared" si="519"/>
        <v>14</v>
      </c>
      <c r="C2361" s="62"/>
      <c r="D2361" s="62"/>
      <c r="F2361" s="61" t="s">
        <v>43</v>
      </c>
      <c r="G2361" s="36">
        <f t="shared" si="524"/>
        <v>12321</v>
      </c>
      <c r="H2361" s="36">
        <f t="shared" si="524"/>
        <v>3722</v>
      </c>
      <c r="I2361" s="36">
        <f t="shared" si="524"/>
        <v>7580</v>
      </c>
      <c r="J2361" s="36">
        <f t="shared" si="524"/>
        <v>1000</v>
      </c>
      <c r="K2361" s="36">
        <f t="shared" si="515"/>
        <v>24623</v>
      </c>
      <c r="L2361" s="36">
        <v>15000</v>
      </c>
      <c r="M2361" s="9">
        <f t="shared" si="516"/>
        <v>0.60918653291637903</v>
      </c>
      <c r="N2361" s="5">
        <v>1</v>
      </c>
      <c r="O2361" s="10">
        <f t="shared" si="517"/>
        <v>0.60918653291637903</v>
      </c>
    </row>
    <row r="2362" spans="1:15" ht="13.5" customHeight="1">
      <c r="B2362" s="33">
        <f t="shared" si="519"/>
        <v>15</v>
      </c>
      <c r="C2362" s="62"/>
      <c r="D2362" s="62"/>
      <c r="F2362" s="61" t="s">
        <v>27</v>
      </c>
      <c r="G2362" s="36">
        <f t="shared" si="524"/>
        <v>14652</v>
      </c>
      <c r="H2362" s="36">
        <f t="shared" si="524"/>
        <v>5583</v>
      </c>
      <c r="I2362" s="36">
        <f t="shared" si="524"/>
        <v>9720</v>
      </c>
      <c r="J2362" s="36">
        <f t="shared" si="524"/>
        <v>1500</v>
      </c>
      <c r="K2362" s="36">
        <f t="shared" si="515"/>
        <v>31455</v>
      </c>
      <c r="L2362" s="36">
        <v>15000</v>
      </c>
      <c r="M2362" s="9">
        <f t="shared" si="516"/>
        <v>0.47687172150691465</v>
      </c>
      <c r="N2362" s="5">
        <v>1</v>
      </c>
      <c r="O2362" s="10">
        <f t="shared" si="517"/>
        <v>0.47687172150691465</v>
      </c>
    </row>
    <row r="2363" spans="1:15" ht="13.5" customHeight="1">
      <c r="B2363" s="33">
        <f t="shared" si="519"/>
        <v>16</v>
      </c>
      <c r="C2363" s="62"/>
      <c r="D2363" s="62"/>
      <c r="F2363" s="61" t="s">
        <v>30</v>
      </c>
      <c r="G2363" s="36">
        <f t="shared" si="524"/>
        <v>18993</v>
      </c>
      <c r="H2363" s="36">
        <f t="shared" si="524"/>
        <v>5583</v>
      </c>
      <c r="I2363" s="36">
        <f t="shared" si="524"/>
        <v>9720</v>
      </c>
      <c r="J2363" s="36">
        <f t="shared" si="524"/>
        <v>1500</v>
      </c>
      <c r="K2363" s="36">
        <f t="shared" si="515"/>
        <v>35796</v>
      </c>
      <c r="L2363" s="36">
        <v>15000</v>
      </c>
      <c r="M2363" s="9">
        <f t="shared" si="516"/>
        <v>0.41904123365739188</v>
      </c>
      <c r="N2363" s="5">
        <v>1</v>
      </c>
      <c r="O2363" s="10">
        <f t="shared" si="517"/>
        <v>0.41904123365739188</v>
      </c>
    </row>
    <row r="2364" spans="1:15" ht="13.5" customHeight="1">
      <c r="C2364" s="62"/>
      <c r="D2364" s="62"/>
      <c r="F2364" s="61"/>
      <c r="G2364" s="36"/>
      <c r="H2364" s="36"/>
      <c r="I2364" s="36"/>
      <c r="J2364" s="36"/>
      <c r="K2364" s="36"/>
      <c r="M2364" s="9"/>
      <c r="N2364" s="5"/>
      <c r="O2364" s="10"/>
    </row>
    <row r="2365" spans="1:15" ht="13.5" customHeight="1">
      <c r="A2365" s="1" t="s">
        <v>16</v>
      </c>
      <c r="B2365" s="33">
        <f>+B2353+1</f>
        <v>7</v>
      </c>
      <c r="C2365" s="62"/>
      <c r="D2365" s="62"/>
      <c r="F2365" s="61" t="s">
        <v>445</v>
      </c>
      <c r="G2365" s="36">
        <f>+G2335+G2316+G2297</f>
        <v>15651</v>
      </c>
      <c r="H2365" s="36">
        <f>+H2335+H2316+H2297</f>
        <v>5583</v>
      </c>
      <c r="I2365" s="36">
        <f>+I2335+I2316+I2297</f>
        <v>9720</v>
      </c>
      <c r="J2365" s="36">
        <f>+J2335+J2316+J2297</f>
        <v>2250</v>
      </c>
      <c r="K2365" s="36">
        <f>SUM(G2365:J2365)</f>
        <v>33204</v>
      </c>
      <c r="L2365" s="36">
        <v>15000</v>
      </c>
      <c r="M2365" s="9">
        <f>L2365/K2365</f>
        <v>0.45175280086736536</v>
      </c>
      <c r="N2365" s="5">
        <v>1</v>
      </c>
      <c r="O2365" s="10">
        <f>N2365*M2365</f>
        <v>0.45175280086736536</v>
      </c>
    </row>
    <row r="2366" spans="1:15" ht="17.25" customHeight="1">
      <c r="A2366" s="66" t="s">
        <v>45</v>
      </c>
      <c r="B2366" s="66"/>
      <c r="C2366" s="66"/>
      <c r="D2366" s="66"/>
      <c r="E2366" s="66"/>
      <c r="F2366" s="66"/>
      <c r="G2366" s="66"/>
      <c r="H2366" s="66"/>
      <c r="I2366" s="66"/>
      <c r="J2366" s="66"/>
      <c r="K2366" s="66"/>
      <c r="L2366" s="66"/>
      <c r="M2366" s="66"/>
      <c r="N2366" s="22">
        <f>SUM(N2348:N2363)</f>
        <v>16</v>
      </c>
      <c r="O2366" s="23">
        <f>SUM(O2348:O2363)</f>
        <v>8.7497434391375482</v>
      </c>
    </row>
    <row r="2367" spans="1:15" ht="13.5" hidden="1" customHeight="1">
      <c r="A2367" s="44" t="s">
        <v>1003</v>
      </c>
      <c r="B2367" s="44"/>
      <c r="C2367" s="44"/>
      <c r="D2367" s="44"/>
      <c r="E2367" s="44"/>
      <c r="F2367" s="44"/>
      <c r="G2367" s="44"/>
      <c r="H2367" s="44"/>
      <c r="I2367" s="44"/>
      <c r="J2367" s="44"/>
      <c r="K2367" s="44"/>
      <c r="L2367" s="44"/>
      <c r="M2367" s="44"/>
      <c r="N2367" s="44"/>
      <c r="O2367" s="44"/>
    </row>
    <row r="2368" spans="1:15" ht="13.5" hidden="1" customHeight="1">
      <c r="B2368" s="33">
        <v>1</v>
      </c>
      <c r="C2368" s="62" t="s">
        <v>904</v>
      </c>
      <c r="D2368" s="62" t="s">
        <v>747</v>
      </c>
      <c r="F2368" s="61" t="s">
        <v>213</v>
      </c>
      <c r="G2368" s="36">
        <f>333*21.5</f>
        <v>7159.5</v>
      </c>
      <c r="H2368" s="36">
        <v>1861</v>
      </c>
      <c r="I2368" s="36">
        <v>3790</v>
      </c>
      <c r="J2368" s="36">
        <v>500</v>
      </c>
      <c r="K2368" s="36">
        <f t="shared" ref="K2368:K2441" si="525">SUM(G2368:J2368)</f>
        <v>13310.5</v>
      </c>
      <c r="L2368" s="36">
        <v>7500</v>
      </c>
      <c r="M2368" s="9">
        <f t="shared" ref="M2368:M2441" si="526">L2368/K2368</f>
        <v>0.56346493369895945</v>
      </c>
      <c r="N2368" s="5">
        <v>1</v>
      </c>
      <c r="O2368" s="10">
        <f t="shared" ref="O2368:O2441" si="527">N2368*M2368</f>
        <v>0.56346493369895945</v>
      </c>
    </row>
    <row r="2369" spans="2:15" ht="13.5" hidden="1" customHeight="1">
      <c r="B2369" s="33">
        <f>+B2368+1</f>
        <v>2</v>
      </c>
      <c r="C2369" s="62" t="s">
        <v>905</v>
      </c>
      <c r="D2369" s="62" t="s">
        <v>756</v>
      </c>
      <c r="F2369" s="61" t="s">
        <v>213</v>
      </c>
      <c r="G2369" s="36">
        <f t="shared" ref="G2369:G2373" si="528">333*21.5</f>
        <v>7159.5</v>
      </c>
      <c r="H2369" s="36">
        <v>1861</v>
      </c>
      <c r="I2369" s="36">
        <v>3790</v>
      </c>
      <c r="J2369" s="36">
        <v>500</v>
      </c>
      <c r="K2369" s="36">
        <f t="shared" si="525"/>
        <v>13310.5</v>
      </c>
      <c r="L2369" s="36">
        <v>7500</v>
      </c>
      <c r="M2369" s="9">
        <f t="shared" si="526"/>
        <v>0.56346493369895945</v>
      </c>
      <c r="N2369" s="5">
        <v>1</v>
      </c>
      <c r="O2369" s="10">
        <f t="shared" si="527"/>
        <v>0.56346493369895945</v>
      </c>
    </row>
    <row r="2370" spans="2:15" ht="13.5" hidden="1" customHeight="1">
      <c r="B2370" s="33">
        <f t="shared" ref="B2370:B2433" si="529">+B2369+1</f>
        <v>3</v>
      </c>
      <c r="C2370" s="62" t="s">
        <v>234</v>
      </c>
      <c r="D2370" s="62" t="s">
        <v>775</v>
      </c>
      <c r="F2370" s="61" t="s">
        <v>213</v>
      </c>
      <c r="G2370" s="36">
        <f t="shared" si="528"/>
        <v>7159.5</v>
      </c>
      <c r="H2370" s="36">
        <v>1861</v>
      </c>
      <c r="I2370" s="36">
        <v>3790</v>
      </c>
      <c r="J2370" s="36">
        <v>500</v>
      </c>
      <c r="K2370" s="36">
        <f t="shared" ref="K2370:K2426" si="530">SUM(G2370:J2370)</f>
        <v>13310.5</v>
      </c>
      <c r="L2370" s="36">
        <v>7500</v>
      </c>
      <c r="M2370" s="9">
        <f t="shared" ref="M2370:M2426" si="531">L2370/K2370</f>
        <v>0.56346493369895945</v>
      </c>
      <c r="N2370" s="5">
        <v>1</v>
      </c>
      <c r="O2370" s="10">
        <f t="shared" ref="O2370:O2426" si="532">N2370*M2370</f>
        <v>0.56346493369895945</v>
      </c>
    </row>
    <row r="2371" spans="2:15" ht="13.5" hidden="1" customHeight="1">
      <c r="B2371" s="33">
        <f t="shared" si="529"/>
        <v>4</v>
      </c>
      <c r="C2371" s="62" t="s">
        <v>906</v>
      </c>
      <c r="D2371" s="62" t="s">
        <v>783</v>
      </c>
      <c r="F2371" s="61" t="s">
        <v>213</v>
      </c>
      <c r="G2371" s="36">
        <f t="shared" si="528"/>
        <v>7159.5</v>
      </c>
      <c r="H2371" s="36">
        <v>1861</v>
      </c>
      <c r="I2371" s="36">
        <v>3790</v>
      </c>
      <c r="J2371" s="36">
        <v>500</v>
      </c>
      <c r="K2371" s="36">
        <f t="shared" si="530"/>
        <v>13310.5</v>
      </c>
      <c r="L2371" s="36">
        <v>7500</v>
      </c>
      <c r="M2371" s="9">
        <f t="shared" si="531"/>
        <v>0.56346493369895945</v>
      </c>
      <c r="N2371" s="5">
        <v>1</v>
      </c>
      <c r="O2371" s="10">
        <f t="shared" si="532"/>
        <v>0.56346493369895945</v>
      </c>
    </row>
    <row r="2372" spans="2:15" ht="13.5" hidden="1" customHeight="1">
      <c r="B2372" s="33">
        <f t="shared" si="529"/>
        <v>5</v>
      </c>
      <c r="C2372" s="63" t="s">
        <v>907</v>
      </c>
      <c r="D2372" s="63" t="s">
        <v>805</v>
      </c>
      <c r="F2372" s="64" t="s">
        <v>213</v>
      </c>
      <c r="G2372" s="36">
        <f t="shared" si="528"/>
        <v>7159.5</v>
      </c>
      <c r="H2372" s="36">
        <v>1861</v>
      </c>
      <c r="I2372" s="36">
        <v>3790</v>
      </c>
      <c r="J2372" s="36">
        <v>500</v>
      </c>
      <c r="K2372" s="36">
        <f t="shared" si="530"/>
        <v>13310.5</v>
      </c>
      <c r="L2372" s="36">
        <v>7500</v>
      </c>
      <c r="M2372" s="9">
        <f t="shared" si="531"/>
        <v>0.56346493369895945</v>
      </c>
      <c r="N2372" s="5">
        <v>1</v>
      </c>
      <c r="O2372" s="10">
        <f t="shared" si="532"/>
        <v>0.56346493369895945</v>
      </c>
    </row>
    <row r="2373" spans="2:15" ht="13.5" hidden="1" customHeight="1">
      <c r="B2373" s="33">
        <f t="shared" si="529"/>
        <v>6</v>
      </c>
      <c r="C2373" s="63" t="s">
        <v>61</v>
      </c>
      <c r="D2373" s="63" t="s">
        <v>832</v>
      </c>
      <c r="F2373" s="64" t="s">
        <v>213</v>
      </c>
      <c r="G2373" s="36">
        <f t="shared" si="528"/>
        <v>7159.5</v>
      </c>
      <c r="H2373" s="36">
        <v>1861</v>
      </c>
      <c r="I2373" s="36">
        <v>3790</v>
      </c>
      <c r="J2373" s="36">
        <v>500</v>
      </c>
      <c r="K2373" s="36">
        <f t="shared" si="530"/>
        <v>13310.5</v>
      </c>
      <c r="L2373" s="36">
        <v>7500</v>
      </c>
      <c r="M2373" s="9">
        <f t="shared" si="531"/>
        <v>0.56346493369895945</v>
      </c>
      <c r="N2373" s="5">
        <v>1</v>
      </c>
      <c r="O2373" s="10">
        <f t="shared" si="532"/>
        <v>0.56346493369895945</v>
      </c>
    </row>
    <row r="2374" spans="2:15" ht="13.5" hidden="1" customHeight="1">
      <c r="B2374" s="33">
        <f t="shared" si="529"/>
        <v>7</v>
      </c>
      <c r="C2374" s="63" t="s">
        <v>98</v>
      </c>
      <c r="D2374" s="63" t="s">
        <v>867</v>
      </c>
      <c r="F2374" s="64" t="s">
        <v>213</v>
      </c>
      <c r="G2374" s="36">
        <f>333*20</f>
        <v>6660</v>
      </c>
      <c r="H2374" s="36">
        <v>1861</v>
      </c>
      <c r="I2374" s="36">
        <v>3790</v>
      </c>
      <c r="J2374" s="36">
        <v>500</v>
      </c>
      <c r="K2374" s="36">
        <f t="shared" si="530"/>
        <v>12811</v>
      </c>
      <c r="L2374" s="36">
        <v>7500</v>
      </c>
      <c r="M2374" s="9">
        <f t="shared" si="531"/>
        <v>0.58543439231910077</v>
      </c>
      <c r="N2374" s="5">
        <v>1</v>
      </c>
      <c r="O2374" s="10">
        <f t="shared" si="532"/>
        <v>0.58543439231910077</v>
      </c>
    </row>
    <row r="2375" spans="2:15" ht="13.5" hidden="1" customHeight="1">
      <c r="B2375" s="33">
        <f t="shared" si="529"/>
        <v>8</v>
      </c>
      <c r="C2375" s="63" t="s">
        <v>908</v>
      </c>
      <c r="D2375" s="63" t="s">
        <v>871</v>
      </c>
      <c r="F2375" s="64" t="s">
        <v>213</v>
      </c>
      <c r="G2375" s="36">
        <f>333*21.5</f>
        <v>7159.5</v>
      </c>
      <c r="H2375" s="36">
        <v>1861</v>
      </c>
      <c r="I2375" s="36">
        <v>3790</v>
      </c>
      <c r="J2375" s="36">
        <v>500</v>
      </c>
      <c r="K2375" s="36">
        <f t="shared" si="530"/>
        <v>13310.5</v>
      </c>
      <c r="L2375" s="36">
        <v>7500</v>
      </c>
      <c r="M2375" s="9">
        <f t="shared" si="531"/>
        <v>0.56346493369895945</v>
      </c>
      <c r="N2375" s="5">
        <v>1</v>
      </c>
      <c r="O2375" s="10">
        <f t="shared" si="532"/>
        <v>0.56346493369895945</v>
      </c>
    </row>
    <row r="2376" spans="2:15" ht="13.5" hidden="1" customHeight="1">
      <c r="B2376" s="33">
        <f t="shared" si="529"/>
        <v>9</v>
      </c>
      <c r="C2376" s="63" t="s">
        <v>909</v>
      </c>
      <c r="D2376" s="63" t="s">
        <v>875</v>
      </c>
      <c r="F2376" s="64" t="s">
        <v>213</v>
      </c>
      <c r="G2376" s="36">
        <f>333*21</f>
        <v>6993</v>
      </c>
      <c r="H2376" s="36">
        <v>1861</v>
      </c>
      <c r="I2376" s="36">
        <v>3790</v>
      </c>
      <c r="J2376" s="36">
        <v>500</v>
      </c>
      <c r="K2376" s="36">
        <f t="shared" si="530"/>
        <v>13144</v>
      </c>
      <c r="L2376" s="36">
        <v>7500</v>
      </c>
      <c r="M2376" s="9">
        <f t="shared" si="531"/>
        <v>0.57060255629945222</v>
      </c>
      <c r="N2376" s="5">
        <v>1</v>
      </c>
      <c r="O2376" s="10">
        <f t="shared" si="532"/>
        <v>0.57060255629945222</v>
      </c>
    </row>
    <row r="2377" spans="2:15" ht="13.5" hidden="1" customHeight="1">
      <c r="B2377" s="33">
        <f t="shared" si="529"/>
        <v>10</v>
      </c>
      <c r="C2377" s="63" t="s">
        <v>910</v>
      </c>
      <c r="D2377" s="63" t="s">
        <v>886</v>
      </c>
      <c r="F2377" s="64" t="s">
        <v>213</v>
      </c>
      <c r="G2377" s="36">
        <f>333*21.5</f>
        <v>7159.5</v>
      </c>
      <c r="H2377" s="36">
        <v>1861</v>
      </c>
      <c r="I2377" s="36">
        <v>3790</v>
      </c>
      <c r="J2377" s="36">
        <v>500</v>
      </c>
      <c r="K2377" s="36">
        <f t="shared" si="530"/>
        <v>13310.5</v>
      </c>
      <c r="L2377" s="36">
        <v>7500</v>
      </c>
      <c r="M2377" s="9">
        <f t="shared" si="531"/>
        <v>0.56346493369895945</v>
      </c>
      <c r="N2377" s="5">
        <v>1</v>
      </c>
      <c r="O2377" s="10">
        <f t="shared" si="532"/>
        <v>0.56346493369895945</v>
      </c>
    </row>
    <row r="2378" spans="2:15" ht="13.5" hidden="1" customHeight="1">
      <c r="B2378" s="33">
        <f t="shared" si="529"/>
        <v>11</v>
      </c>
      <c r="C2378" s="63" t="s">
        <v>158</v>
      </c>
      <c r="D2378" s="63" t="s">
        <v>862</v>
      </c>
      <c r="F2378" s="64" t="s">
        <v>140</v>
      </c>
      <c r="G2378" s="36">
        <f>300*18</f>
        <v>5400</v>
      </c>
      <c r="H2378" s="36">
        <v>1861</v>
      </c>
      <c r="I2378" s="36">
        <v>3240</v>
      </c>
      <c r="J2378" s="36">
        <v>500</v>
      </c>
      <c r="K2378" s="36">
        <f t="shared" si="530"/>
        <v>11001</v>
      </c>
      <c r="L2378" s="36">
        <v>7500</v>
      </c>
      <c r="M2378" s="9">
        <f t="shared" si="531"/>
        <v>0.6817562039814562</v>
      </c>
      <c r="N2378" s="5">
        <v>1</v>
      </c>
      <c r="O2378" s="10">
        <f t="shared" si="532"/>
        <v>0.6817562039814562</v>
      </c>
    </row>
    <row r="2379" spans="2:15" ht="13.5" hidden="1" customHeight="1">
      <c r="B2379" s="33">
        <f t="shared" si="529"/>
        <v>12</v>
      </c>
      <c r="C2379" s="63" t="s">
        <v>179</v>
      </c>
      <c r="D2379" s="63" t="s">
        <v>903</v>
      </c>
      <c r="F2379" s="64" t="s">
        <v>428</v>
      </c>
      <c r="G2379" s="36">
        <f>277*20</f>
        <v>5540</v>
      </c>
      <c r="H2379" s="36">
        <v>1861</v>
      </c>
      <c r="I2379" s="36">
        <v>7890</v>
      </c>
      <c r="J2379" s="36">
        <v>500</v>
      </c>
      <c r="K2379" s="36">
        <f t="shared" ref="K2379:K2420" si="533">SUM(G2379:J2379)</f>
        <v>15791</v>
      </c>
      <c r="L2379" s="36">
        <v>7500</v>
      </c>
      <c r="M2379" s="9">
        <f t="shared" ref="M2379:M2420" si="534">L2379/K2379</f>
        <v>0.47495408777151543</v>
      </c>
      <c r="N2379" s="5">
        <v>1</v>
      </c>
      <c r="O2379" s="10">
        <f t="shared" ref="O2379:O2420" si="535">N2379*M2379</f>
        <v>0.47495408777151543</v>
      </c>
    </row>
    <row r="2380" spans="2:15" ht="13.5" hidden="1" customHeight="1">
      <c r="B2380" s="33">
        <f t="shared" si="529"/>
        <v>13</v>
      </c>
      <c r="C2380" s="62" t="s">
        <v>911</v>
      </c>
      <c r="D2380" s="62" t="s">
        <v>774</v>
      </c>
      <c r="F2380" s="61" t="s">
        <v>41</v>
      </c>
      <c r="G2380" s="36">
        <f>333*18.5</f>
        <v>6160.5</v>
      </c>
      <c r="H2380" s="36">
        <v>1861</v>
      </c>
      <c r="I2380" s="36">
        <v>3790</v>
      </c>
      <c r="J2380" s="36">
        <v>500</v>
      </c>
      <c r="K2380" s="36">
        <f t="shared" si="533"/>
        <v>12311.5</v>
      </c>
      <c r="L2380" s="36">
        <v>7500</v>
      </c>
      <c r="M2380" s="9">
        <f t="shared" si="534"/>
        <v>0.60918653291637903</v>
      </c>
      <c r="N2380" s="5">
        <v>1</v>
      </c>
      <c r="O2380" s="10">
        <f t="shared" si="535"/>
        <v>0.60918653291637903</v>
      </c>
    </row>
    <row r="2381" spans="2:15" ht="13.5" hidden="1" customHeight="1">
      <c r="B2381" s="33">
        <f t="shared" si="529"/>
        <v>14</v>
      </c>
      <c r="C2381" s="63" t="s">
        <v>912</v>
      </c>
      <c r="D2381" s="63" t="s">
        <v>897</v>
      </c>
      <c r="F2381" s="61" t="s">
        <v>41</v>
      </c>
      <c r="G2381" s="36">
        <f>333*15.5</f>
        <v>5161.5</v>
      </c>
      <c r="H2381" s="36">
        <v>1861</v>
      </c>
      <c r="I2381" s="36">
        <v>3790</v>
      </c>
      <c r="J2381" s="36">
        <v>500</v>
      </c>
      <c r="K2381" s="36">
        <f t="shared" si="533"/>
        <v>11312.5</v>
      </c>
      <c r="L2381" s="36">
        <v>7500</v>
      </c>
      <c r="M2381" s="9">
        <f t="shared" si="534"/>
        <v>0.66298342541436461</v>
      </c>
      <c r="N2381" s="5">
        <v>1</v>
      </c>
      <c r="O2381" s="10">
        <f t="shared" si="535"/>
        <v>0.66298342541436461</v>
      </c>
    </row>
    <row r="2382" spans="2:15" ht="13.5" hidden="1" customHeight="1">
      <c r="B2382" s="33">
        <f t="shared" si="529"/>
        <v>15</v>
      </c>
      <c r="C2382" s="63" t="s">
        <v>100</v>
      </c>
      <c r="D2382" s="63" t="s">
        <v>900</v>
      </c>
      <c r="F2382" s="61" t="s">
        <v>41</v>
      </c>
      <c r="G2382" s="36">
        <f>333*18.5</f>
        <v>6160.5</v>
      </c>
      <c r="H2382" s="36">
        <v>1861</v>
      </c>
      <c r="I2382" s="36">
        <v>3790</v>
      </c>
      <c r="J2382" s="36">
        <v>500</v>
      </c>
      <c r="K2382" s="36">
        <f t="shared" si="533"/>
        <v>12311.5</v>
      </c>
      <c r="L2382" s="36">
        <v>7500</v>
      </c>
      <c r="M2382" s="9">
        <f t="shared" si="534"/>
        <v>0.60918653291637903</v>
      </c>
      <c r="N2382" s="5">
        <v>1</v>
      </c>
      <c r="O2382" s="10">
        <f t="shared" si="535"/>
        <v>0.60918653291637903</v>
      </c>
    </row>
    <row r="2383" spans="2:15" ht="13.5" hidden="1" customHeight="1">
      <c r="B2383" s="33">
        <f t="shared" si="529"/>
        <v>16</v>
      </c>
      <c r="C2383" s="63" t="s">
        <v>266</v>
      </c>
      <c r="D2383" s="63" t="s">
        <v>88</v>
      </c>
      <c r="F2383" s="61" t="s">
        <v>41</v>
      </c>
      <c r="G2383" s="36">
        <f>333*21</f>
        <v>6993</v>
      </c>
      <c r="H2383" s="36">
        <v>1861</v>
      </c>
      <c r="I2383" s="36">
        <v>3790</v>
      </c>
      <c r="J2383" s="36">
        <v>500</v>
      </c>
      <c r="K2383" s="36">
        <f t="shared" si="533"/>
        <v>13144</v>
      </c>
      <c r="L2383" s="36">
        <v>7500</v>
      </c>
      <c r="M2383" s="9">
        <f t="shared" si="534"/>
        <v>0.57060255629945222</v>
      </c>
      <c r="N2383" s="5">
        <v>1</v>
      </c>
      <c r="O2383" s="10">
        <f t="shared" si="535"/>
        <v>0.57060255629945222</v>
      </c>
    </row>
    <row r="2384" spans="2:15" ht="13.5" hidden="1" customHeight="1">
      <c r="B2384" s="33">
        <f t="shared" si="529"/>
        <v>17</v>
      </c>
      <c r="C2384" s="63" t="s">
        <v>913</v>
      </c>
      <c r="D2384" s="63" t="s">
        <v>798</v>
      </c>
      <c r="F2384" s="64" t="s">
        <v>41</v>
      </c>
      <c r="G2384" s="36">
        <f>333*21.5</f>
        <v>7159.5</v>
      </c>
      <c r="H2384" s="36">
        <v>1861</v>
      </c>
      <c r="I2384" s="36">
        <v>3790</v>
      </c>
      <c r="J2384" s="36">
        <v>500</v>
      </c>
      <c r="K2384" s="36">
        <f t="shared" si="533"/>
        <v>13310.5</v>
      </c>
      <c r="L2384" s="36">
        <v>7500</v>
      </c>
      <c r="M2384" s="9">
        <f t="shared" si="534"/>
        <v>0.56346493369895945</v>
      </c>
      <c r="N2384" s="5">
        <v>1</v>
      </c>
      <c r="O2384" s="10">
        <f t="shared" si="535"/>
        <v>0.56346493369895945</v>
      </c>
    </row>
    <row r="2385" spans="2:15" ht="13.5" hidden="1" customHeight="1">
      <c r="B2385" s="33">
        <f t="shared" si="529"/>
        <v>18</v>
      </c>
      <c r="C2385" s="63" t="s">
        <v>67</v>
      </c>
      <c r="D2385" s="63" t="s">
        <v>856</v>
      </c>
      <c r="F2385" s="64" t="s">
        <v>41</v>
      </c>
      <c r="G2385" s="36">
        <f>333*18</f>
        <v>5994</v>
      </c>
      <c r="H2385" s="36">
        <v>1861</v>
      </c>
      <c r="I2385" s="36">
        <v>3790</v>
      </c>
      <c r="J2385" s="36">
        <v>500</v>
      </c>
      <c r="K2385" s="36">
        <f t="shared" si="533"/>
        <v>12145</v>
      </c>
      <c r="L2385" s="36">
        <v>7500</v>
      </c>
      <c r="M2385" s="9">
        <f t="shared" si="534"/>
        <v>0.61753808151502676</v>
      </c>
      <c r="N2385" s="5">
        <v>1</v>
      </c>
      <c r="O2385" s="10">
        <f t="shared" si="535"/>
        <v>0.61753808151502676</v>
      </c>
    </row>
    <row r="2386" spans="2:15" ht="13.5" hidden="1" customHeight="1">
      <c r="B2386" s="33">
        <f t="shared" si="529"/>
        <v>19</v>
      </c>
      <c r="C2386" s="63" t="s">
        <v>243</v>
      </c>
      <c r="D2386" s="63" t="s">
        <v>823</v>
      </c>
      <c r="F2386" s="64" t="s">
        <v>42</v>
      </c>
      <c r="G2386" s="36">
        <f>333*20</f>
        <v>6660</v>
      </c>
      <c r="H2386" s="36">
        <v>1861</v>
      </c>
      <c r="I2386" s="36">
        <v>3240</v>
      </c>
      <c r="J2386" s="36">
        <v>500</v>
      </c>
      <c r="K2386" s="36">
        <f t="shared" si="533"/>
        <v>12261</v>
      </c>
      <c r="L2386" s="36">
        <v>7500</v>
      </c>
      <c r="M2386" s="9">
        <f t="shared" si="534"/>
        <v>0.61169562025935897</v>
      </c>
      <c r="N2386" s="5">
        <v>1</v>
      </c>
      <c r="O2386" s="10">
        <f t="shared" si="535"/>
        <v>0.61169562025935897</v>
      </c>
    </row>
    <row r="2387" spans="2:15" ht="13.5" hidden="1" customHeight="1">
      <c r="B2387" s="33">
        <f t="shared" si="529"/>
        <v>20</v>
      </c>
      <c r="C2387" s="63" t="s">
        <v>355</v>
      </c>
      <c r="D2387" s="63" t="s">
        <v>863</v>
      </c>
      <c r="F2387" s="64" t="s">
        <v>42</v>
      </c>
      <c r="G2387" s="36">
        <f t="shared" ref="G2387:G2388" si="536">333*20</f>
        <v>6660</v>
      </c>
      <c r="H2387" s="36">
        <v>1861</v>
      </c>
      <c r="I2387" s="36">
        <v>3240</v>
      </c>
      <c r="J2387" s="36">
        <v>500</v>
      </c>
      <c r="K2387" s="36">
        <f t="shared" si="533"/>
        <v>12261</v>
      </c>
      <c r="L2387" s="36">
        <v>7500</v>
      </c>
      <c r="M2387" s="9">
        <f t="shared" si="534"/>
        <v>0.61169562025935897</v>
      </c>
      <c r="N2387" s="5">
        <v>1</v>
      </c>
      <c r="O2387" s="10">
        <f t="shared" si="535"/>
        <v>0.61169562025935897</v>
      </c>
    </row>
    <row r="2388" spans="2:15" ht="13.5" hidden="1" customHeight="1">
      <c r="B2388" s="33">
        <f t="shared" si="529"/>
        <v>21</v>
      </c>
      <c r="C2388" s="63" t="s">
        <v>914</v>
      </c>
      <c r="D2388" s="63" t="s">
        <v>880</v>
      </c>
      <c r="F2388" s="64" t="s">
        <v>42</v>
      </c>
      <c r="G2388" s="36">
        <f t="shared" si="536"/>
        <v>6660</v>
      </c>
      <c r="H2388" s="36">
        <v>1861</v>
      </c>
      <c r="I2388" s="36">
        <v>3240</v>
      </c>
      <c r="J2388" s="36">
        <v>500</v>
      </c>
      <c r="K2388" s="36">
        <f t="shared" si="533"/>
        <v>12261</v>
      </c>
      <c r="L2388" s="36">
        <v>7500</v>
      </c>
      <c r="M2388" s="9">
        <f t="shared" si="534"/>
        <v>0.61169562025935897</v>
      </c>
      <c r="N2388" s="5">
        <v>1</v>
      </c>
      <c r="O2388" s="10">
        <f t="shared" si="535"/>
        <v>0.61169562025935897</v>
      </c>
    </row>
    <row r="2389" spans="2:15" ht="13.5" hidden="1" customHeight="1">
      <c r="B2389" s="33">
        <f t="shared" si="529"/>
        <v>22</v>
      </c>
      <c r="C2389" s="62" t="s">
        <v>915</v>
      </c>
      <c r="D2389" s="62" t="s">
        <v>757</v>
      </c>
      <c r="F2389" s="61" t="s">
        <v>25</v>
      </c>
      <c r="G2389" s="36">
        <f>300*21</f>
        <v>6300</v>
      </c>
      <c r="H2389" s="36">
        <v>1861</v>
      </c>
      <c r="I2389" s="36">
        <v>3240</v>
      </c>
      <c r="J2389" s="36">
        <v>500</v>
      </c>
      <c r="K2389" s="36">
        <f t="shared" si="533"/>
        <v>11901</v>
      </c>
      <c r="L2389" s="36">
        <v>7500</v>
      </c>
      <c r="M2389" s="9">
        <f t="shared" si="534"/>
        <v>0.63019914292916557</v>
      </c>
      <c r="N2389" s="5">
        <v>1</v>
      </c>
      <c r="O2389" s="10">
        <f t="shared" si="535"/>
        <v>0.63019914292916557</v>
      </c>
    </row>
    <row r="2390" spans="2:15" ht="13.5" hidden="1" customHeight="1">
      <c r="B2390" s="33">
        <f t="shared" si="529"/>
        <v>23</v>
      </c>
      <c r="C2390" s="62" t="s">
        <v>103</v>
      </c>
      <c r="D2390" s="62" t="s">
        <v>768</v>
      </c>
      <c r="F2390" s="61" t="s">
        <v>25</v>
      </c>
      <c r="G2390" s="36">
        <f>300*6</f>
        <v>1800</v>
      </c>
      <c r="H2390" s="36">
        <v>1861</v>
      </c>
      <c r="I2390" s="36">
        <v>3240</v>
      </c>
      <c r="J2390" s="36">
        <v>500</v>
      </c>
      <c r="K2390" s="36">
        <f t="shared" si="533"/>
        <v>7401</v>
      </c>
      <c r="L2390" s="36">
        <v>7500</v>
      </c>
      <c r="M2390" s="9">
        <f t="shared" si="534"/>
        <v>1.0133765707336846</v>
      </c>
      <c r="N2390" s="5">
        <v>1</v>
      </c>
      <c r="O2390" s="10">
        <f t="shared" si="535"/>
        <v>1.0133765707336846</v>
      </c>
    </row>
    <row r="2391" spans="2:15" ht="13.5" hidden="1" customHeight="1">
      <c r="B2391" s="33">
        <f t="shared" si="529"/>
        <v>24</v>
      </c>
      <c r="C2391" s="63" t="s">
        <v>916</v>
      </c>
      <c r="D2391" s="63" t="s">
        <v>836</v>
      </c>
      <c r="F2391" s="64" t="s">
        <v>417</v>
      </c>
      <c r="G2391" s="36">
        <f>277*3</f>
        <v>831</v>
      </c>
      <c r="H2391" s="36">
        <v>1861</v>
      </c>
      <c r="I2391" s="36">
        <v>7890</v>
      </c>
      <c r="J2391" s="36">
        <v>500</v>
      </c>
      <c r="K2391" s="36">
        <f t="shared" si="533"/>
        <v>11082</v>
      </c>
      <c r="L2391" s="36">
        <v>7500</v>
      </c>
      <c r="M2391" s="9">
        <f t="shared" si="534"/>
        <v>0.67677314564158098</v>
      </c>
      <c r="N2391" s="5">
        <v>1</v>
      </c>
      <c r="O2391" s="10">
        <f t="shared" si="535"/>
        <v>0.67677314564158098</v>
      </c>
    </row>
    <row r="2392" spans="2:15" ht="13.5" hidden="1" customHeight="1">
      <c r="B2392" s="33">
        <f t="shared" si="529"/>
        <v>25</v>
      </c>
      <c r="C2392" s="63" t="s">
        <v>66</v>
      </c>
      <c r="D2392" s="63" t="s">
        <v>847</v>
      </c>
      <c r="F2392" s="64" t="s">
        <v>417</v>
      </c>
      <c r="G2392" s="36">
        <f>277*9</f>
        <v>2493</v>
      </c>
      <c r="H2392" s="36">
        <v>1861</v>
      </c>
      <c r="I2392" s="36">
        <v>7890</v>
      </c>
      <c r="J2392" s="36">
        <v>500</v>
      </c>
      <c r="K2392" s="36">
        <f t="shared" si="533"/>
        <v>12744</v>
      </c>
      <c r="L2392" s="36">
        <v>7500</v>
      </c>
      <c r="M2392" s="9">
        <f t="shared" si="534"/>
        <v>0.58851224105461397</v>
      </c>
      <c r="N2392" s="5">
        <v>1</v>
      </c>
      <c r="O2392" s="10">
        <f t="shared" si="535"/>
        <v>0.58851224105461397</v>
      </c>
    </row>
    <row r="2393" spans="2:15" ht="13.5" hidden="1" customHeight="1">
      <c r="B2393" s="33">
        <f t="shared" si="529"/>
        <v>26</v>
      </c>
      <c r="C2393" s="63" t="s">
        <v>917</v>
      </c>
      <c r="D2393" s="63" t="s">
        <v>874</v>
      </c>
      <c r="F2393" s="64" t="s">
        <v>417</v>
      </c>
      <c r="G2393" s="36">
        <f>277*3</f>
        <v>831</v>
      </c>
      <c r="H2393" s="36">
        <v>1861</v>
      </c>
      <c r="I2393" s="36">
        <v>7890</v>
      </c>
      <c r="J2393" s="36">
        <v>500</v>
      </c>
      <c r="K2393" s="36">
        <f t="shared" si="533"/>
        <v>11082</v>
      </c>
      <c r="L2393" s="36">
        <v>7500</v>
      </c>
      <c r="M2393" s="9">
        <f t="shared" si="534"/>
        <v>0.67677314564158098</v>
      </c>
      <c r="N2393" s="5">
        <v>1</v>
      </c>
      <c r="O2393" s="10">
        <f t="shared" si="535"/>
        <v>0.67677314564158098</v>
      </c>
    </row>
    <row r="2394" spans="2:15" ht="13.5" hidden="1" customHeight="1">
      <c r="B2394" s="33">
        <f t="shared" si="529"/>
        <v>27</v>
      </c>
      <c r="C2394" s="62" t="s">
        <v>163</v>
      </c>
      <c r="D2394" s="62" t="s">
        <v>751</v>
      </c>
      <c r="F2394" s="61" t="s">
        <v>159</v>
      </c>
      <c r="G2394" s="36">
        <f>333*19</f>
        <v>6327</v>
      </c>
      <c r="H2394" s="36">
        <v>1861</v>
      </c>
      <c r="I2394" s="36">
        <v>3240</v>
      </c>
      <c r="J2394" s="36">
        <v>900</v>
      </c>
      <c r="K2394" s="36">
        <f t="shared" si="533"/>
        <v>12328</v>
      </c>
      <c r="L2394" s="36">
        <v>7500</v>
      </c>
      <c r="M2394" s="9">
        <f t="shared" si="534"/>
        <v>0.60837118754055808</v>
      </c>
      <c r="N2394" s="5">
        <v>1</v>
      </c>
      <c r="O2394" s="10">
        <f t="shared" si="535"/>
        <v>0.60837118754055808</v>
      </c>
    </row>
    <row r="2395" spans="2:15" ht="13.5" hidden="1" customHeight="1">
      <c r="B2395" s="33">
        <f t="shared" si="529"/>
        <v>28</v>
      </c>
      <c r="C2395" s="62" t="s">
        <v>918</v>
      </c>
      <c r="D2395" s="62" t="s">
        <v>770</v>
      </c>
      <c r="F2395" s="61" t="s">
        <v>159</v>
      </c>
      <c r="G2395" s="36">
        <f t="shared" ref="G2395:G2399" si="537">333*19</f>
        <v>6327</v>
      </c>
      <c r="H2395" s="36">
        <v>1861</v>
      </c>
      <c r="I2395" s="36">
        <v>3240</v>
      </c>
      <c r="J2395" s="36">
        <v>900</v>
      </c>
      <c r="K2395" s="36">
        <f t="shared" si="533"/>
        <v>12328</v>
      </c>
      <c r="L2395" s="36">
        <v>7500</v>
      </c>
      <c r="M2395" s="9">
        <f t="shared" si="534"/>
        <v>0.60837118754055808</v>
      </c>
      <c r="N2395" s="5">
        <v>1</v>
      </c>
      <c r="O2395" s="10">
        <f t="shared" si="535"/>
        <v>0.60837118754055808</v>
      </c>
    </row>
    <row r="2396" spans="2:15" ht="13.5" hidden="1" customHeight="1">
      <c r="B2396" s="33">
        <f t="shared" si="529"/>
        <v>29</v>
      </c>
      <c r="C2396" s="62" t="s">
        <v>164</v>
      </c>
      <c r="D2396" s="62" t="s">
        <v>778</v>
      </c>
      <c r="F2396" s="61" t="s">
        <v>159</v>
      </c>
      <c r="G2396" s="36">
        <f t="shared" si="537"/>
        <v>6327</v>
      </c>
      <c r="H2396" s="36">
        <v>1861</v>
      </c>
      <c r="I2396" s="36">
        <v>3240</v>
      </c>
      <c r="J2396" s="36">
        <v>900</v>
      </c>
      <c r="K2396" s="36">
        <f t="shared" si="533"/>
        <v>12328</v>
      </c>
      <c r="L2396" s="36">
        <v>7500</v>
      </c>
      <c r="M2396" s="9">
        <f t="shared" si="534"/>
        <v>0.60837118754055808</v>
      </c>
      <c r="N2396" s="5">
        <v>1</v>
      </c>
      <c r="O2396" s="10">
        <f t="shared" si="535"/>
        <v>0.60837118754055808</v>
      </c>
    </row>
    <row r="2397" spans="2:15" ht="13.5" hidden="1" customHeight="1">
      <c r="B2397" s="33">
        <f t="shared" si="529"/>
        <v>30</v>
      </c>
      <c r="C2397" s="63" t="s">
        <v>919</v>
      </c>
      <c r="D2397" s="63" t="s">
        <v>810</v>
      </c>
      <c r="F2397" s="64" t="s">
        <v>159</v>
      </c>
      <c r="G2397" s="36">
        <f t="shared" si="537"/>
        <v>6327</v>
      </c>
      <c r="H2397" s="36">
        <v>1861</v>
      </c>
      <c r="I2397" s="36">
        <v>3240</v>
      </c>
      <c r="J2397" s="36">
        <v>900</v>
      </c>
      <c r="K2397" s="36">
        <f t="shared" si="533"/>
        <v>12328</v>
      </c>
      <c r="L2397" s="36">
        <v>7500</v>
      </c>
      <c r="M2397" s="9">
        <f t="shared" si="534"/>
        <v>0.60837118754055808</v>
      </c>
      <c r="N2397" s="5">
        <v>1</v>
      </c>
      <c r="O2397" s="10">
        <f t="shared" si="535"/>
        <v>0.60837118754055808</v>
      </c>
    </row>
    <row r="2398" spans="2:15" ht="13.5" hidden="1" customHeight="1">
      <c r="B2398" s="33">
        <f t="shared" si="529"/>
        <v>31</v>
      </c>
      <c r="C2398" s="63" t="s">
        <v>249</v>
      </c>
      <c r="D2398" s="63" t="s">
        <v>857</v>
      </c>
      <c r="F2398" s="64" t="s">
        <v>159</v>
      </c>
      <c r="G2398" s="36">
        <f t="shared" si="537"/>
        <v>6327</v>
      </c>
      <c r="H2398" s="36">
        <v>1861</v>
      </c>
      <c r="I2398" s="36">
        <v>3240</v>
      </c>
      <c r="J2398" s="36">
        <v>900</v>
      </c>
      <c r="K2398" s="36">
        <f t="shared" si="533"/>
        <v>12328</v>
      </c>
      <c r="L2398" s="36">
        <v>7500</v>
      </c>
      <c r="M2398" s="9">
        <f t="shared" si="534"/>
        <v>0.60837118754055808</v>
      </c>
      <c r="N2398" s="5">
        <v>1</v>
      </c>
      <c r="O2398" s="10">
        <f t="shared" si="535"/>
        <v>0.60837118754055808</v>
      </c>
    </row>
    <row r="2399" spans="2:15" ht="13.5" hidden="1" customHeight="1">
      <c r="B2399" s="33">
        <f t="shared" si="529"/>
        <v>32</v>
      </c>
      <c r="C2399" s="63" t="s">
        <v>175</v>
      </c>
      <c r="D2399" s="63" t="s">
        <v>85</v>
      </c>
      <c r="F2399" s="64" t="s">
        <v>159</v>
      </c>
      <c r="G2399" s="36">
        <f t="shared" si="537"/>
        <v>6327</v>
      </c>
      <c r="H2399" s="36">
        <v>1861</v>
      </c>
      <c r="I2399" s="36">
        <v>3240</v>
      </c>
      <c r="J2399" s="36">
        <v>900</v>
      </c>
      <c r="K2399" s="36">
        <f t="shared" si="533"/>
        <v>12328</v>
      </c>
      <c r="L2399" s="36">
        <v>7500</v>
      </c>
      <c r="M2399" s="9">
        <f t="shared" si="534"/>
        <v>0.60837118754055808</v>
      </c>
      <c r="N2399" s="5">
        <v>1</v>
      </c>
      <c r="O2399" s="10">
        <f t="shared" si="535"/>
        <v>0.60837118754055808</v>
      </c>
    </row>
    <row r="2400" spans="2:15" ht="13.5" hidden="1" customHeight="1">
      <c r="B2400" s="33">
        <f t="shared" si="529"/>
        <v>33</v>
      </c>
      <c r="C2400" s="62" t="s">
        <v>920</v>
      </c>
      <c r="D2400" s="62" t="s">
        <v>725</v>
      </c>
      <c r="F2400" s="61" t="s">
        <v>37</v>
      </c>
      <c r="G2400" s="36">
        <f>333*18.5</f>
        <v>6160.5</v>
      </c>
      <c r="H2400" s="36">
        <v>1861</v>
      </c>
      <c r="I2400" s="36">
        <v>3240</v>
      </c>
      <c r="J2400" s="36">
        <v>500</v>
      </c>
      <c r="K2400" s="36">
        <f t="shared" si="533"/>
        <v>11761.5</v>
      </c>
      <c r="L2400" s="36">
        <v>7500</v>
      </c>
      <c r="M2400" s="9">
        <f t="shared" si="534"/>
        <v>0.63767376610126258</v>
      </c>
      <c r="N2400" s="5">
        <v>1</v>
      </c>
      <c r="O2400" s="10">
        <f t="shared" si="535"/>
        <v>0.63767376610126258</v>
      </c>
    </row>
    <row r="2401" spans="2:15" ht="13.5" hidden="1" customHeight="1">
      <c r="B2401" s="33">
        <f t="shared" si="529"/>
        <v>34</v>
      </c>
      <c r="C2401" s="62" t="s">
        <v>161</v>
      </c>
      <c r="D2401" s="62" t="s">
        <v>102</v>
      </c>
      <c r="F2401" s="61" t="s">
        <v>37</v>
      </c>
      <c r="G2401" s="36">
        <f>333*20</f>
        <v>6660</v>
      </c>
      <c r="H2401" s="36">
        <v>1861</v>
      </c>
      <c r="I2401" s="36">
        <v>3240</v>
      </c>
      <c r="J2401" s="36">
        <v>500</v>
      </c>
      <c r="K2401" s="36">
        <f t="shared" si="533"/>
        <v>12261</v>
      </c>
      <c r="L2401" s="36">
        <v>7500</v>
      </c>
      <c r="M2401" s="9">
        <f t="shared" si="534"/>
        <v>0.61169562025935897</v>
      </c>
      <c r="N2401" s="5">
        <v>1</v>
      </c>
      <c r="O2401" s="10">
        <f t="shared" si="535"/>
        <v>0.61169562025935897</v>
      </c>
    </row>
    <row r="2402" spans="2:15" ht="13.5" hidden="1" customHeight="1">
      <c r="B2402" s="33">
        <f t="shared" si="529"/>
        <v>35</v>
      </c>
      <c r="C2402" s="62" t="s">
        <v>54</v>
      </c>
      <c r="D2402" s="62" t="s">
        <v>63</v>
      </c>
      <c r="F2402" s="61" t="s">
        <v>37</v>
      </c>
      <c r="G2402" s="36">
        <f>333*17</f>
        <v>5661</v>
      </c>
      <c r="H2402" s="36">
        <v>1861</v>
      </c>
      <c r="I2402" s="36">
        <v>3240</v>
      </c>
      <c r="J2402" s="36">
        <v>500</v>
      </c>
      <c r="K2402" s="36">
        <f t="shared" si="533"/>
        <v>11262</v>
      </c>
      <c r="L2402" s="36">
        <v>7500</v>
      </c>
      <c r="M2402" s="9">
        <f t="shared" si="534"/>
        <v>0.66595631326584981</v>
      </c>
      <c r="N2402" s="5">
        <v>1</v>
      </c>
      <c r="O2402" s="10">
        <f t="shared" si="535"/>
        <v>0.66595631326584981</v>
      </c>
    </row>
    <row r="2403" spans="2:15" ht="13.5" hidden="1" customHeight="1">
      <c r="B2403" s="33">
        <f t="shared" si="529"/>
        <v>36</v>
      </c>
      <c r="C2403" s="63" t="s">
        <v>921</v>
      </c>
      <c r="D2403" s="63" t="s">
        <v>849</v>
      </c>
      <c r="F2403" s="64" t="s">
        <v>37</v>
      </c>
      <c r="G2403" s="36">
        <f>333*20</f>
        <v>6660</v>
      </c>
      <c r="H2403" s="36">
        <v>1861</v>
      </c>
      <c r="I2403" s="36">
        <v>3240</v>
      </c>
      <c r="J2403" s="36">
        <v>500</v>
      </c>
      <c r="K2403" s="36">
        <f t="shared" si="533"/>
        <v>12261</v>
      </c>
      <c r="L2403" s="36">
        <v>7500</v>
      </c>
      <c r="M2403" s="9">
        <f t="shared" si="534"/>
        <v>0.61169562025935897</v>
      </c>
      <c r="N2403" s="5">
        <v>1</v>
      </c>
      <c r="O2403" s="10">
        <f t="shared" si="535"/>
        <v>0.61169562025935897</v>
      </c>
    </row>
    <row r="2404" spans="2:15" ht="13.5" hidden="1" customHeight="1">
      <c r="B2404" s="33">
        <f t="shared" si="529"/>
        <v>37</v>
      </c>
      <c r="C2404" s="63" t="s">
        <v>168</v>
      </c>
      <c r="D2404" s="63" t="s">
        <v>824</v>
      </c>
      <c r="F2404" s="64" t="s">
        <v>216</v>
      </c>
      <c r="G2404" s="36">
        <f>300*18</f>
        <v>5400</v>
      </c>
      <c r="H2404" s="36">
        <v>1861</v>
      </c>
      <c r="I2404" s="36">
        <v>3240</v>
      </c>
      <c r="J2404" s="36">
        <v>500</v>
      </c>
      <c r="K2404" s="36">
        <f t="shared" si="533"/>
        <v>11001</v>
      </c>
      <c r="L2404" s="36">
        <v>7500</v>
      </c>
      <c r="M2404" s="9">
        <f t="shared" si="534"/>
        <v>0.6817562039814562</v>
      </c>
      <c r="N2404" s="5">
        <v>1</v>
      </c>
      <c r="O2404" s="10">
        <f t="shared" si="535"/>
        <v>0.6817562039814562</v>
      </c>
    </row>
    <row r="2405" spans="2:15" ht="13.5" hidden="1" customHeight="1">
      <c r="B2405" s="33">
        <f t="shared" si="529"/>
        <v>38</v>
      </c>
      <c r="C2405" s="63" t="s">
        <v>116</v>
      </c>
      <c r="D2405" s="63" t="s">
        <v>864</v>
      </c>
      <c r="F2405" s="64" t="s">
        <v>216</v>
      </c>
      <c r="G2405" s="36">
        <f>300*18</f>
        <v>5400</v>
      </c>
      <c r="H2405" s="36">
        <v>1861</v>
      </c>
      <c r="I2405" s="36">
        <v>3240</v>
      </c>
      <c r="J2405" s="36">
        <v>500</v>
      </c>
      <c r="K2405" s="36">
        <f t="shared" si="533"/>
        <v>11001</v>
      </c>
      <c r="L2405" s="36">
        <v>7500</v>
      </c>
      <c r="M2405" s="9">
        <f t="shared" si="534"/>
        <v>0.6817562039814562</v>
      </c>
      <c r="N2405" s="5">
        <v>1</v>
      </c>
      <c r="O2405" s="10">
        <f t="shared" si="535"/>
        <v>0.6817562039814562</v>
      </c>
    </row>
    <row r="2406" spans="2:15" ht="13.5" hidden="1" customHeight="1">
      <c r="B2406" s="33">
        <f t="shared" si="529"/>
        <v>39</v>
      </c>
      <c r="C2406" s="62" t="s">
        <v>922</v>
      </c>
      <c r="D2406" s="62" t="s">
        <v>726</v>
      </c>
      <c r="F2406" s="61" t="s">
        <v>33</v>
      </c>
      <c r="G2406" s="36">
        <f>333*17.5</f>
        <v>5827.5</v>
      </c>
      <c r="H2406" s="36">
        <v>1861</v>
      </c>
      <c r="I2406" s="36">
        <v>3790</v>
      </c>
      <c r="J2406" s="36">
        <v>750</v>
      </c>
      <c r="K2406" s="36">
        <f t="shared" si="533"/>
        <v>12228.5</v>
      </c>
      <c r="L2406" s="36">
        <v>7500</v>
      </c>
      <c r="M2406" s="9">
        <f t="shared" si="534"/>
        <v>0.61332133949380541</v>
      </c>
      <c r="N2406" s="5">
        <v>1</v>
      </c>
      <c r="O2406" s="10">
        <f t="shared" si="535"/>
        <v>0.61332133949380541</v>
      </c>
    </row>
    <row r="2407" spans="2:15" ht="13.5" hidden="1" customHeight="1">
      <c r="B2407" s="33">
        <f t="shared" si="529"/>
        <v>40</v>
      </c>
      <c r="C2407" s="62" t="s">
        <v>479</v>
      </c>
      <c r="D2407" s="62" t="s">
        <v>731</v>
      </c>
      <c r="F2407" s="61" t="s">
        <v>33</v>
      </c>
      <c r="G2407" s="36">
        <f>333*19</f>
        <v>6327</v>
      </c>
      <c r="H2407" s="36">
        <v>1861</v>
      </c>
      <c r="I2407" s="36">
        <v>3790</v>
      </c>
      <c r="J2407" s="36">
        <v>750</v>
      </c>
      <c r="K2407" s="36">
        <f t="shared" si="533"/>
        <v>12728</v>
      </c>
      <c r="L2407" s="36">
        <v>7500</v>
      </c>
      <c r="M2407" s="9">
        <f t="shared" si="534"/>
        <v>0.58925204274041487</v>
      </c>
      <c r="N2407" s="5">
        <v>1</v>
      </c>
      <c r="O2407" s="10">
        <f t="shared" si="535"/>
        <v>0.58925204274041487</v>
      </c>
    </row>
    <row r="2408" spans="2:15" ht="13.5" hidden="1" customHeight="1">
      <c r="B2408" s="33">
        <f t="shared" si="529"/>
        <v>41</v>
      </c>
      <c r="C2408" s="62" t="s">
        <v>923</v>
      </c>
      <c r="D2408" s="62" t="s">
        <v>741</v>
      </c>
      <c r="F2408" s="61" t="s">
        <v>33</v>
      </c>
      <c r="G2408" s="36">
        <f>333*18.5</f>
        <v>6160.5</v>
      </c>
      <c r="H2408" s="36">
        <v>1861</v>
      </c>
      <c r="I2408" s="36">
        <v>3790</v>
      </c>
      <c r="J2408" s="36">
        <v>750</v>
      </c>
      <c r="K2408" s="36">
        <f t="shared" si="533"/>
        <v>12561.5</v>
      </c>
      <c r="L2408" s="36">
        <v>7500</v>
      </c>
      <c r="M2408" s="9">
        <f t="shared" si="534"/>
        <v>0.59706245273255587</v>
      </c>
      <c r="N2408" s="5">
        <v>1</v>
      </c>
      <c r="O2408" s="10">
        <f t="shared" si="535"/>
        <v>0.59706245273255587</v>
      </c>
    </row>
    <row r="2409" spans="2:15" ht="13.5" hidden="1" customHeight="1">
      <c r="B2409" s="33">
        <f t="shared" si="529"/>
        <v>42</v>
      </c>
      <c r="C2409" s="62" t="s">
        <v>924</v>
      </c>
      <c r="D2409" s="62" t="s">
        <v>753</v>
      </c>
      <c r="F2409" s="61" t="s">
        <v>33</v>
      </c>
      <c r="G2409" s="36">
        <f>333*18.5</f>
        <v>6160.5</v>
      </c>
      <c r="H2409" s="36">
        <v>1861</v>
      </c>
      <c r="I2409" s="36">
        <v>3790</v>
      </c>
      <c r="J2409" s="36">
        <v>750</v>
      </c>
      <c r="K2409" s="36">
        <f t="shared" si="533"/>
        <v>12561.5</v>
      </c>
      <c r="L2409" s="36">
        <v>7500</v>
      </c>
      <c r="M2409" s="9">
        <f t="shared" si="534"/>
        <v>0.59706245273255587</v>
      </c>
      <c r="N2409" s="5">
        <v>1</v>
      </c>
      <c r="O2409" s="10">
        <f t="shared" si="535"/>
        <v>0.59706245273255587</v>
      </c>
    </row>
    <row r="2410" spans="2:15" ht="13.5" hidden="1" customHeight="1">
      <c r="B2410" s="33">
        <f t="shared" si="529"/>
        <v>43</v>
      </c>
      <c r="C2410" s="62" t="s">
        <v>925</v>
      </c>
      <c r="D2410" s="62" t="s">
        <v>755</v>
      </c>
      <c r="F2410" s="61" t="s">
        <v>33</v>
      </c>
      <c r="G2410" s="36">
        <f>333*17.5</f>
        <v>5827.5</v>
      </c>
      <c r="H2410" s="36">
        <v>1861</v>
      </c>
      <c r="I2410" s="36">
        <v>3790</v>
      </c>
      <c r="J2410" s="36">
        <v>750</v>
      </c>
      <c r="K2410" s="36">
        <f t="shared" si="533"/>
        <v>12228.5</v>
      </c>
      <c r="L2410" s="36">
        <v>7500</v>
      </c>
      <c r="M2410" s="9">
        <f t="shared" si="534"/>
        <v>0.61332133949380541</v>
      </c>
      <c r="N2410" s="5">
        <v>1</v>
      </c>
      <c r="O2410" s="10">
        <f t="shared" si="535"/>
        <v>0.61332133949380541</v>
      </c>
    </row>
    <row r="2411" spans="2:15" ht="13.5" hidden="1" customHeight="1">
      <c r="B2411" s="33">
        <f t="shared" si="529"/>
        <v>44</v>
      </c>
      <c r="C2411" s="62" t="s">
        <v>51</v>
      </c>
      <c r="D2411" s="62" t="s">
        <v>761</v>
      </c>
      <c r="F2411" s="61" t="s">
        <v>33</v>
      </c>
      <c r="G2411" s="36">
        <f>333*18</f>
        <v>5994</v>
      </c>
      <c r="H2411" s="36">
        <v>1861</v>
      </c>
      <c r="I2411" s="36">
        <v>3790</v>
      </c>
      <c r="J2411" s="36">
        <v>750</v>
      </c>
      <c r="K2411" s="36">
        <f t="shared" si="533"/>
        <v>12395</v>
      </c>
      <c r="L2411" s="36">
        <v>7500</v>
      </c>
      <c r="M2411" s="9">
        <f t="shared" si="534"/>
        <v>0.60508269463493347</v>
      </c>
      <c r="N2411" s="5">
        <v>1</v>
      </c>
      <c r="O2411" s="10">
        <f t="shared" si="535"/>
        <v>0.60508269463493347</v>
      </c>
    </row>
    <row r="2412" spans="2:15" ht="13.5" hidden="1" customHeight="1">
      <c r="B2412" s="33">
        <f t="shared" si="529"/>
        <v>45</v>
      </c>
      <c r="C2412" s="62" t="s">
        <v>926</v>
      </c>
      <c r="D2412" s="62" t="s">
        <v>771</v>
      </c>
      <c r="F2412" s="61" t="s">
        <v>33</v>
      </c>
      <c r="G2412" s="36">
        <f>333*18.5</f>
        <v>6160.5</v>
      </c>
      <c r="H2412" s="36">
        <v>1861</v>
      </c>
      <c r="I2412" s="36">
        <v>3790</v>
      </c>
      <c r="J2412" s="36">
        <v>750</v>
      </c>
      <c r="K2412" s="36">
        <f t="shared" si="533"/>
        <v>12561.5</v>
      </c>
      <c r="L2412" s="36">
        <v>7500</v>
      </c>
      <c r="M2412" s="9">
        <f t="shared" si="534"/>
        <v>0.59706245273255587</v>
      </c>
      <c r="N2412" s="5">
        <v>1</v>
      </c>
      <c r="O2412" s="10">
        <f t="shared" si="535"/>
        <v>0.59706245273255587</v>
      </c>
    </row>
    <row r="2413" spans="2:15" ht="13.5" hidden="1" customHeight="1">
      <c r="B2413" s="33">
        <f t="shared" si="529"/>
        <v>46</v>
      </c>
      <c r="C2413" s="62" t="s">
        <v>927</v>
      </c>
      <c r="D2413" s="62" t="s">
        <v>780</v>
      </c>
      <c r="F2413" s="61" t="s">
        <v>33</v>
      </c>
      <c r="G2413" s="36">
        <f>333*19</f>
        <v>6327</v>
      </c>
      <c r="H2413" s="36">
        <v>1861</v>
      </c>
      <c r="I2413" s="36">
        <v>3790</v>
      </c>
      <c r="J2413" s="36">
        <v>750</v>
      </c>
      <c r="K2413" s="36">
        <f t="shared" si="533"/>
        <v>12728</v>
      </c>
      <c r="L2413" s="36">
        <v>7500</v>
      </c>
      <c r="M2413" s="9">
        <f t="shared" si="534"/>
        <v>0.58925204274041487</v>
      </c>
      <c r="N2413" s="5">
        <v>1</v>
      </c>
      <c r="O2413" s="10">
        <f t="shared" si="535"/>
        <v>0.58925204274041487</v>
      </c>
    </row>
    <row r="2414" spans="2:15" ht="13.5" hidden="1" customHeight="1">
      <c r="B2414" s="33">
        <f t="shared" si="529"/>
        <v>47</v>
      </c>
      <c r="C2414" s="63" t="s">
        <v>347</v>
      </c>
      <c r="D2414" s="63" t="s">
        <v>791</v>
      </c>
      <c r="F2414" s="64" t="s">
        <v>33</v>
      </c>
      <c r="G2414" s="36">
        <f>333*18.5</f>
        <v>6160.5</v>
      </c>
      <c r="H2414" s="36">
        <v>1861</v>
      </c>
      <c r="I2414" s="36">
        <v>3790</v>
      </c>
      <c r="J2414" s="36">
        <v>750</v>
      </c>
      <c r="K2414" s="36">
        <f t="shared" si="533"/>
        <v>12561.5</v>
      </c>
      <c r="L2414" s="36">
        <v>7500</v>
      </c>
      <c r="M2414" s="9">
        <f t="shared" si="534"/>
        <v>0.59706245273255587</v>
      </c>
      <c r="N2414" s="5">
        <v>1</v>
      </c>
      <c r="O2414" s="10">
        <f t="shared" si="535"/>
        <v>0.59706245273255587</v>
      </c>
    </row>
    <row r="2415" spans="2:15" ht="13.5" hidden="1" customHeight="1">
      <c r="B2415" s="33">
        <f t="shared" si="529"/>
        <v>48</v>
      </c>
      <c r="C2415" s="63" t="s">
        <v>347</v>
      </c>
      <c r="D2415" s="63" t="s">
        <v>792</v>
      </c>
      <c r="F2415" s="64" t="s">
        <v>33</v>
      </c>
      <c r="G2415" s="36">
        <f t="shared" ref="G2415:G2417" si="538">333*18.5</f>
        <v>6160.5</v>
      </c>
      <c r="H2415" s="36">
        <v>1861</v>
      </c>
      <c r="I2415" s="36">
        <v>3790</v>
      </c>
      <c r="J2415" s="36">
        <v>750</v>
      </c>
      <c r="K2415" s="36">
        <f t="shared" si="533"/>
        <v>12561.5</v>
      </c>
      <c r="L2415" s="36">
        <v>7500</v>
      </c>
      <c r="M2415" s="9">
        <f t="shared" si="534"/>
        <v>0.59706245273255587</v>
      </c>
      <c r="N2415" s="5">
        <v>1</v>
      </c>
      <c r="O2415" s="10">
        <f t="shared" si="535"/>
        <v>0.59706245273255587</v>
      </c>
    </row>
    <row r="2416" spans="2:15" ht="13.5" hidden="1" customHeight="1">
      <c r="B2416" s="33">
        <f t="shared" si="529"/>
        <v>49</v>
      </c>
      <c r="C2416" s="63" t="s">
        <v>928</v>
      </c>
      <c r="D2416" s="63" t="s">
        <v>796</v>
      </c>
      <c r="F2416" s="64" t="s">
        <v>33</v>
      </c>
      <c r="G2416" s="36">
        <f t="shared" si="538"/>
        <v>6160.5</v>
      </c>
      <c r="H2416" s="36">
        <v>1861</v>
      </c>
      <c r="I2416" s="36">
        <v>3790</v>
      </c>
      <c r="J2416" s="36">
        <v>750</v>
      </c>
      <c r="K2416" s="36">
        <f t="shared" si="533"/>
        <v>12561.5</v>
      </c>
      <c r="L2416" s="36">
        <v>7500</v>
      </c>
      <c r="M2416" s="9">
        <f t="shared" si="534"/>
        <v>0.59706245273255587</v>
      </c>
      <c r="N2416" s="5">
        <v>1</v>
      </c>
      <c r="O2416" s="10">
        <f t="shared" si="535"/>
        <v>0.59706245273255587</v>
      </c>
    </row>
    <row r="2417" spans="2:15" ht="13.5" hidden="1" customHeight="1">
      <c r="B2417" s="33">
        <f t="shared" si="529"/>
        <v>50</v>
      </c>
      <c r="C2417" s="63" t="s">
        <v>82</v>
      </c>
      <c r="D2417" s="63" t="s">
        <v>800</v>
      </c>
      <c r="F2417" s="64" t="s">
        <v>33</v>
      </c>
      <c r="G2417" s="36">
        <f t="shared" si="538"/>
        <v>6160.5</v>
      </c>
      <c r="H2417" s="36">
        <v>1861</v>
      </c>
      <c r="I2417" s="36">
        <v>3790</v>
      </c>
      <c r="J2417" s="36">
        <v>750</v>
      </c>
      <c r="K2417" s="36">
        <f t="shared" si="533"/>
        <v>12561.5</v>
      </c>
      <c r="L2417" s="36">
        <v>7500</v>
      </c>
      <c r="M2417" s="9">
        <f t="shared" si="534"/>
        <v>0.59706245273255587</v>
      </c>
      <c r="N2417" s="5">
        <v>1</v>
      </c>
      <c r="O2417" s="10">
        <f t="shared" si="535"/>
        <v>0.59706245273255587</v>
      </c>
    </row>
    <row r="2418" spans="2:15" ht="13.5" hidden="1" customHeight="1">
      <c r="B2418" s="33">
        <f t="shared" si="529"/>
        <v>51</v>
      </c>
      <c r="C2418" s="63" t="s">
        <v>112</v>
      </c>
      <c r="D2418" s="63" t="s">
        <v>858</v>
      </c>
      <c r="F2418" s="64" t="s">
        <v>33</v>
      </c>
      <c r="G2418" s="36">
        <f>333*18</f>
        <v>5994</v>
      </c>
      <c r="H2418" s="36">
        <v>1861</v>
      </c>
      <c r="I2418" s="36">
        <v>3790</v>
      </c>
      <c r="J2418" s="36">
        <v>750</v>
      </c>
      <c r="K2418" s="36">
        <f t="shared" si="533"/>
        <v>12395</v>
      </c>
      <c r="L2418" s="36">
        <v>7500</v>
      </c>
      <c r="M2418" s="9">
        <f t="shared" si="534"/>
        <v>0.60508269463493347</v>
      </c>
      <c r="N2418" s="5">
        <v>1</v>
      </c>
      <c r="O2418" s="10">
        <f t="shared" si="535"/>
        <v>0.60508269463493347</v>
      </c>
    </row>
    <row r="2419" spans="2:15" ht="13.5" hidden="1" customHeight="1">
      <c r="B2419" s="33">
        <f t="shared" si="529"/>
        <v>52</v>
      </c>
      <c r="C2419" s="63" t="s">
        <v>929</v>
      </c>
      <c r="D2419" s="63" t="s">
        <v>896</v>
      </c>
      <c r="F2419" s="64" t="s">
        <v>33</v>
      </c>
      <c r="G2419" s="36">
        <f>333*18.5</f>
        <v>6160.5</v>
      </c>
      <c r="H2419" s="36">
        <v>1861</v>
      </c>
      <c r="I2419" s="36">
        <v>3790</v>
      </c>
      <c r="J2419" s="36">
        <v>750</v>
      </c>
      <c r="K2419" s="36">
        <f t="shared" si="533"/>
        <v>12561.5</v>
      </c>
      <c r="L2419" s="36">
        <v>7500</v>
      </c>
      <c r="M2419" s="9">
        <f t="shared" si="534"/>
        <v>0.59706245273255587</v>
      </c>
      <c r="N2419" s="5">
        <v>1</v>
      </c>
      <c r="O2419" s="10">
        <f t="shared" si="535"/>
        <v>0.59706245273255587</v>
      </c>
    </row>
    <row r="2420" spans="2:15" ht="13.5" hidden="1" customHeight="1">
      <c r="B2420" s="33">
        <f t="shared" si="529"/>
        <v>53</v>
      </c>
      <c r="C2420" s="62" t="s">
        <v>930</v>
      </c>
      <c r="D2420" s="62" t="s">
        <v>723</v>
      </c>
      <c r="F2420" s="61" t="s">
        <v>44</v>
      </c>
      <c r="G2420" s="36">
        <f>333*24</f>
        <v>7992</v>
      </c>
      <c r="H2420" s="36">
        <v>1861</v>
      </c>
      <c r="I2420" s="36">
        <v>3240</v>
      </c>
      <c r="J2420" s="36">
        <v>750</v>
      </c>
      <c r="K2420" s="36">
        <f t="shared" si="533"/>
        <v>13843</v>
      </c>
      <c r="L2420" s="36">
        <v>7500</v>
      </c>
      <c r="M2420" s="9">
        <f t="shared" si="534"/>
        <v>0.54179007440583693</v>
      </c>
      <c r="N2420" s="5">
        <v>1</v>
      </c>
      <c r="O2420" s="10">
        <f t="shared" si="535"/>
        <v>0.54179007440583693</v>
      </c>
    </row>
    <row r="2421" spans="2:15" ht="13.5" hidden="1" customHeight="1">
      <c r="B2421" s="33">
        <f t="shared" si="529"/>
        <v>54</v>
      </c>
      <c r="C2421" s="62" t="s">
        <v>931</v>
      </c>
      <c r="D2421" s="62" t="s">
        <v>727</v>
      </c>
      <c r="F2421" s="61" t="s">
        <v>44</v>
      </c>
      <c r="G2421" s="36">
        <f>333*21</f>
        <v>6993</v>
      </c>
      <c r="H2421" s="36">
        <v>1861</v>
      </c>
      <c r="I2421" s="36">
        <v>3240</v>
      </c>
      <c r="J2421" s="36">
        <v>750</v>
      </c>
      <c r="K2421" s="36">
        <f t="shared" si="530"/>
        <v>12844</v>
      </c>
      <c r="L2421" s="36">
        <v>7500</v>
      </c>
      <c r="M2421" s="9">
        <f t="shared" si="531"/>
        <v>0.58393023980068515</v>
      </c>
      <c r="N2421" s="5">
        <v>1</v>
      </c>
      <c r="O2421" s="10">
        <f t="shared" si="532"/>
        <v>0.58393023980068515</v>
      </c>
    </row>
    <row r="2422" spans="2:15" ht="13.5" hidden="1" customHeight="1">
      <c r="B2422" s="33">
        <f t="shared" si="529"/>
        <v>55</v>
      </c>
      <c r="C2422" s="62" t="s">
        <v>932</v>
      </c>
      <c r="D2422" s="62" t="s">
        <v>730</v>
      </c>
      <c r="F2422" s="61" t="s">
        <v>44</v>
      </c>
      <c r="G2422" s="36">
        <f t="shared" ref="G2422:G2423" si="539">333*24</f>
        <v>7992</v>
      </c>
      <c r="H2422" s="36">
        <v>1861</v>
      </c>
      <c r="I2422" s="36">
        <v>3240</v>
      </c>
      <c r="J2422" s="36">
        <v>750</v>
      </c>
      <c r="K2422" s="36">
        <f t="shared" si="530"/>
        <v>13843</v>
      </c>
      <c r="L2422" s="36">
        <v>7500</v>
      </c>
      <c r="M2422" s="9">
        <f t="shared" si="531"/>
        <v>0.54179007440583693</v>
      </c>
      <c r="N2422" s="5">
        <v>1</v>
      </c>
      <c r="O2422" s="10">
        <f t="shared" si="532"/>
        <v>0.54179007440583693</v>
      </c>
    </row>
    <row r="2423" spans="2:15" ht="13.5" hidden="1" customHeight="1">
      <c r="B2423" s="33">
        <f t="shared" si="529"/>
        <v>56</v>
      </c>
      <c r="C2423" s="62" t="s">
        <v>933</v>
      </c>
      <c r="D2423" s="62" t="s">
        <v>733</v>
      </c>
      <c r="F2423" s="61" t="s">
        <v>44</v>
      </c>
      <c r="G2423" s="36">
        <f t="shared" si="539"/>
        <v>7992</v>
      </c>
      <c r="H2423" s="36">
        <v>1861</v>
      </c>
      <c r="I2423" s="36">
        <v>3240</v>
      </c>
      <c r="J2423" s="36">
        <v>750</v>
      </c>
      <c r="K2423" s="36">
        <f t="shared" si="530"/>
        <v>13843</v>
      </c>
      <c r="L2423" s="36">
        <v>7500</v>
      </c>
      <c r="M2423" s="9">
        <f t="shared" si="531"/>
        <v>0.54179007440583693</v>
      </c>
      <c r="N2423" s="5">
        <v>1</v>
      </c>
      <c r="O2423" s="10">
        <f t="shared" si="532"/>
        <v>0.54179007440583693</v>
      </c>
    </row>
    <row r="2424" spans="2:15" ht="13.5" hidden="1" customHeight="1">
      <c r="B2424" s="33">
        <f t="shared" si="529"/>
        <v>57</v>
      </c>
      <c r="C2424" s="62" t="s">
        <v>340</v>
      </c>
      <c r="D2424" s="62" t="s">
        <v>740</v>
      </c>
      <c r="F2424" s="61" t="s">
        <v>44</v>
      </c>
      <c r="G2424" s="36">
        <f>333*24</f>
        <v>7992</v>
      </c>
      <c r="H2424" s="36">
        <v>1861</v>
      </c>
      <c r="I2424" s="36">
        <v>3240</v>
      </c>
      <c r="J2424" s="36">
        <v>750</v>
      </c>
      <c r="K2424" s="36">
        <f t="shared" si="530"/>
        <v>13843</v>
      </c>
      <c r="L2424" s="36">
        <v>7500</v>
      </c>
      <c r="M2424" s="9">
        <f t="shared" si="531"/>
        <v>0.54179007440583693</v>
      </c>
      <c r="N2424" s="5">
        <v>1</v>
      </c>
      <c r="O2424" s="10">
        <f t="shared" si="532"/>
        <v>0.54179007440583693</v>
      </c>
    </row>
    <row r="2425" spans="2:15" ht="13.5" hidden="1" customHeight="1">
      <c r="B2425" s="33">
        <f t="shared" si="529"/>
        <v>58</v>
      </c>
      <c r="C2425" s="62" t="s">
        <v>934</v>
      </c>
      <c r="D2425" s="62" t="s">
        <v>750</v>
      </c>
      <c r="F2425" s="61" t="s">
        <v>44</v>
      </c>
      <c r="G2425" s="36">
        <f>333*19</f>
        <v>6327</v>
      </c>
      <c r="H2425" s="36">
        <v>1861</v>
      </c>
      <c r="I2425" s="36">
        <v>3240</v>
      </c>
      <c r="J2425" s="36">
        <v>750</v>
      </c>
      <c r="K2425" s="36">
        <f t="shared" si="530"/>
        <v>12178</v>
      </c>
      <c r="L2425" s="36">
        <v>7500</v>
      </c>
      <c r="M2425" s="9">
        <f t="shared" si="531"/>
        <v>0.61586467400229927</v>
      </c>
      <c r="N2425" s="5">
        <v>1</v>
      </c>
      <c r="O2425" s="10">
        <f t="shared" si="532"/>
        <v>0.61586467400229927</v>
      </c>
    </row>
    <row r="2426" spans="2:15" ht="13.5" hidden="1" customHeight="1">
      <c r="B2426" s="33">
        <f t="shared" si="529"/>
        <v>59</v>
      </c>
      <c r="C2426" s="62" t="s">
        <v>935</v>
      </c>
      <c r="D2426" s="62" t="s">
        <v>752</v>
      </c>
      <c r="F2426" s="61" t="s">
        <v>44</v>
      </c>
      <c r="G2426" s="36">
        <f>333*21</f>
        <v>6993</v>
      </c>
      <c r="H2426" s="36">
        <v>1861</v>
      </c>
      <c r="I2426" s="36">
        <v>3240</v>
      </c>
      <c r="J2426" s="36">
        <v>750</v>
      </c>
      <c r="K2426" s="36">
        <f t="shared" si="530"/>
        <v>12844</v>
      </c>
      <c r="L2426" s="36">
        <v>7500</v>
      </c>
      <c r="M2426" s="9">
        <f t="shared" si="531"/>
        <v>0.58393023980068515</v>
      </c>
      <c r="N2426" s="5">
        <v>1</v>
      </c>
      <c r="O2426" s="10">
        <f t="shared" si="532"/>
        <v>0.58393023980068515</v>
      </c>
    </row>
    <row r="2427" spans="2:15" ht="13.5" hidden="1" customHeight="1">
      <c r="B2427" s="33">
        <f t="shared" si="529"/>
        <v>60</v>
      </c>
      <c r="C2427" s="62" t="s">
        <v>52</v>
      </c>
      <c r="D2427" s="62" t="s">
        <v>763</v>
      </c>
      <c r="F2427" s="61" t="s">
        <v>44</v>
      </c>
      <c r="G2427" s="36">
        <f>333*24</f>
        <v>7992</v>
      </c>
      <c r="H2427" s="36">
        <v>1861</v>
      </c>
      <c r="I2427" s="36">
        <v>3240</v>
      </c>
      <c r="J2427" s="36">
        <v>750</v>
      </c>
      <c r="K2427" s="36">
        <f t="shared" si="525"/>
        <v>13843</v>
      </c>
      <c r="L2427" s="36">
        <v>7500</v>
      </c>
      <c r="M2427" s="9">
        <f t="shared" si="526"/>
        <v>0.54179007440583693</v>
      </c>
      <c r="N2427" s="5">
        <v>1</v>
      </c>
      <c r="O2427" s="10">
        <f t="shared" si="527"/>
        <v>0.54179007440583693</v>
      </c>
    </row>
    <row r="2428" spans="2:15" ht="13.5" hidden="1" customHeight="1">
      <c r="B2428" s="33">
        <f t="shared" si="529"/>
        <v>61</v>
      </c>
      <c r="C2428" s="62" t="s">
        <v>344</v>
      </c>
      <c r="D2428" s="62" t="s">
        <v>766</v>
      </c>
      <c r="F2428" s="61" t="s">
        <v>44</v>
      </c>
      <c r="G2428" s="36">
        <f>333*21</f>
        <v>6993</v>
      </c>
      <c r="H2428" s="36">
        <v>1861</v>
      </c>
      <c r="I2428" s="36">
        <v>3240</v>
      </c>
      <c r="J2428" s="36">
        <v>750</v>
      </c>
      <c r="K2428" s="36">
        <f t="shared" si="525"/>
        <v>12844</v>
      </c>
      <c r="L2428" s="36">
        <v>7500</v>
      </c>
      <c r="M2428" s="9">
        <f t="shared" si="526"/>
        <v>0.58393023980068515</v>
      </c>
      <c r="N2428" s="5">
        <v>1</v>
      </c>
      <c r="O2428" s="10">
        <f t="shared" si="527"/>
        <v>0.58393023980068515</v>
      </c>
    </row>
    <row r="2429" spans="2:15" ht="13.5" hidden="1" customHeight="1">
      <c r="B2429" s="33">
        <f t="shared" si="529"/>
        <v>62</v>
      </c>
      <c r="C2429" s="62" t="s">
        <v>232</v>
      </c>
      <c r="D2429" s="62" t="s">
        <v>772</v>
      </c>
      <c r="F2429" s="61" t="s">
        <v>44</v>
      </c>
      <c r="G2429" s="36">
        <f t="shared" ref="G2429:G2430" si="540">333*21</f>
        <v>6993</v>
      </c>
      <c r="H2429" s="36">
        <v>1861</v>
      </c>
      <c r="I2429" s="36">
        <v>3240</v>
      </c>
      <c r="J2429" s="36">
        <v>750</v>
      </c>
      <c r="K2429" s="36">
        <f t="shared" si="525"/>
        <v>12844</v>
      </c>
      <c r="L2429" s="36">
        <v>7500</v>
      </c>
      <c r="M2429" s="9">
        <f t="shared" si="526"/>
        <v>0.58393023980068515</v>
      </c>
      <c r="N2429" s="5">
        <v>1</v>
      </c>
      <c r="O2429" s="10">
        <f t="shared" si="527"/>
        <v>0.58393023980068515</v>
      </c>
    </row>
    <row r="2430" spans="2:15" ht="13.5" hidden="1" customHeight="1">
      <c r="B2430" s="33">
        <f t="shared" si="529"/>
        <v>63</v>
      </c>
      <c r="C2430" s="63" t="s">
        <v>109</v>
      </c>
      <c r="D2430" s="63" t="s">
        <v>793</v>
      </c>
      <c r="F2430" s="64" t="s">
        <v>44</v>
      </c>
      <c r="G2430" s="36">
        <f t="shared" si="540"/>
        <v>6993</v>
      </c>
      <c r="H2430" s="36">
        <v>1861</v>
      </c>
      <c r="I2430" s="36">
        <v>3240</v>
      </c>
      <c r="J2430" s="36">
        <v>750</v>
      </c>
      <c r="K2430" s="36">
        <f t="shared" si="525"/>
        <v>12844</v>
      </c>
      <c r="L2430" s="36">
        <v>7500</v>
      </c>
      <c r="M2430" s="9">
        <f t="shared" si="526"/>
        <v>0.58393023980068515</v>
      </c>
      <c r="N2430" s="5">
        <v>1</v>
      </c>
      <c r="O2430" s="10">
        <f t="shared" si="527"/>
        <v>0.58393023980068515</v>
      </c>
    </row>
    <row r="2431" spans="2:15" ht="13.5" hidden="1" customHeight="1">
      <c r="B2431" s="33">
        <f t="shared" si="529"/>
        <v>64</v>
      </c>
      <c r="C2431" s="63" t="s">
        <v>56</v>
      </c>
      <c r="D2431" s="63" t="s">
        <v>803</v>
      </c>
      <c r="F2431" s="64" t="s">
        <v>44</v>
      </c>
      <c r="G2431" s="36">
        <f>333*24</f>
        <v>7992</v>
      </c>
      <c r="H2431" s="36">
        <v>1861</v>
      </c>
      <c r="I2431" s="36">
        <v>3240</v>
      </c>
      <c r="J2431" s="36">
        <v>750</v>
      </c>
      <c r="K2431" s="36">
        <f t="shared" si="525"/>
        <v>13843</v>
      </c>
      <c r="L2431" s="36">
        <v>7500</v>
      </c>
      <c r="M2431" s="9">
        <f t="shared" si="526"/>
        <v>0.54179007440583693</v>
      </c>
      <c r="N2431" s="5">
        <v>1</v>
      </c>
      <c r="O2431" s="10">
        <f t="shared" si="527"/>
        <v>0.54179007440583693</v>
      </c>
    </row>
    <row r="2432" spans="2:15" ht="13.5" hidden="1" customHeight="1">
      <c r="B2432" s="33">
        <f t="shared" si="529"/>
        <v>65</v>
      </c>
      <c r="C2432" s="63" t="s">
        <v>57</v>
      </c>
      <c r="D2432" s="63" t="s">
        <v>804</v>
      </c>
      <c r="F2432" s="64" t="s">
        <v>44</v>
      </c>
      <c r="G2432" s="36">
        <f>333*24</f>
        <v>7992</v>
      </c>
      <c r="H2432" s="36">
        <v>1861</v>
      </c>
      <c r="I2432" s="36">
        <v>3240</v>
      </c>
      <c r="J2432" s="36">
        <v>750</v>
      </c>
      <c r="K2432" s="36">
        <f t="shared" si="525"/>
        <v>13843</v>
      </c>
      <c r="L2432" s="36">
        <v>7500</v>
      </c>
      <c r="M2432" s="9">
        <f t="shared" si="526"/>
        <v>0.54179007440583693</v>
      </c>
      <c r="N2432" s="5">
        <v>1</v>
      </c>
      <c r="O2432" s="10">
        <f t="shared" si="527"/>
        <v>0.54179007440583693</v>
      </c>
    </row>
    <row r="2433" spans="2:15" ht="13.5" hidden="1" customHeight="1">
      <c r="B2433" s="33">
        <f t="shared" si="529"/>
        <v>66</v>
      </c>
      <c r="C2433" s="63" t="s">
        <v>936</v>
      </c>
      <c r="D2433" s="63" t="s">
        <v>806</v>
      </c>
      <c r="F2433" s="64" t="s">
        <v>44</v>
      </c>
      <c r="G2433" s="36">
        <f>333*21</f>
        <v>6993</v>
      </c>
      <c r="H2433" s="36">
        <v>1861</v>
      </c>
      <c r="I2433" s="36">
        <v>3240</v>
      </c>
      <c r="J2433" s="36">
        <v>750</v>
      </c>
      <c r="K2433" s="36">
        <f t="shared" si="525"/>
        <v>12844</v>
      </c>
      <c r="L2433" s="36">
        <v>7500</v>
      </c>
      <c r="M2433" s="9">
        <f t="shared" si="526"/>
        <v>0.58393023980068515</v>
      </c>
      <c r="N2433" s="5">
        <v>1</v>
      </c>
      <c r="O2433" s="10">
        <f t="shared" si="527"/>
        <v>0.58393023980068515</v>
      </c>
    </row>
    <row r="2434" spans="2:15" ht="13.5" hidden="1" customHeight="1">
      <c r="B2434" s="33">
        <f t="shared" ref="B2434:B2497" si="541">+B2433+1</f>
        <v>67</v>
      </c>
      <c r="C2434" s="63" t="s">
        <v>937</v>
      </c>
      <c r="D2434" s="63" t="s">
        <v>807</v>
      </c>
      <c r="F2434" s="64" t="s">
        <v>44</v>
      </c>
      <c r="G2434" s="36">
        <f t="shared" ref="G2434:G2438" si="542">333*24</f>
        <v>7992</v>
      </c>
      <c r="H2434" s="36">
        <v>1861</v>
      </c>
      <c r="I2434" s="36">
        <v>3240</v>
      </c>
      <c r="J2434" s="36">
        <v>750</v>
      </c>
      <c r="K2434" s="36">
        <f t="shared" si="525"/>
        <v>13843</v>
      </c>
      <c r="L2434" s="36">
        <v>7500</v>
      </c>
      <c r="M2434" s="9">
        <f t="shared" si="526"/>
        <v>0.54179007440583693</v>
      </c>
      <c r="N2434" s="5">
        <v>1</v>
      </c>
      <c r="O2434" s="10">
        <f t="shared" si="527"/>
        <v>0.54179007440583693</v>
      </c>
    </row>
    <row r="2435" spans="2:15" ht="13.5" hidden="1" customHeight="1">
      <c r="B2435" s="33">
        <f t="shared" si="541"/>
        <v>68</v>
      </c>
      <c r="C2435" s="63" t="s">
        <v>938</v>
      </c>
      <c r="D2435" s="63" t="s">
        <v>813</v>
      </c>
      <c r="F2435" s="64" t="s">
        <v>44</v>
      </c>
      <c r="G2435" s="36">
        <f t="shared" si="542"/>
        <v>7992</v>
      </c>
      <c r="H2435" s="36">
        <v>1861</v>
      </c>
      <c r="I2435" s="36">
        <v>3240</v>
      </c>
      <c r="J2435" s="36">
        <v>750</v>
      </c>
      <c r="K2435" s="36">
        <f t="shared" si="525"/>
        <v>13843</v>
      </c>
      <c r="L2435" s="36">
        <v>7500</v>
      </c>
      <c r="M2435" s="9">
        <f t="shared" si="526"/>
        <v>0.54179007440583693</v>
      </c>
      <c r="N2435" s="5">
        <v>1</v>
      </c>
      <c r="O2435" s="10">
        <f t="shared" si="527"/>
        <v>0.54179007440583693</v>
      </c>
    </row>
    <row r="2436" spans="2:15" ht="13.5" hidden="1" customHeight="1">
      <c r="B2436" s="33">
        <f t="shared" si="541"/>
        <v>69</v>
      </c>
      <c r="C2436" s="63" t="s">
        <v>939</v>
      </c>
      <c r="D2436" s="63" t="s">
        <v>762</v>
      </c>
      <c r="F2436" s="64" t="s">
        <v>44</v>
      </c>
      <c r="G2436" s="36">
        <f t="shared" si="542"/>
        <v>7992</v>
      </c>
      <c r="H2436" s="36">
        <v>1861</v>
      </c>
      <c r="I2436" s="36">
        <v>3240</v>
      </c>
      <c r="J2436" s="36">
        <v>750</v>
      </c>
      <c r="K2436" s="36">
        <f t="shared" si="525"/>
        <v>13843</v>
      </c>
      <c r="L2436" s="36">
        <v>7500</v>
      </c>
      <c r="M2436" s="9">
        <f t="shared" si="526"/>
        <v>0.54179007440583693</v>
      </c>
      <c r="N2436" s="5">
        <v>1</v>
      </c>
      <c r="O2436" s="10">
        <f t="shared" si="527"/>
        <v>0.54179007440583693</v>
      </c>
    </row>
    <row r="2437" spans="2:15" ht="13.5" hidden="1" customHeight="1">
      <c r="B2437" s="33">
        <f t="shared" si="541"/>
        <v>70</v>
      </c>
      <c r="C2437" s="63" t="s">
        <v>167</v>
      </c>
      <c r="D2437" s="63" t="s">
        <v>821</v>
      </c>
      <c r="F2437" s="64" t="s">
        <v>44</v>
      </c>
      <c r="G2437" s="36">
        <f t="shared" si="542"/>
        <v>7992</v>
      </c>
      <c r="H2437" s="36">
        <v>1861</v>
      </c>
      <c r="I2437" s="36">
        <v>3240</v>
      </c>
      <c r="J2437" s="36">
        <v>750</v>
      </c>
      <c r="K2437" s="36">
        <f t="shared" si="525"/>
        <v>13843</v>
      </c>
      <c r="L2437" s="36">
        <v>7500</v>
      </c>
      <c r="M2437" s="9">
        <f t="shared" si="526"/>
        <v>0.54179007440583693</v>
      </c>
      <c r="N2437" s="5">
        <v>1</v>
      </c>
      <c r="O2437" s="10">
        <f t="shared" si="527"/>
        <v>0.54179007440583693</v>
      </c>
    </row>
    <row r="2438" spans="2:15" ht="13.5" hidden="1" customHeight="1">
      <c r="B2438" s="33">
        <f t="shared" si="541"/>
        <v>71</v>
      </c>
      <c r="C2438" s="63" t="s">
        <v>940</v>
      </c>
      <c r="D2438" s="63" t="s">
        <v>830</v>
      </c>
      <c r="F2438" s="64" t="s">
        <v>44</v>
      </c>
      <c r="G2438" s="36">
        <f t="shared" si="542"/>
        <v>7992</v>
      </c>
      <c r="H2438" s="36">
        <v>1861</v>
      </c>
      <c r="I2438" s="36">
        <v>3240</v>
      </c>
      <c r="J2438" s="36">
        <v>750</v>
      </c>
      <c r="K2438" s="36">
        <f t="shared" si="525"/>
        <v>13843</v>
      </c>
      <c r="L2438" s="36">
        <v>7500</v>
      </c>
      <c r="M2438" s="9">
        <f t="shared" si="526"/>
        <v>0.54179007440583693</v>
      </c>
      <c r="N2438" s="5">
        <v>1</v>
      </c>
      <c r="O2438" s="10">
        <f t="shared" si="527"/>
        <v>0.54179007440583693</v>
      </c>
    </row>
    <row r="2439" spans="2:15" ht="13.5" hidden="1" customHeight="1">
      <c r="B2439" s="33">
        <f t="shared" si="541"/>
        <v>72</v>
      </c>
      <c r="C2439" s="63" t="s">
        <v>941</v>
      </c>
      <c r="D2439" s="63" t="s">
        <v>838</v>
      </c>
      <c r="F2439" s="64" t="s">
        <v>44</v>
      </c>
      <c r="G2439" s="36">
        <f>333*18</f>
        <v>5994</v>
      </c>
      <c r="H2439" s="36">
        <v>1861</v>
      </c>
      <c r="I2439" s="36">
        <v>3240</v>
      </c>
      <c r="J2439" s="36">
        <v>750</v>
      </c>
      <c r="K2439" s="36">
        <f t="shared" si="525"/>
        <v>11845</v>
      </c>
      <c r="L2439" s="36">
        <v>7500</v>
      </c>
      <c r="M2439" s="9">
        <f t="shared" si="526"/>
        <v>0.63317855635289155</v>
      </c>
      <c r="N2439" s="5">
        <v>1</v>
      </c>
      <c r="O2439" s="10">
        <f t="shared" si="527"/>
        <v>0.63317855635289155</v>
      </c>
    </row>
    <row r="2440" spans="2:15" ht="13.5" hidden="1" customHeight="1">
      <c r="B2440" s="33">
        <f t="shared" si="541"/>
        <v>73</v>
      </c>
      <c r="C2440" s="63" t="s">
        <v>116</v>
      </c>
      <c r="D2440" s="63" t="s">
        <v>865</v>
      </c>
      <c r="F2440" s="64" t="s">
        <v>44</v>
      </c>
      <c r="G2440" s="36">
        <f>333*24</f>
        <v>7992</v>
      </c>
      <c r="H2440" s="36">
        <v>1861</v>
      </c>
      <c r="I2440" s="36">
        <v>3240</v>
      </c>
      <c r="J2440" s="36">
        <v>750</v>
      </c>
      <c r="K2440" s="36">
        <f t="shared" si="525"/>
        <v>13843</v>
      </c>
      <c r="L2440" s="36">
        <v>7500</v>
      </c>
      <c r="M2440" s="9">
        <f t="shared" si="526"/>
        <v>0.54179007440583693</v>
      </c>
      <c r="N2440" s="5">
        <v>1</v>
      </c>
      <c r="O2440" s="10">
        <f t="shared" si="527"/>
        <v>0.54179007440583693</v>
      </c>
    </row>
    <row r="2441" spans="2:15" ht="13.5" hidden="1" customHeight="1">
      <c r="B2441" s="33">
        <f t="shared" si="541"/>
        <v>74</v>
      </c>
      <c r="C2441" s="63" t="s">
        <v>942</v>
      </c>
      <c r="D2441" s="63" t="s">
        <v>876</v>
      </c>
      <c r="F2441" s="64" t="s">
        <v>44</v>
      </c>
      <c r="G2441" s="36">
        <f>333*23</f>
        <v>7659</v>
      </c>
      <c r="H2441" s="36">
        <v>1861</v>
      </c>
      <c r="I2441" s="36">
        <v>3240</v>
      </c>
      <c r="J2441" s="36">
        <v>750</v>
      </c>
      <c r="K2441" s="36">
        <f t="shared" si="525"/>
        <v>13510</v>
      </c>
      <c r="L2441" s="36">
        <v>7500</v>
      </c>
      <c r="M2441" s="9">
        <f t="shared" si="526"/>
        <v>0.55514433752775727</v>
      </c>
      <c r="N2441" s="5">
        <v>1</v>
      </c>
      <c r="O2441" s="10">
        <f t="shared" si="527"/>
        <v>0.55514433752775727</v>
      </c>
    </row>
    <row r="2442" spans="2:15" ht="13.5" hidden="1" customHeight="1">
      <c r="B2442" s="33">
        <f t="shared" si="541"/>
        <v>75</v>
      </c>
      <c r="C2442" s="63" t="s">
        <v>113</v>
      </c>
      <c r="D2442" s="63" t="s">
        <v>883</v>
      </c>
      <c r="F2442" s="64" t="s">
        <v>44</v>
      </c>
      <c r="G2442" s="36">
        <f>300*21</f>
        <v>6300</v>
      </c>
      <c r="H2442" s="36">
        <v>1861</v>
      </c>
      <c r="I2442" s="36">
        <v>3240</v>
      </c>
      <c r="J2442" s="36">
        <v>750</v>
      </c>
      <c r="K2442" s="36">
        <f t="shared" ref="K2442:K2458" si="543">SUM(G2442:J2442)</f>
        <v>12151</v>
      </c>
      <c r="L2442" s="36">
        <v>7500</v>
      </c>
      <c r="M2442" s="9">
        <f t="shared" ref="M2442:M2458" si="544">L2442/K2442</f>
        <v>0.61723314953501773</v>
      </c>
      <c r="N2442" s="5">
        <v>1</v>
      </c>
      <c r="O2442" s="10">
        <f t="shared" ref="O2442:O2458" si="545">N2442*M2442</f>
        <v>0.61723314953501773</v>
      </c>
    </row>
    <row r="2443" spans="2:15" ht="13.5" hidden="1" customHeight="1">
      <c r="B2443" s="33">
        <f t="shared" si="541"/>
        <v>76</v>
      </c>
      <c r="C2443" s="63" t="s">
        <v>943</v>
      </c>
      <c r="D2443" s="63" t="s">
        <v>891</v>
      </c>
      <c r="F2443" s="64" t="s">
        <v>44</v>
      </c>
      <c r="G2443" s="36">
        <f>300*21</f>
        <v>6300</v>
      </c>
      <c r="H2443" s="36">
        <v>1861</v>
      </c>
      <c r="I2443" s="36">
        <v>3240</v>
      </c>
      <c r="J2443" s="36">
        <v>750</v>
      </c>
      <c r="K2443" s="36">
        <f t="shared" si="543"/>
        <v>12151</v>
      </c>
      <c r="L2443" s="36">
        <v>7500</v>
      </c>
      <c r="M2443" s="9">
        <f t="shared" si="544"/>
        <v>0.61723314953501773</v>
      </c>
      <c r="N2443" s="5">
        <v>1</v>
      </c>
      <c r="O2443" s="10">
        <f t="shared" si="545"/>
        <v>0.61723314953501773</v>
      </c>
    </row>
    <row r="2444" spans="2:15" ht="13.5" hidden="1" customHeight="1">
      <c r="B2444" s="33">
        <f t="shared" si="541"/>
        <v>77</v>
      </c>
      <c r="C2444" s="62" t="s">
        <v>48</v>
      </c>
      <c r="D2444" s="62" t="s">
        <v>724</v>
      </c>
      <c r="F2444" s="61" t="s">
        <v>28</v>
      </c>
      <c r="G2444" s="36">
        <f>300*15</f>
        <v>4500</v>
      </c>
      <c r="H2444" s="36">
        <v>1861</v>
      </c>
      <c r="I2444" s="36">
        <v>3240</v>
      </c>
      <c r="J2444" s="36">
        <v>750</v>
      </c>
      <c r="K2444" s="36">
        <f t="shared" si="543"/>
        <v>10351</v>
      </c>
      <c r="L2444" s="36">
        <v>7500</v>
      </c>
      <c r="M2444" s="9">
        <f t="shared" si="544"/>
        <v>0.72456767462080962</v>
      </c>
      <c r="N2444" s="5">
        <v>1</v>
      </c>
      <c r="O2444" s="10">
        <f t="shared" si="545"/>
        <v>0.72456767462080962</v>
      </c>
    </row>
    <row r="2445" spans="2:15" ht="13.5" hidden="1" customHeight="1">
      <c r="B2445" s="33">
        <f t="shared" si="541"/>
        <v>78</v>
      </c>
      <c r="C2445" s="62" t="s">
        <v>944</v>
      </c>
      <c r="D2445" s="62" t="s">
        <v>744</v>
      </c>
      <c r="F2445" s="61" t="s">
        <v>28</v>
      </c>
      <c r="G2445" s="36">
        <f t="shared" ref="G2445:G2446" si="546">300*21</f>
        <v>6300</v>
      </c>
      <c r="H2445" s="36">
        <v>1861</v>
      </c>
      <c r="I2445" s="36">
        <v>3240</v>
      </c>
      <c r="J2445" s="36">
        <v>750</v>
      </c>
      <c r="K2445" s="36">
        <f t="shared" si="543"/>
        <v>12151</v>
      </c>
      <c r="L2445" s="36">
        <v>7500</v>
      </c>
      <c r="M2445" s="9">
        <f t="shared" si="544"/>
        <v>0.61723314953501773</v>
      </c>
      <c r="N2445" s="5">
        <v>1</v>
      </c>
      <c r="O2445" s="10">
        <f t="shared" si="545"/>
        <v>0.61723314953501773</v>
      </c>
    </row>
    <row r="2446" spans="2:15" ht="13.5" hidden="1" customHeight="1">
      <c r="B2446" s="33">
        <f t="shared" si="541"/>
        <v>79</v>
      </c>
      <c r="C2446" s="62" t="s">
        <v>80</v>
      </c>
      <c r="D2446" s="62" t="s">
        <v>784</v>
      </c>
      <c r="F2446" s="61" t="s">
        <v>28</v>
      </c>
      <c r="G2446" s="36">
        <f t="shared" si="546"/>
        <v>6300</v>
      </c>
      <c r="H2446" s="36">
        <v>1861</v>
      </c>
      <c r="I2446" s="36">
        <v>3240</v>
      </c>
      <c r="J2446" s="36">
        <v>750</v>
      </c>
      <c r="K2446" s="36">
        <f t="shared" si="543"/>
        <v>12151</v>
      </c>
      <c r="L2446" s="36">
        <v>7500</v>
      </c>
      <c r="M2446" s="9">
        <f t="shared" si="544"/>
        <v>0.61723314953501773</v>
      </c>
      <c r="N2446" s="5">
        <v>1</v>
      </c>
      <c r="O2446" s="10">
        <f t="shared" si="545"/>
        <v>0.61723314953501773</v>
      </c>
    </row>
    <row r="2447" spans="2:15" ht="13.5" hidden="1" customHeight="1">
      <c r="B2447" s="33">
        <f t="shared" si="541"/>
        <v>80</v>
      </c>
      <c r="C2447" s="63" t="s">
        <v>82</v>
      </c>
      <c r="D2447" s="63" t="s">
        <v>799</v>
      </c>
      <c r="F2447" s="64" t="s">
        <v>28</v>
      </c>
      <c r="G2447" s="36">
        <f>277*4</f>
        <v>1108</v>
      </c>
      <c r="H2447" s="36">
        <v>1861</v>
      </c>
      <c r="I2447" s="36">
        <v>3240</v>
      </c>
      <c r="J2447" s="36">
        <v>750</v>
      </c>
      <c r="K2447" s="36">
        <f t="shared" si="543"/>
        <v>6959</v>
      </c>
      <c r="L2447" s="36">
        <v>7500</v>
      </c>
      <c r="M2447" s="9">
        <f t="shared" si="544"/>
        <v>1.0777410547492456</v>
      </c>
      <c r="N2447" s="5">
        <v>1</v>
      </c>
      <c r="O2447" s="10">
        <f t="shared" si="545"/>
        <v>1.0777410547492456</v>
      </c>
    </row>
    <row r="2448" spans="2:15" ht="13.5" hidden="1" customHeight="1">
      <c r="B2448" s="33">
        <f t="shared" si="541"/>
        <v>81</v>
      </c>
      <c r="C2448" s="63" t="s">
        <v>71</v>
      </c>
      <c r="D2448" s="63" t="s">
        <v>879</v>
      </c>
      <c r="F2448" s="64" t="s">
        <v>28</v>
      </c>
      <c r="G2448" s="36">
        <f>333*18.5</f>
        <v>6160.5</v>
      </c>
      <c r="H2448" s="36">
        <v>1861</v>
      </c>
      <c r="I2448" s="36">
        <v>3240</v>
      </c>
      <c r="J2448" s="36">
        <v>750</v>
      </c>
      <c r="K2448" s="36">
        <f t="shared" si="543"/>
        <v>12011.5</v>
      </c>
      <c r="L2448" s="36">
        <v>7500</v>
      </c>
      <c r="M2448" s="9">
        <f t="shared" si="544"/>
        <v>0.6244016151188444</v>
      </c>
      <c r="N2448" s="5">
        <v>1</v>
      </c>
      <c r="O2448" s="10">
        <f t="shared" si="545"/>
        <v>0.6244016151188444</v>
      </c>
    </row>
    <row r="2449" spans="2:15" ht="13.5" hidden="1" customHeight="1">
      <c r="B2449" s="33">
        <f t="shared" si="541"/>
        <v>82</v>
      </c>
      <c r="C2449" s="63" t="s">
        <v>945</v>
      </c>
      <c r="D2449" s="63" t="s">
        <v>802</v>
      </c>
      <c r="F2449" s="64" t="s">
        <v>693</v>
      </c>
      <c r="G2449" s="36">
        <f>277*4</f>
        <v>1108</v>
      </c>
      <c r="H2449" s="36">
        <v>1861</v>
      </c>
      <c r="I2449" s="36">
        <v>7890</v>
      </c>
      <c r="J2449" s="36">
        <v>750</v>
      </c>
      <c r="K2449" s="36">
        <f t="shared" si="543"/>
        <v>11609</v>
      </c>
      <c r="L2449" s="36">
        <v>7500</v>
      </c>
      <c r="M2449" s="9">
        <f t="shared" si="544"/>
        <v>0.64605047807735383</v>
      </c>
      <c r="N2449" s="5">
        <v>1</v>
      </c>
      <c r="O2449" s="10">
        <f t="shared" si="545"/>
        <v>0.64605047807735383</v>
      </c>
    </row>
    <row r="2450" spans="2:15" ht="13.5" hidden="1" customHeight="1">
      <c r="B2450" s="33">
        <f t="shared" si="541"/>
        <v>83</v>
      </c>
      <c r="C2450" s="63" t="s">
        <v>946</v>
      </c>
      <c r="D2450" s="63" t="s">
        <v>808</v>
      </c>
      <c r="F2450" s="64" t="s">
        <v>214</v>
      </c>
      <c r="G2450" s="36">
        <f>333*18.5</f>
        <v>6160.5</v>
      </c>
      <c r="H2450" s="36">
        <v>1861</v>
      </c>
      <c r="I2450" s="36">
        <v>3790</v>
      </c>
      <c r="J2450" s="36">
        <v>750</v>
      </c>
      <c r="K2450" s="36">
        <f t="shared" si="543"/>
        <v>12561.5</v>
      </c>
      <c r="L2450" s="36">
        <v>7500</v>
      </c>
      <c r="M2450" s="9">
        <f t="shared" si="544"/>
        <v>0.59706245273255587</v>
      </c>
      <c r="N2450" s="5">
        <v>1</v>
      </c>
      <c r="O2450" s="10">
        <f t="shared" si="545"/>
        <v>0.59706245273255587</v>
      </c>
    </row>
    <row r="2451" spans="2:15" ht="13.5" hidden="1" customHeight="1">
      <c r="B2451" s="33">
        <f t="shared" si="541"/>
        <v>84</v>
      </c>
      <c r="C2451" s="63" t="s">
        <v>947</v>
      </c>
      <c r="D2451" s="63" t="s">
        <v>811</v>
      </c>
      <c r="F2451" s="64" t="s">
        <v>214</v>
      </c>
      <c r="G2451" s="36">
        <f t="shared" ref="G2451:G2453" si="547">333*18.5</f>
        <v>6160.5</v>
      </c>
      <c r="H2451" s="36">
        <v>1861</v>
      </c>
      <c r="I2451" s="36">
        <v>3790</v>
      </c>
      <c r="J2451" s="36">
        <v>750</v>
      </c>
      <c r="K2451" s="36">
        <f t="shared" si="543"/>
        <v>12561.5</v>
      </c>
      <c r="L2451" s="36">
        <v>7500</v>
      </c>
      <c r="M2451" s="9">
        <f t="shared" si="544"/>
        <v>0.59706245273255587</v>
      </c>
      <c r="N2451" s="5">
        <v>1</v>
      </c>
      <c r="O2451" s="10">
        <f t="shared" si="545"/>
        <v>0.59706245273255587</v>
      </c>
    </row>
    <row r="2452" spans="2:15" ht="13.5" hidden="1" customHeight="1">
      <c r="B2452" s="33">
        <f t="shared" si="541"/>
        <v>85</v>
      </c>
      <c r="C2452" s="63" t="s">
        <v>948</v>
      </c>
      <c r="D2452" s="63" t="s">
        <v>819</v>
      </c>
      <c r="F2452" s="64" t="s">
        <v>214</v>
      </c>
      <c r="G2452" s="36">
        <f t="shared" si="547"/>
        <v>6160.5</v>
      </c>
      <c r="H2452" s="36">
        <v>1861</v>
      </c>
      <c r="I2452" s="36">
        <v>3790</v>
      </c>
      <c r="J2452" s="36">
        <v>750</v>
      </c>
      <c r="K2452" s="36">
        <f t="shared" si="543"/>
        <v>12561.5</v>
      </c>
      <c r="L2452" s="36">
        <v>7500</v>
      </c>
      <c r="M2452" s="9">
        <f t="shared" si="544"/>
        <v>0.59706245273255587</v>
      </c>
      <c r="N2452" s="5">
        <v>1</v>
      </c>
      <c r="O2452" s="10">
        <f t="shared" si="545"/>
        <v>0.59706245273255587</v>
      </c>
    </row>
    <row r="2453" spans="2:15" ht="13.5" hidden="1" customHeight="1">
      <c r="B2453" s="33">
        <f t="shared" si="541"/>
        <v>86</v>
      </c>
      <c r="C2453" s="63" t="s">
        <v>86</v>
      </c>
      <c r="D2453" s="63" t="s">
        <v>833</v>
      </c>
      <c r="F2453" s="64" t="s">
        <v>214</v>
      </c>
      <c r="G2453" s="36">
        <f t="shared" si="547"/>
        <v>6160.5</v>
      </c>
      <c r="H2453" s="36">
        <v>1861</v>
      </c>
      <c r="I2453" s="36">
        <v>3790</v>
      </c>
      <c r="J2453" s="36">
        <v>750</v>
      </c>
      <c r="K2453" s="36">
        <f t="shared" si="543"/>
        <v>12561.5</v>
      </c>
      <c r="L2453" s="36">
        <v>7500</v>
      </c>
      <c r="M2453" s="9">
        <f t="shared" si="544"/>
        <v>0.59706245273255587</v>
      </c>
      <c r="N2453" s="5">
        <v>1</v>
      </c>
      <c r="O2453" s="10">
        <f t="shared" si="545"/>
        <v>0.59706245273255587</v>
      </c>
    </row>
    <row r="2454" spans="2:15" ht="13.5" hidden="1" customHeight="1">
      <c r="B2454" s="33">
        <f t="shared" si="541"/>
        <v>87</v>
      </c>
      <c r="C2454" s="62" t="s">
        <v>949</v>
      </c>
      <c r="D2454" s="62" t="s">
        <v>773</v>
      </c>
      <c r="F2454" s="61" t="s">
        <v>327</v>
      </c>
      <c r="G2454" s="36">
        <f>333*19</f>
        <v>6327</v>
      </c>
      <c r="H2454" s="36">
        <v>1861</v>
      </c>
      <c r="I2454" s="36">
        <v>3240</v>
      </c>
      <c r="J2454" s="36">
        <v>750</v>
      </c>
      <c r="K2454" s="36">
        <f t="shared" si="543"/>
        <v>12178</v>
      </c>
      <c r="L2454" s="36">
        <v>7500</v>
      </c>
      <c r="M2454" s="9">
        <f t="shared" si="544"/>
        <v>0.61586467400229927</v>
      </c>
      <c r="N2454" s="5">
        <v>1</v>
      </c>
      <c r="O2454" s="10">
        <f t="shared" si="545"/>
        <v>0.61586467400229927</v>
      </c>
    </row>
    <row r="2455" spans="2:15" ht="13.5" hidden="1" customHeight="1">
      <c r="B2455" s="33">
        <f t="shared" si="541"/>
        <v>88</v>
      </c>
      <c r="C2455" s="62" t="s">
        <v>950</v>
      </c>
      <c r="D2455" s="62" t="s">
        <v>777</v>
      </c>
      <c r="F2455" s="61" t="s">
        <v>327</v>
      </c>
      <c r="G2455" s="36">
        <f>333*21</f>
        <v>6993</v>
      </c>
      <c r="H2455" s="36">
        <v>1861</v>
      </c>
      <c r="I2455" s="36">
        <v>3240</v>
      </c>
      <c r="J2455" s="36">
        <v>750</v>
      </c>
      <c r="K2455" s="36">
        <f t="shared" si="543"/>
        <v>12844</v>
      </c>
      <c r="L2455" s="36">
        <v>7500</v>
      </c>
      <c r="M2455" s="9">
        <f t="shared" si="544"/>
        <v>0.58393023980068515</v>
      </c>
      <c r="N2455" s="5">
        <v>1</v>
      </c>
      <c r="O2455" s="10">
        <f t="shared" si="545"/>
        <v>0.58393023980068515</v>
      </c>
    </row>
    <row r="2456" spans="2:15" ht="13.5" hidden="1" customHeight="1">
      <c r="B2456" s="33">
        <f t="shared" si="541"/>
        <v>89</v>
      </c>
      <c r="C2456" s="62" t="s">
        <v>108</v>
      </c>
      <c r="D2456" s="62" t="s">
        <v>782</v>
      </c>
      <c r="F2456" s="61" t="s">
        <v>327</v>
      </c>
      <c r="G2456" s="36">
        <f>333*21</f>
        <v>6993</v>
      </c>
      <c r="H2456" s="36">
        <v>1861</v>
      </c>
      <c r="I2456" s="36">
        <v>3240</v>
      </c>
      <c r="J2456" s="36">
        <v>750</v>
      </c>
      <c r="K2456" s="36">
        <f t="shared" si="543"/>
        <v>12844</v>
      </c>
      <c r="L2456" s="36">
        <v>7500</v>
      </c>
      <c r="M2456" s="9">
        <f t="shared" si="544"/>
        <v>0.58393023980068515</v>
      </c>
      <c r="N2456" s="5">
        <v>1</v>
      </c>
      <c r="O2456" s="10">
        <f t="shared" si="545"/>
        <v>0.58393023980068515</v>
      </c>
    </row>
    <row r="2457" spans="2:15" ht="13.5" hidden="1" customHeight="1">
      <c r="B2457" s="33">
        <f t="shared" si="541"/>
        <v>90</v>
      </c>
      <c r="C2457" s="62" t="s">
        <v>106</v>
      </c>
      <c r="D2457" s="62" t="s">
        <v>728</v>
      </c>
      <c r="F2457" s="61" t="s">
        <v>31</v>
      </c>
      <c r="G2457" s="36">
        <f>333*20.5</f>
        <v>6826.5</v>
      </c>
      <c r="H2457" s="36">
        <v>1861</v>
      </c>
      <c r="I2457" s="36">
        <v>3790</v>
      </c>
      <c r="J2457" s="36">
        <v>900</v>
      </c>
      <c r="K2457" s="36">
        <f t="shared" si="543"/>
        <v>13377.5</v>
      </c>
      <c r="L2457" s="36">
        <v>7500</v>
      </c>
      <c r="M2457" s="9">
        <f t="shared" si="544"/>
        <v>0.56064287049149697</v>
      </c>
      <c r="N2457" s="5">
        <v>1</v>
      </c>
      <c r="O2457" s="10">
        <f t="shared" si="545"/>
        <v>0.56064287049149697</v>
      </c>
    </row>
    <row r="2458" spans="2:15" ht="13.5" hidden="1" customHeight="1">
      <c r="B2458" s="33">
        <f t="shared" si="541"/>
        <v>91</v>
      </c>
      <c r="C2458" s="62" t="s">
        <v>219</v>
      </c>
      <c r="D2458" s="62" t="s">
        <v>729</v>
      </c>
      <c r="F2458" s="61" t="s">
        <v>31</v>
      </c>
      <c r="G2458" s="36">
        <f t="shared" ref="G2458:G2479" si="548">333*20.5</f>
        <v>6826.5</v>
      </c>
      <c r="H2458" s="36">
        <v>1861</v>
      </c>
      <c r="I2458" s="36">
        <v>3790</v>
      </c>
      <c r="J2458" s="36">
        <v>900</v>
      </c>
      <c r="K2458" s="36">
        <f t="shared" si="543"/>
        <v>13377.5</v>
      </c>
      <c r="L2458" s="36">
        <v>7500</v>
      </c>
      <c r="M2458" s="9">
        <f t="shared" si="544"/>
        <v>0.56064287049149697</v>
      </c>
      <c r="N2458" s="5">
        <v>1</v>
      </c>
      <c r="O2458" s="10">
        <f t="shared" si="545"/>
        <v>0.56064287049149697</v>
      </c>
    </row>
    <row r="2459" spans="2:15" ht="13.5" hidden="1" customHeight="1">
      <c r="B2459" s="33">
        <f t="shared" si="541"/>
        <v>92</v>
      </c>
      <c r="C2459" s="62" t="s">
        <v>223</v>
      </c>
      <c r="D2459" s="62" t="s">
        <v>735</v>
      </c>
      <c r="F2459" s="61" t="s">
        <v>31</v>
      </c>
      <c r="G2459" s="36">
        <f t="shared" si="548"/>
        <v>6826.5</v>
      </c>
      <c r="H2459" s="36">
        <v>1861</v>
      </c>
      <c r="I2459" s="36">
        <v>3790</v>
      </c>
      <c r="J2459" s="36">
        <v>900</v>
      </c>
      <c r="K2459" s="36">
        <f t="shared" ref="K2459:K2556" si="549">SUM(G2459:J2459)</f>
        <v>13377.5</v>
      </c>
      <c r="L2459" s="36">
        <v>7500</v>
      </c>
      <c r="M2459" s="9">
        <f t="shared" ref="M2459:M2556" si="550">L2459/K2459</f>
        <v>0.56064287049149697</v>
      </c>
      <c r="N2459" s="5">
        <v>1</v>
      </c>
      <c r="O2459" s="10">
        <f t="shared" ref="O2459:O2556" si="551">N2459*M2459</f>
        <v>0.56064287049149697</v>
      </c>
    </row>
    <row r="2460" spans="2:15" ht="13.5" hidden="1" customHeight="1">
      <c r="B2460" s="33">
        <f t="shared" si="541"/>
        <v>93</v>
      </c>
      <c r="C2460" s="62" t="s">
        <v>49</v>
      </c>
      <c r="D2460" s="62" t="s">
        <v>736</v>
      </c>
      <c r="F2460" s="61" t="s">
        <v>31</v>
      </c>
      <c r="G2460" s="36">
        <f t="shared" si="548"/>
        <v>6826.5</v>
      </c>
      <c r="H2460" s="36">
        <v>1861</v>
      </c>
      <c r="I2460" s="36">
        <v>3790</v>
      </c>
      <c r="J2460" s="36">
        <v>900</v>
      </c>
      <c r="K2460" s="36">
        <f t="shared" si="549"/>
        <v>13377.5</v>
      </c>
      <c r="L2460" s="36">
        <v>7500</v>
      </c>
      <c r="M2460" s="9">
        <f t="shared" si="550"/>
        <v>0.56064287049149697</v>
      </c>
      <c r="N2460" s="5">
        <v>1</v>
      </c>
      <c r="O2460" s="10">
        <f t="shared" si="551"/>
        <v>0.56064287049149697</v>
      </c>
    </row>
    <row r="2461" spans="2:15" ht="13.5" hidden="1" customHeight="1">
      <c r="B2461" s="33">
        <f t="shared" si="541"/>
        <v>94</v>
      </c>
      <c r="C2461" s="62" t="s">
        <v>226</v>
      </c>
      <c r="D2461" s="62" t="s">
        <v>743</v>
      </c>
      <c r="F2461" s="61" t="s">
        <v>31</v>
      </c>
      <c r="G2461" s="36">
        <f t="shared" si="548"/>
        <v>6826.5</v>
      </c>
      <c r="H2461" s="36">
        <v>1861</v>
      </c>
      <c r="I2461" s="36">
        <v>3790</v>
      </c>
      <c r="J2461" s="36">
        <v>900</v>
      </c>
      <c r="K2461" s="36">
        <f t="shared" si="549"/>
        <v>13377.5</v>
      </c>
      <c r="L2461" s="36">
        <v>7500</v>
      </c>
      <c r="M2461" s="9">
        <f t="shared" si="550"/>
        <v>0.56064287049149697</v>
      </c>
      <c r="N2461" s="5">
        <v>1</v>
      </c>
      <c r="O2461" s="10">
        <f t="shared" si="551"/>
        <v>0.56064287049149697</v>
      </c>
    </row>
    <row r="2462" spans="2:15" ht="13.5" hidden="1" customHeight="1">
      <c r="B2462" s="33">
        <f t="shared" si="541"/>
        <v>95</v>
      </c>
      <c r="C2462" s="62" t="s">
        <v>951</v>
      </c>
      <c r="D2462" s="62" t="s">
        <v>746</v>
      </c>
      <c r="F2462" s="61" t="s">
        <v>31</v>
      </c>
      <c r="G2462" s="36">
        <f t="shared" si="548"/>
        <v>6826.5</v>
      </c>
      <c r="H2462" s="36">
        <v>1861</v>
      </c>
      <c r="I2462" s="36">
        <v>3790</v>
      </c>
      <c r="J2462" s="36">
        <v>900</v>
      </c>
      <c r="K2462" s="36">
        <f t="shared" si="549"/>
        <v>13377.5</v>
      </c>
      <c r="L2462" s="36">
        <v>7500</v>
      </c>
      <c r="M2462" s="9">
        <f t="shared" si="550"/>
        <v>0.56064287049149697</v>
      </c>
      <c r="N2462" s="5">
        <v>1</v>
      </c>
      <c r="O2462" s="10">
        <f t="shared" si="551"/>
        <v>0.56064287049149697</v>
      </c>
    </row>
    <row r="2463" spans="2:15" ht="13.5" hidden="1" customHeight="1">
      <c r="B2463" s="33">
        <f t="shared" si="541"/>
        <v>96</v>
      </c>
      <c r="C2463" s="62" t="s">
        <v>952</v>
      </c>
      <c r="D2463" s="62" t="s">
        <v>760</v>
      </c>
      <c r="F2463" s="61" t="s">
        <v>31</v>
      </c>
      <c r="G2463" s="36">
        <f t="shared" si="548"/>
        <v>6826.5</v>
      </c>
      <c r="H2463" s="36">
        <v>1861</v>
      </c>
      <c r="I2463" s="36">
        <v>3790</v>
      </c>
      <c r="J2463" s="36">
        <v>900</v>
      </c>
      <c r="K2463" s="36">
        <f t="shared" si="549"/>
        <v>13377.5</v>
      </c>
      <c r="L2463" s="36">
        <v>7500</v>
      </c>
      <c r="M2463" s="9">
        <f t="shared" si="550"/>
        <v>0.56064287049149697</v>
      </c>
      <c r="N2463" s="5">
        <v>1</v>
      </c>
      <c r="O2463" s="10">
        <f t="shared" si="551"/>
        <v>0.56064287049149697</v>
      </c>
    </row>
    <row r="2464" spans="2:15" ht="13.5" hidden="1" customHeight="1">
      <c r="B2464" s="33">
        <f t="shared" si="541"/>
        <v>97</v>
      </c>
      <c r="C2464" s="62" t="s">
        <v>953</v>
      </c>
      <c r="D2464" s="62" t="s">
        <v>776</v>
      </c>
      <c r="F2464" s="61" t="s">
        <v>31</v>
      </c>
      <c r="G2464" s="36">
        <f>333*17</f>
        <v>5661</v>
      </c>
      <c r="H2464" s="36">
        <v>1861</v>
      </c>
      <c r="I2464" s="36">
        <v>3790</v>
      </c>
      <c r="J2464" s="36">
        <v>900</v>
      </c>
      <c r="K2464" s="36">
        <f t="shared" si="549"/>
        <v>12212</v>
      </c>
      <c r="L2464" s="36">
        <v>7500</v>
      </c>
      <c r="M2464" s="9">
        <f t="shared" si="550"/>
        <v>0.6141500163773338</v>
      </c>
      <c r="N2464" s="5">
        <v>1</v>
      </c>
      <c r="O2464" s="10">
        <f t="shared" si="551"/>
        <v>0.6141500163773338</v>
      </c>
    </row>
    <row r="2465" spans="2:15" ht="13.5" hidden="1" customHeight="1">
      <c r="B2465" s="33">
        <f t="shared" si="541"/>
        <v>98</v>
      </c>
      <c r="C2465" s="62" t="s">
        <v>954</v>
      </c>
      <c r="D2465" s="62" t="s">
        <v>785</v>
      </c>
      <c r="F2465" s="61" t="s">
        <v>31</v>
      </c>
      <c r="G2465" s="36">
        <f t="shared" si="548"/>
        <v>6826.5</v>
      </c>
      <c r="H2465" s="36">
        <v>1861</v>
      </c>
      <c r="I2465" s="36">
        <v>3790</v>
      </c>
      <c r="J2465" s="36">
        <v>900</v>
      </c>
      <c r="K2465" s="36">
        <f t="shared" si="549"/>
        <v>13377.5</v>
      </c>
      <c r="L2465" s="36">
        <v>7500</v>
      </c>
      <c r="M2465" s="9">
        <f t="shared" si="550"/>
        <v>0.56064287049149697</v>
      </c>
      <c r="N2465" s="5">
        <v>1</v>
      </c>
      <c r="O2465" s="10">
        <f t="shared" si="551"/>
        <v>0.56064287049149697</v>
      </c>
    </row>
    <row r="2466" spans="2:15" ht="13.5" hidden="1" customHeight="1">
      <c r="B2466" s="33">
        <f t="shared" si="541"/>
        <v>99</v>
      </c>
      <c r="C2466" s="62" t="s">
        <v>955</v>
      </c>
      <c r="D2466" s="62" t="s">
        <v>786</v>
      </c>
      <c r="F2466" s="61" t="s">
        <v>31</v>
      </c>
      <c r="G2466" s="36">
        <f t="shared" si="548"/>
        <v>6826.5</v>
      </c>
      <c r="H2466" s="36">
        <v>1861</v>
      </c>
      <c r="I2466" s="36">
        <v>3790</v>
      </c>
      <c r="J2466" s="36">
        <v>900</v>
      </c>
      <c r="K2466" s="36">
        <f t="shared" si="549"/>
        <v>13377.5</v>
      </c>
      <c r="L2466" s="36">
        <v>7500</v>
      </c>
      <c r="M2466" s="9">
        <f t="shared" si="550"/>
        <v>0.56064287049149697</v>
      </c>
      <c r="N2466" s="5">
        <v>1</v>
      </c>
      <c r="O2466" s="10">
        <f t="shared" si="551"/>
        <v>0.56064287049149697</v>
      </c>
    </row>
    <row r="2467" spans="2:15" ht="13.5" hidden="1" customHeight="1">
      <c r="B2467" s="33">
        <f t="shared" si="541"/>
        <v>100</v>
      </c>
      <c r="C2467" s="63" t="s">
        <v>956</v>
      </c>
      <c r="D2467" s="63" t="s">
        <v>789</v>
      </c>
      <c r="F2467" s="64" t="s">
        <v>31</v>
      </c>
      <c r="G2467" s="36">
        <f t="shared" si="548"/>
        <v>6826.5</v>
      </c>
      <c r="H2467" s="36">
        <v>1861</v>
      </c>
      <c r="I2467" s="36">
        <v>3790</v>
      </c>
      <c r="J2467" s="36">
        <v>900</v>
      </c>
      <c r="K2467" s="36">
        <f t="shared" si="549"/>
        <v>13377.5</v>
      </c>
      <c r="L2467" s="36">
        <v>7500</v>
      </c>
      <c r="M2467" s="9">
        <f t="shared" si="550"/>
        <v>0.56064287049149697</v>
      </c>
      <c r="N2467" s="5">
        <v>1</v>
      </c>
      <c r="O2467" s="10">
        <f t="shared" si="551"/>
        <v>0.56064287049149697</v>
      </c>
    </row>
    <row r="2468" spans="2:15" ht="13.5" hidden="1" customHeight="1">
      <c r="B2468" s="33">
        <f t="shared" si="541"/>
        <v>101</v>
      </c>
      <c r="C2468" s="63" t="s">
        <v>957</v>
      </c>
      <c r="D2468" s="63" t="s">
        <v>809</v>
      </c>
      <c r="F2468" s="64" t="s">
        <v>31</v>
      </c>
      <c r="G2468" s="36">
        <f t="shared" si="548"/>
        <v>6826.5</v>
      </c>
      <c r="H2468" s="36">
        <v>1861</v>
      </c>
      <c r="I2468" s="36">
        <v>3790</v>
      </c>
      <c r="J2468" s="36">
        <v>900</v>
      </c>
      <c r="K2468" s="36">
        <f t="shared" si="549"/>
        <v>13377.5</v>
      </c>
      <c r="L2468" s="36">
        <v>7500</v>
      </c>
      <c r="M2468" s="9">
        <f t="shared" si="550"/>
        <v>0.56064287049149697</v>
      </c>
      <c r="N2468" s="5">
        <v>1</v>
      </c>
      <c r="O2468" s="10">
        <f t="shared" si="551"/>
        <v>0.56064287049149697</v>
      </c>
    </row>
    <row r="2469" spans="2:15" ht="13.5" hidden="1" customHeight="1">
      <c r="B2469" s="33">
        <f t="shared" si="541"/>
        <v>102</v>
      </c>
      <c r="C2469" s="63" t="s">
        <v>958</v>
      </c>
      <c r="D2469" s="63" t="s">
        <v>816</v>
      </c>
      <c r="F2469" s="64" t="s">
        <v>31</v>
      </c>
      <c r="G2469" s="36">
        <f>333*17</f>
        <v>5661</v>
      </c>
      <c r="H2469" s="36">
        <v>1861</v>
      </c>
      <c r="I2469" s="36">
        <v>3790</v>
      </c>
      <c r="J2469" s="36">
        <v>900</v>
      </c>
      <c r="K2469" s="36">
        <f t="shared" si="549"/>
        <v>12212</v>
      </c>
      <c r="L2469" s="36">
        <v>7500</v>
      </c>
      <c r="M2469" s="9">
        <f t="shared" si="550"/>
        <v>0.6141500163773338</v>
      </c>
      <c r="N2469" s="5">
        <v>1</v>
      </c>
      <c r="O2469" s="10">
        <f t="shared" si="551"/>
        <v>0.6141500163773338</v>
      </c>
    </row>
    <row r="2470" spans="2:15" ht="13.5" hidden="1" customHeight="1">
      <c r="B2470" s="33">
        <f t="shared" si="541"/>
        <v>103</v>
      </c>
      <c r="C2470" s="63" t="s">
        <v>959</v>
      </c>
      <c r="D2470" s="63" t="s">
        <v>111</v>
      </c>
      <c r="F2470" s="64" t="s">
        <v>31</v>
      </c>
      <c r="G2470" s="36">
        <f t="shared" si="548"/>
        <v>6826.5</v>
      </c>
      <c r="H2470" s="36">
        <v>1861</v>
      </c>
      <c r="I2470" s="36">
        <v>3790</v>
      </c>
      <c r="J2470" s="36">
        <v>900</v>
      </c>
      <c r="K2470" s="36">
        <f t="shared" si="549"/>
        <v>13377.5</v>
      </c>
      <c r="L2470" s="36">
        <v>7500</v>
      </c>
      <c r="M2470" s="9">
        <f t="shared" si="550"/>
        <v>0.56064287049149697</v>
      </c>
      <c r="N2470" s="5">
        <v>1</v>
      </c>
      <c r="O2470" s="10">
        <f t="shared" si="551"/>
        <v>0.56064287049149697</v>
      </c>
    </row>
    <row r="2471" spans="2:15" ht="13.5" hidden="1" customHeight="1">
      <c r="B2471" s="33">
        <f t="shared" si="541"/>
        <v>104</v>
      </c>
      <c r="C2471" s="63" t="s">
        <v>84</v>
      </c>
      <c r="D2471" s="63" t="s">
        <v>822</v>
      </c>
      <c r="F2471" s="64" t="s">
        <v>31</v>
      </c>
      <c r="G2471" s="36">
        <f t="shared" si="548"/>
        <v>6826.5</v>
      </c>
      <c r="H2471" s="36">
        <v>1861</v>
      </c>
      <c r="I2471" s="36">
        <v>3790</v>
      </c>
      <c r="J2471" s="36">
        <v>900</v>
      </c>
      <c r="K2471" s="36">
        <f t="shared" si="549"/>
        <v>13377.5</v>
      </c>
      <c r="L2471" s="36">
        <v>7500</v>
      </c>
      <c r="M2471" s="9">
        <f t="shared" si="550"/>
        <v>0.56064287049149697</v>
      </c>
      <c r="N2471" s="5">
        <v>1</v>
      </c>
      <c r="O2471" s="10">
        <f t="shared" si="551"/>
        <v>0.56064287049149697</v>
      </c>
    </row>
    <row r="2472" spans="2:15" ht="13.5" hidden="1" customHeight="1">
      <c r="B2472" s="33">
        <f t="shared" si="541"/>
        <v>105</v>
      </c>
      <c r="C2472" s="63" t="s">
        <v>245</v>
      </c>
      <c r="D2472" s="63" t="s">
        <v>827</v>
      </c>
      <c r="F2472" s="64" t="s">
        <v>31</v>
      </c>
      <c r="G2472" s="36">
        <f t="shared" si="548"/>
        <v>6826.5</v>
      </c>
      <c r="H2472" s="36">
        <v>1861</v>
      </c>
      <c r="I2472" s="36">
        <v>3790</v>
      </c>
      <c r="J2472" s="36">
        <v>900</v>
      </c>
      <c r="K2472" s="36">
        <f t="shared" si="549"/>
        <v>13377.5</v>
      </c>
      <c r="L2472" s="36">
        <v>7500</v>
      </c>
      <c r="M2472" s="9">
        <f t="shared" si="550"/>
        <v>0.56064287049149697</v>
      </c>
      <c r="N2472" s="5">
        <v>1</v>
      </c>
      <c r="O2472" s="10">
        <f t="shared" si="551"/>
        <v>0.56064287049149697</v>
      </c>
    </row>
    <row r="2473" spans="2:15" ht="13.5" hidden="1" customHeight="1">
      <c r="B2473" s="33">
        <f t="shared" si="541"/>
        <v>106</v>
      </c>
      <c r="C2473" s="63" t="s">
        <v>105</v>
      </c>
      <c r="D2473" s="63" t="s">
        <v>828</v>
      </c>
      <c r="F2473" s="64" t="s">
        <v>31</v>
      </c>
      <c r="G2473" s="36">
        <f t="shared" si="548"/>
        <v>6826.5</v>
      </c>
      <c r="H2473" s="36">
        <v>1861</v>
      </c>
      <c r="I2473" s="36">
        <v>3790</v>
      </c>
      <c r="J2473" s="36">
        <v>900</v>
      </c>
      <c r="K2473" s="36">
        <f t="shared" si="549"/>
        <v>13377.5</v>
      </c>
      <c r="L2473" s="36">
        <v>7500</v>
      </c>
      <c r="M2473" s="9">
        <f t="shared" si="550"/>
        <v>0.56064287049149697</v>
      </c>
      <c r="N2473" s="5">
        <v>1</v>
      </c>
      <c r="O2473" s="10">
        <f t="shared" si="551"/>
        <v>0.56064287049149697</v>
      </c>
    </row>
    <row r="2474" spans="2:15" ht="13.5" hidden="1" customHeight="1">
      <c r="B2474" s="33">
        <f t="shared" si="541"/>
        <v>107</v>
      </c>
      <c r="C2474" s="63" t="s">
        <v>960</v>
      </c>
      <c r="D2474" s="63" t="s">
        <v>844</v>
      </c>
      <c r="F2474" s="64" t="s">
        <v>31</v>
      </c>
      <c r="G2474" s="36">
        <f t="shared" si="548"/>
        <v>6826.5</v>
      </c>
      <c r="H2474" s="36">
        <v>1861</v>
      </c>
      <c r="I2474" s="36">
        <v>3790</v>
      </c>
      <c r="J2474" s="36">
        <v>900</v>
      </c>
      <c r="K2474" s="36">
        <f t="shared" si="549"/>
        <v>13377.5</v>
      </c>
      <c r="L2474" s="36">
        <v>7500</v>
      </c>
      <c r="M2474" s="9">
        <f t="shared" si="550"/>
        <v>0.56064287049149697</v>
      </c>
      <c r="N2474" s="5">
        <v>1</v>
      </c>
      <c r="O2474" s="10">
        <f t="shared" si="551"/>
        <v>0.56064287049149697</v>
      </c>
    </row>
    <row r="2475" spans="2:15" ht="13.5" hidden="1" customHeight="1">
      <c r="B2475" s="33">
        <f t="shared" si="541"/>
        <v>108</v>
      </c>
      <c r="C2475" s="63" t="s">
        <v>961</v>
      </c>
      <c r="D2475" s="63" t="s">
        <v>853</v>
      </c>
      <c r="F2475" s="64" t="s">
        <v>31</v>
      </c>
      <c r="G2475" s="36">
        <f t="shared" si="548"/>
        <v>6826.5</v>
      </c>
      <c r="H2475" s="36">
        <v>1861</v>
      </c>
      <c r="I2475" s="36">
        <v>3790</v>
      </c>
      <c r="J2475" s="36">
        <v>900</v>
      </c>
      <c r="K2475" s="36">
        <f t="shared" si="549"/>
        <v>13377.5</v>
      </c>
      <c r="L2475" s="36">
        <v>7500</v>
      </c>
      <c r="M2475" s="9">
        <f t="shared" si="550"/>
        <v>0.56064287049149697</v>
      </c>
      <c r="N2475" s="5">
        <v>1</v>
      </c>
      <c r="O2475" s="10">
        <f t="shared" si="551"/>
        <v>0.56064287049149697</v>
      </c>
    </row>
    <row r="2476" spans="2:15" ht="13.5" hidden="1" customHeight="1">
      <c r="B2476" s="33">
        <f t="shared" si="541"/>
        <v>109</v>
      </c>
      <c r="C2476" s="63" t="s">
        <v>962</v>
      </c>
      <c r="D2476" s="63" t="s">
        <v>855</v>
      </c>
      <c r="F2476" s="64" t="s">
        <v>31</v>
      </c>
      <c r="G2476" s="36">
        <f t="shared" si="548"/>
        <v>6826.5</v>
      </c>
      <c r="H2476" s="36">
        <v>1861</v>
      </c>
      <c r="I2476" s="36">
        <v>3790</v>
      </c>
      <c r="J2476" s="36">
        <v>900</v>
      </c>
      <c r="K2476" s="36">
        <f t="shared" si="549"/>
        <v>13377.5</v>
      </c>
      <c r="L2476" s="36">
        <v>7500</v>
      </c>
      <c r="M2476" s="9">
        <f t="shared" si="550"/>
        <v>0.56064287049149697</v>
      </c>
      <c r="N2476" s="5">
        <v>1</v>
      </c>
      <c r="O2476" s="10">
        <f t="shared" si="551"/>
        <v>0.56064287049149697</v>
      </c>
    </row>
    <row r="2477" spans="2:15" ht="13.5" hidden="1" customHeight="1">
      <c r="B2477" s="33">
        <f t="shared" si="541"/>
        <v>110</v>
      </c>
      <c r="C2477" s="63" t="s">
        <v>87</v>
      </c>
      <c r="D2477" s="63" t="s">
        <v>861</v>
      </c>
      <c r="F2477" s="64" t="s">
        <v>31</v>
      </c>
      <c r="G2477" s="36">
        <f t="shared" si="548"/>
        <v>6826.5</v>
      </c>
      <c r="H2477" s="36">
        <v>1861</v>
      </c>
      <c r="I2477" s="36">
        <v>3790</v>
      </c>
      <c r="J2477" s="36">
        <v>900</v>
      </c>
      <c r="K2477" s="36">
        <f t="shared" si="549"/>
        <v>13377.5</v>
      </c>
      <c r="L2477" s="36">
        <v>7500</v>
      </c>
      <c r="M2477" s="9">
        <f t="shared" si="550"/>
        <v>0.56064287049149697</v>
      </c>
      <c r="N2477" s="5">
        <v>1</v>
      </c>
      <c r="O2477" s="10">
        <f t="shared" si="551"/>
        <v>0.56064287049149697</v>
      </c>
    </row>
    <row r="2478" spans="2:15" ht="13.5" hidden="1" customHeight="1">
      <c r="B2478" s="33">
        <f t="shared" si="541"/>
        <v>111</v>
      </c>
      <c r="C2478" s="63" t="s">
        <v>963</v>
      </c>
      <c r="D2478" s="63" t="s">
        <v>868</v>
      </c>
      <c r="F2478" s="64" t="s">
        <v>31</v>
      </c>
      <c r="G2478" s="36">
        <f t="shared" si="548"/>
        <v>6826.5</v>
      </c>
      <c r="H2478" s="36">
        <v>1861</v>
      </c>
      <c r="I2478" s="36">
        <v>3790</v>
      </c>
      <c r="J2478" s="36">
        <v>900</v>
      </c>
      <c r="K2478" s="36">
        <f t="shared" si="549"/>
        <v>13377.5</v>
      </c>
      <c r="L2478" s="36">
        <v>7500</v>
      </c>
      <c r="M2478" s="9">
        <f t="shared" si="550"/>
        <v>0.56064287049149697</v>
      </c>
      <c r="N2478" s="5">
        <v>1</v>
      </c>
      <c r="O2478" s="10">
        <f t="shared" si="551"/>
        <v>0.56064287049149697</v>
      </c>
    </row>
    <row r="2479" spans="2:15" ht="13.5" hidden="1" customHeight="1">
      <c r="B2479" s="33">
        <f t="shared" si="541"/>
        <v>112</v>
      </c>
      <c r="C2479" s="63" t="s">
        <v>252</v>
      </c>
      <c r="D2479" s="63" t="s">
        <v>870</v>
      </c>
      <c r="F2479" s="64" t="s">
        <v>31</v>
      </c>
      <c r="G2479" s="36">
        <f t="shared" si="548"/>
        <v>6826.5</v>
      </c>
      <c r="H2479" s="36">
        <v>1861</v>
      </c>
      <c r="I2479" s="36">
        <v>3790</v>
      </c>
      <c r="J2479" s="36">
        <v>900</v>
      </c>
      <c r="K2479" s="36">
        <f t="shared" si="549"/>
        <v>13377.5</v>
      </c>
      <c r="L2479" s="36">
        <v>7500</v>
      </c>
      <c r="M2479" s="9">
        <f t="shared" si="550"/>
        <v>0.56064287049149697</v>
      </c>
      <c r="N2479" s="5">
        <v>1</v>
      </c>
      <c r="O2479" s="10">
        <f t="shared" si="551"/>
        <v>0.56064287049149697</v>
      </c>
    </row>
    <row r="2480" spans="2:15" ht="13.5" hidden="1" customHeight="1">
      <c r="B2480" s="33">
        <f t="shared" si="541"/>
        <v>113</v>
      </c>
      <c r="C2480" s="63" t="s">
        <v>964</v>
      </c>
      <c r="D2480" s="63" t="s">
        <v>881</v>
      </c>
      <c r="F2480" s="64" t="s">
        <v>31</v>
      </c>
      <c r="G2480" s="36">
        <f>333*17</f>
        <v>5661</v>
      </c>
      <c r="H2480" s="36">
        <v>1861</v>
      </c>
      <c r="I2480" s="36">
        <v>3790</v>
      </c>
      <c r="J2480" s="36">
        <v>900</v>
      </c>
      <c r="K2480" s="36">
        <f t="shared" si="549"/>
        <v>12212</v>
      </c>
      <c r="L2480" s="36">
        <v>7500</v>
      </c>
      <c r="M2480" s="9">
        <f t="shared" si="550"/>
        <v>0.6141500163773338</v>
      </c>
      <c r="N2480" s="5">
        <v>1</v>
      </c>
      <c r="O2480" s="10">
        <f t="shared" si="551"/>
        <v>0.6141500163773338</v>
      </c>
    </row>
    <row r="2481" spans="2:15" ht="13.5" hidden="1" customHeight="1">
      <c r="B2481" s="33">
        <f t="shared" si="541"/>
        <v>114</v>
      </c>
      <c r="C2481" s="63" t="s">
        <v>965</v>
      </c>
      <c r="D2481" s="63" t="s">
        <v>884</v>
      </c>
      <c r="F2481" s="64" t="s">
        <v>31</v>
      </c>
      <c r="G2481" s="36">
        <f>333*20</f>
        <v>6660</v>
      </c>
      <c r="H2481" s="36">
        <v>1861</v>
      </c>
      <c r="I2481" s="36">
        <v>3790</v>
      </c>
      <c r="J2481" s="36">
        <v>900</v>
      </c>
      <c r="K2481" s="36">
        <f t="shared" si="549"/>
        <v>13211</v>
      </c>
      <c r="L2481" s="36">
        <v>7500</v>
      </c>
      <c r="M2481" s="9">
        <f t="shared" si="550"/>
        <v>0.56770872757550528</v>
      </c>
      <c r="N2481" s="5">
        <v>1</v>
      </c>
      <c r="O2481" s="10">
        <f t="shared" si="551"/>
        <v>0.56770872757550528</v>
      </c>
    </row>
    <row r="2482" spans="2:15" ht="13.5" hidden="1" customHeight="1">
      <c r="B2482" s="33">
        <f t="shared" si="541"/>
        <v>115</v>
      </c>
      <c r="C2482" s="63" t="s">
        <v>966</v>
      </c>
      <c r="D2482" s="63" t="s">
        <v>885</v>
      </c>
      <c r="F2482" s="64" t="s">
        <v>31</v>
      </c>
      <c r="G2482" s="36">
        <f>333*20.5</f>
        <v>6826.5</v>
      </c>
      <c r="H2482" s="36">
        <v>1861</v>
      </c>
      <c r="I2482" s="36">
        <v>3790</v>
      </c>
      <c r="J2482" s="36">
        <v>900</v>
      </c>
      <c r="K2482" s="36">
        <f t="shared" si="549"/>
        <v>13377.5</v>
      </c>
      <c r="L2482" s="36">
        <v>7500</v>
      </c>
      <c r="M2482" s="9">
        <f t="shared" si="550"/>
        <v>0.56064287049149697</v>
      </c>
      <c r="N2482" s="5">
        <v>1</v>
      </c>
      <c r="O2482" s="10">
        <f t="shared" si="551"/>
        <v>0.56064287049149697</v>
      </c>
    </row>
    <row r="2483" spans="2:15" ht="13.5" hidden="1" customHeight="1">
      <c r="B2483" s="33">
        <f t="shared" si="541"/>
        <v>116</v>
      </c>
      <c r="C2483" s="63" t="s">
        <v>967</v>
      </c>
      <c r="D2483" s="63" t="s">
        <v>888</v>
      </c>
      <c r="F2483" s="64" t="s">
        <v>31</v>
      </c>
      <c r="G2483" s="36">
        <f t="shared" ref="G2483:G2485" si="552">333*20.5</f>
        <v>6826.5</v>
      </c>
      <c r="H2483" s="36">
        <v>1861</v>
      </c>
      <c r="I2483" s="36">
        <v>3790</v>
      </c>
      <c r="J2483" s="36">
        <v>900</v>
      </c>
      <c r="K2483" s="36">
        <f t="shared" si="549"/>
        <v>13377.5</v>
      </c>
      <c r="L2483" s="36">
        <v>7500</v>
      </c>
      <c r="M2483" s="9">
        <f t="shared" si="550"/>
        <v>0.56064287049149697</v>
      </c>
      <c r="N2483" s="5">
        <v>1</v>
      </c>
      <c r="O2483" s="10">
        <f t="shared" si="551"/>
        <v>0.56064287049149697</v>
      </c>
    </row>
    <row r="2484" spans="2:15" ht="13.5" hidden="1" customHeight="1">
      <c r="B2484" s="33">
        <f t="shared" si="541"/>
        <v>117</v>
      </c>
      <c r="C2484" s="63" t="s">
        <v>968</v>
      </c>
      <c r="D2484" s="63" t="s">
        <v>890</v>
      </c>
      <c r="F2484" s="64" t="s">
        <v>31</v>
      </c>
      <c r="G2484" s="36">
        <f t="shared" si="552"/>
        <v>6826.5</v>
      </c>
      <c r="H2484" s="36">
        <v>1861</v>
      </c>
      <c r="I2484" s="36">
        <v>3790</v>
      </c>
      <c r="J2484" s="36">
        <v>900</v>
      </c>
      <c r="K2484" s="36">
        <f t="shared" si="549"/>
        <v>13377.5</v>
      </c>
      <c r="L2484" s="36">
        <v>7500</v>
      </c>
      <c r="M2484" s="9">
        <f t="shared" si="550"/>
        <v>0.56064287049149697</v>
      </c>
      <c r="N2484" s="5">
        <v>1</v>
      </c>
      <c r="O2484" s="10">
        <f t="shared" si="551"/>
        <v>0.56064287049149697</v>
      </c>
    </row>
    <row r="2485" spans="2:15" ht="13.5" hidden="1" customHeight="1">
      <c r="B2485" s="33">
        <f t="shared" si="541"/>
        <v>118</v>
      </c>
      <c r="C2485" s="63" t="s">
        <v>361</v>
      </c>
      <c r="D2485" s="63" t="s">
        <v>892</v>
      </c>
      <c r="F2485" s="64" t="s">
        <v>31</v>
      </c>
      <c r="G2485" s="36">
        <f t="shared" si="552"/>
        <v>6826.5</v>
      </c>
      <c r="H2485" s="36">
        <v>1861</v>
      </c>
      <c r="I2485" s="36">
        <v>3790</v>
      </c>
      <c r="J2485" s="36">
        <v>900</v>
      </c>
      <c r="K2485" s="36">
        <f t="shared" si="549"/>
        <v>13377.5</v>
      </c>
      <c r="L2485" s="36">
        <v>7500</v>
      </c>
      <c r="M2485" s="9">
        <f t="shared" si="550"/>
        <v>0.56064287049149697</v>
      </c>
      <c r="N2485" s="5">
        <v>1</v>
      </c>
      <c r="O2485" s="10">
        <f t="shared" si="551"/>
        <v>0.56064287049149697</v>
      </c>
    </row>
    <row r="2486" spans="2:15" ht="13.5" hidden="1" customHeight="1">
      <c r="B2486" s="33">
        <f t="shared" si="541"/>
        <v>119</v>
      </c>
      <c r="C2486" s="63" t="s">
        <v>969</v>
      </c>
      <c r="D2486" s="63" t="s">
        <v>901</v>
      </c>
      <c r="F2486" s="64" t="s">
        <v>31</v>
      </c>
      <c r="G2486" s="36">
        <f>333*20</f>
        <v>6660</v>
      </c>
      <c r="H2486" s="36">
        <v>1861</v>
      </c>
      <c r="I2486" s="36">
        <v>3790</v>
      </c>
      <c r="J2486" s="36">
        <v>900</v>
      </c>
      <c r="K2486" s="36">
        <f t="shared" si="549"/>
        <v>13211</v>
      </c>
      <c r="L2486" s="36">
        <v>7500</v>
      </c>
      <c r="M2486" s="9">
        <f t="shared" si="550"/>
        <v>0.56770872757550528</v>
      </c>
      <c r="N2486" s="5">
        <v>1</v>
      </c>
      <c r="O2486" s="10">
        <f t="shared" si="551"/>
        <v>0.56770872757550528</v>
      </c>
    </row>
    <row r="2487" spans="2:15" ht="13.5" hidden="1" customHeight="1">
      <c r="B2487" s="33">
        <f t="shared" si="541"/>
        <v>120</v>
      </c>
      <c r="C2487" s="63" t="s">
        <v>969</v>
      </c>
      <c r="D2487" s="63" t="s">
        <v>902</v>
      </c>
      <c r="F2487" s="64" t="s">
        <v>31</v>
      </c>
      <c r="G2487" s="36">
        <f>333*20.5</f>
        <v>6826.5</v>
      </c>
      <c r="H2487" s="36">
        <v>1861</v>
      </c>
      <c r="I2487" s="36">
        <v>3790</v>
      </c>
      <c r="J2487" s="36">
        <v>900</v>
      </c>
      <c r="K2487" s="36">
        <f t="shared" si="549"/>
        <v>13377.5</v>
      </c>
      <c r="L2487" s="36">
        <v>7500</v>
      </c>
      <c r="M2487" s="9">
        <f t="shared" si="550"/>
        <v>0.56064287049149697</v>
      </c>
      <c r="N2487" s="5">
        <v>1</v>
      </c>
      <c r="O2487" s="10">
        <f t="shared" si="551"/>
        <v>0.56064287049149697</v>
      </c>
    </row>
    <row r="2488" spans="2:15" ht="13.5" hidden="1" customHeight="1">
      <c r="B2488" s="33">
        <f t="shared" si="541"/>
        <v>121</v>
      </c>
      <c r="C2488" s="62" t="s">
        <v>970</v>
      </c>
      <c r="D2488" s="62" t="s">
        <v>722</v>
      </c>
      <c r="F2488" s="61" t="s">
        <v>26</v>
      </c>
      <c r="G2488" s="36">
        <f>333*19</f>
        <v>6327</v>
      </c>
      <c r="H2488" s="36">
        <v>1861</v>
      </c>
      <c r="I2488" s="36">
        <v>3240</v>
      </c>
      <c r="J2488" s="36">
        <v>1800</v>
      </c>
      <c r="K2488" s="36">
        <f t="shared" si="549"/>
        <v>13228</v>
      </c>
      <c r="L2488" s="36">
        <v>7500</v>
      </c>
      <c r="M2488" s="9">
        <f t="shared" si="550"/>
        <v>0.56697913516782583</v>
      </c>
      <c r="N2488" s="5">
        <v>1</v>
      </c>
      <c r="O2488" s="10">
        <f t="shared" si="551"/>
        <v>0.56697913516782583</v>
      </c>
    </row>
    <row r="2489" spans="2:15" ht="13.5" hidden="1" customHeight="1">
      <c r="B2489" s="33">
        <f t="shared" si="541"/>
        <v>122</v>
      </c>
      <c r="C2489" s="62" t="s">
        <v>971</v>
      </c>
      <c r="D2489" s="62" t="s">
        <v>739</v>
      </c>
      <c r="F2489" s="61" t="s">
        <v>26</v>
      </c>
      <c r="G2489" s="36">
        <f>333*18</f>
        <v>5994</v>
      </c>
      <c r="H2489" s="36">
        <v>1861</v>
      </c>
      <c r="I2489" s="36">
        <v>3240</v>
      </c>
      <c r="J2489" s="36">
        <v>1800</v>
      </c>
      <c r="K2489" s="36">
        <f t="shared" si="549"/>
        <v>12895</v>
      </c>
      <c r="L2489" s="36">
        <v>7500</v>
      </c>
      <c r="M2489" s="9">
        <f t="shared" si="550"/>
        <v>0.58162078324932143</v>
      </c>
      <c r="N2489" s="5">
        <v>1</v>
      </c>
      <c r="O2489" s="10">
        <f t="shared" si="551"/>
        <v>0.58162078324932143</v>
      </c>
    </row>
    <row r="2490" spans="2:15" ht="13.5" hidden="1" customHeight="1">
      <c r="B2490" s="33">
        <f t="shared" si="541"/>
        <v>123</v>
      </c>
      <c r="C2490" s="62" t="s">
        <v>711</v>
      </c>
      <c r="D2490" s="62" t="s">
        <v>754</v>
      </c>
      <c r="F2490" s="61" t="s">
        <v>26</v>
      </c>
      <c r="G2490" s="36">
        <f>333*6</f>
        <v>1998</v>
      </c>
      <c r="H2490" s="36">
        <v>1861</v>
      </c>
      <c r="I2490" s="36">
        <v>3240</v>
      </c>
      <c r="J2490" s="36">
        <v>1800</v>
      </c>
      <c r="K2490" s="36">
        <f t="shared" si="549"/>
        <v>8899</v>
      </c>
      <c r="L2490" s="36">
        <v>7500</v>
      </c>
      <c r="M2490" s="9">
        <f t="shared" si="550"/>
        <v>0.84279132486796271</v>
      </c>
      <c r="N2490" s="5">
        <v>1</v>
      </c>
      <c r="O2490" s="10">
        <f t="shared" si="551"/>
        <v>0.84279132486796271</v>
      </c>
    </row>
    <row r="2491" spans="2:15" ht="13.5" hidden="1" customHeight="1">
      <c r="B2491" s="33">
        <f t="shared" si="541"/>
        <v>124</v>
      </c>
      <c r="C2491" s="62" t="s">
        <v>972</v>
      </c>
      <c r="D2491" s="62" t="s">
        <v>758</v>
      </c>
      <c r="F2491" s="61" t="s">
        <v>26</v>
      </c>
      <c r="G2491" s="36">
        <f>333*19</f>
        <v>6327</v>
      </c>
      <c r="H2491" s="36">
        <v>1861</v>
      </c>
      <c r="I2491" s="36">
        <v>3240</v>
      </c>
      <c r="J2491" s="36">
        <v>1800</v>
      </c>
      <c r="K2491" s="36">
        <f t="shared" si="549"/>
        <v>13228</v>
      </c>
      <c r="L2491" s="36">
        <v>7500</v>
      </c>
      <c r="M2491" s="9">
        <f t="shared" si="550"/>
        <v>0.56697913516782583</v>
      </c>
      <c r="N2491" s="5">
        <v>1</v>
      </c>
      <c r="O2491" s="10">
        <f t="shared" si="551"/>
        <v>0.56697913516782583</v>
      </c>
    </row>
    <row r="2492" spans="2:15" ht="13.5" hidden="1" customHeight="1">
      <c r="B2492" s="33">
        <f t="shared" si="541"/>
        <v>125</v>
      </c>
      <c r="C2492" s="62" t="s">
        <v>982</v>
      </c>
      <c r="D2492" s="62" t="s">
        <v>765</v>
      </c>
      <c r="F2492" s="61" t="s">
        <v>26</v>
      </c>
      <c r="G2492" s="36">
        <f t="shared" ref="G2492:G2510" si="553">333*19</f>
        <v>6327</v>
      </c>
      <c r="H2492" s="36">
        <v>1861</v>
      </c>
      <c r="I2492" s="36">
        <v>3240</v>
      </c>
      <c r="J2492" s="36">
        <v>1800</v>
      </c>
      <c r="K2492" s="36">
        <f t="shared" si="549"/>
        <v>13228</v>
      </c>
      <c r="L2492" s="36">
        <v>7500</v>
      </c>
      <c r="M2492" s="9">
        <f t="shared" si="550"/>
        <v>0.56697913516782583</v>
      </c>
      <c r="N2492" s="5">
        <v>1</v>
      </c>
      <c r="O2492" s="10">
        <f t="shared" si="551"/>
        <v>0.56697913516782583</v>
      </c>
    </row>
    <row r="2493" spans="2:15" ht="13.5" hidden="1" customHeight="1">
      <c r="B2493" s="33">
        <f t="shared" si="541"/>
        <v>126</v>
      </c>
      <c r="C2493" s="62" t="s">
        <v>108</v>
      </c>
      <c r="D2493" s="62" t="s">
        <v>781</v>
      </c>
      <c r="F2493" s="61" t="s">
        <v>26</v>
      </c>
      <c r="G2493" s="36">
        <f t="shared" si="553"/>
        <v>6327</v>
      </c>
      <c r="H2493" s="36">
        <v>1861</v>
      </c>
      <c r="I2493" s="36">
        <v>3240</v>
      </c>
      <c r="J2493" s="36">
        <v>1800</v>
      </c>
      <c r="K2493" s="36">
        <f t="shared" si="549"/>
        <v>13228</v>
      </c>
      <c r="L2493" s="36">
        <v>7500</v>
      </c>
      <c r="M2493" s="9">
        <f t="shared" si="550"/>
        <v>0.56697913516782583</v>
      </c>
      <c r="N2493" s="5">
        <v>1</v>
      </c>
      <c r="O2493" s="10">
        <f t="shared" si="551"/>
        <v>0.56697913516782583</v>
      </c>
    </row>
    <row r="2494" spans="2:15" ht="13.5" hidden="1" customHeight="1">
      <c r="B2494" s="33">
        <f t="shared" si="541"/>
        <v>127</v>
      </c>
      <c r="C2494" s="63" t="s">
        <v>346</v>
      </c>
      <c r="D2494" s="63" t="s">
        <v>790</v>
      </c>
      <c r="F2494" s="64" t="s">
        <v>26</v>
      </c>
      <c r="G2494" s="36">
        <f t="shared" si="553"/>
        <v>6327</v>
      </c>
      <c r="H2494" s="36">
        <v>1861</v>
      </c>
      <c r="I2494" s="36">
        <v>3240</v>
      </c>
      <c r="J2494" s="36">
        <v>1800</v>
      </c>
      <c r="K2494" s="36">
        <f t="shared" si="549"/>
        <v>13228</v>
      </c>
      <c r="L2494" s="36">
        <v>7500</v>
      </c>
      <c r="M2494" s="9">
        <f t="shared" si="550"/>
        <v>0.56697913516782583</v>
      </c>
      <c r="N2494" s="5">
        <v>1</v>
      </c>
      <c r="O2494" s="10">
        <f t="shared" si="551"/>
        <v>0.56697913516782583</v>
      </c>
    </row>
    <row r="2495" spans="2:15" ht="13.5" hidden="1" customHeight="1">
      <c r="B2495" s="33">
        <f t="shared" si="541"/>
        <v>128</v>
      </c>
      <c r="C2495" s="63" t="s">
        <v>110</v>
      </c>
      <c r="D2495" s="63" t="s">
        <v>797</v>
      </c>
      <c r="F2495" s="64" t="s">
        <v>26</v>
      </c>
      <c r="G2495" s="36">
        <f t="shared" si="553"/>
        <v>6327</v>
      </c>
      <c r="H2495" s="36">
        <v>1861</v>
      </c>
      <c r="I2495" s="36">
        <v>3240</v>
      </c>
      <c r="J2495" s="36">
        <v>1800</v>
      </c>
      <c r="K2495" s="36">
        <f t="shared" si="549"/>
        <v>13228</v>
      </c>
      <c r="L2495" s="36">
        <v>7500</v>
      </c>
      <c r="M2495" s="9">
        <f t="shared" si="550"/>
        <v>0.56697913516782583</v>
      </c>
      <c r="N2495" s="5">
        <v>1</v>
      </c>
      <c r="O2495" s="10">
        <f t="shared" si="551"/>
        <v>0.56697913516782583</v>
      </c>
    </row>
    <row r="2496" spans="2:15" ht="13.5" hidden="1" customHeight="1">
      <c r="B2496" s="33">
        <f t="shared" si="541"/>
        <v>129</v>
      </c>
      <c r="C2496" s="63" t="s">
        <v>242</v>
      </c>
      <c r="D2496" s="63" t="s">
        <v>817</v>
      </c>
      <c r="F2496" s="64" t="s">
        <v>26</v>
      </c>
      <c r="G2496" s="36">
        <f t="shared" si="553"/>
        <v>6327</v>
      </c>
      <c r="H2496" s="36">
        <v>1861</v>
      </c>
      <c r="I2496" s="36">
        <v>3240</v>
      </c>
      <c r="J2496" s="36">
        <v>1800</v>
      </c>
      <c r="K2496" s="36">
        <f t="shared" si="549"/>
        <v>13228</v>
      </c>
      <c r="L2496" s="36">
        <v>7500</v>
      </c>
      <c r="M2496" s="9">
        <f t="shared" si="550"/>
        <v>0.56697913516782583</v>
      </c>
      <c r="N2496" s="5">
        <v>1</v>
      </c>
      <c r="O2496" s="10">
        <f t="shared" si="551"/>
        <v>0.56697913516782583</v>
      </c>
    </row>
    <row r="2497" spans="2:15" ht="13.5" hidden="1" customHeight="1">
      <c r="B2497" s="33">
        <f t="shared" si="541"/>
        <v>130</v>
      </c>
      <c r="C2497" s="63" t="s">
        <v>973</v>
      </c>
      <c r="D2497" s="63" t="s">
        <v>840</v>
      </c>
      <c r="F2497" s="64" t="s">
        <v>26</v>
      </c>
      <c r="G2497" s="36">
        <f t="shared" si="553"/>
        <v>6327</v>
      </c>
      <c r="H2497" s="36">
        <v>1861</v>
      </c>
      <c r="I2497" s="36">
        <v>3240</v>
      </c>
      <c r="J2497" s="36">
        <v>1800</v>
      </c>
      <c r="K2497" s="36">
        <f t="shared" si="549"/>
        <v>13228</v>
      </c>
      <c r="L2497" s="36">
        <v>7500</v>
      </c>
      <c r="M2497" s="9">
        <f t="shared" si="550"/>
        <v>0.56697913516782583</v>
      </c>
      <c r="N2497" s="5">
        <v>1</v>
      </c>
      <c r="O2497" s="10">
        <f t="shared" si="551"/>
        <v>0.56697913516782583</v>
      </c>
    </row>
    <row r="2498" spans="2:15" ht="13.5" hidden="1" customHeight="1">
      <c r="B2498" s="33">
        <f t="shared" ref="B2498:B2556" si="554">+B2497+1</f>
        <v>131</v>
      </c>
      <c r="C2498" s="63" t="s">
        <v>64</v>
      </c>
      <c r="D2498" s="63" t="s">
        <v>842</v>
      </c>
      <c r="F2498" s="64" t="s">
        <v>26</v>
      </c>
      <c r="G2498" s="36">
        <f t="shared" si="553"/>
        <v>6327</v>
      </c>
      <c r="H2498" s="36">
        <v>1861</v>
      </c>
      <c r="I2498" s="36">
        <v>3240</v>
      </c>
      <c r="J2498" s="36">
        <v>1800</v>
      </c>
      <c r="K2498" s="36">
        <f t="shared" si="549"/>
        <v>13228</v>
      </c>
      <c r="L2498" s="36">
        <v>7500</v>
      </c>
      <c r="M2498" s="9">
        <f t="shared" si="550"/>
        <v>0.56697913516782583</v>
      </c>
      <c r="N2498" s="5">
        <v>1</v>
      </c>
      <c r="O2498" s="10">
        <f t="shared" si="551"/>
        <v>0.56697913516782583</v>
      </c>
    </row>
    <row r="2499" spans="2:15" ht="13.5" hidden="1" customHeight="1">
      <c r="B2499" s="33">
        <f t="shared" si="554"/>
        <v>132</v>
      </c>
      <c r="C2499" s="63" t="s">
        <v>974</v>
      </c>
      <c r="D2499" s="63" t="s">
        <v>845</v>
      </c>
      <c r="F2499" s="64" t="s">
        <v>26</v>
      </c>
      <c r="G2499" s="36">
        <f t="shared" si="553"/>
        <v>6327</v>
      </c>
      <c r="H2499" s="36">
        <v>1861</v>
      </c>
      <c r="I2499" s="36">
        <v>3240</v>
      </c>
      <c r="J2499" s="36">
        <v>1800</v>
      </c>
      <c r="K2499" s="36">
        <f t="shared" si="549"/>
        <v>13228</v>
      </c>
      <c r="L2499" s="36">
        <v>7500</v>
      </c>
      <c r="M2499" s="9">
        <f t="shared" si="550"/>
        <v>0.56697913516782583</v>
      </c>
      <c r="N2499" s="5">
        <v>1</v>
      </c>
      <c r="O2499" s="10">
        <f t="shared" si="551"/>
        <v>0.56697913516782583</v>
      </c>
    </row>
    <row r="2500" spans="2:15" ht="13.5" hidden="1" customHeight="1">
      <c r="B2500" s="33">
        <f t="shared" si="554"/>
        <v>133</v>
      </c>
      <c r="C2500" s="63" t="s">
        <v>975</v>
      </c>
      <c r="D2500" s="63" t="s">
        <v>846</v>
      </c>
      <c r="F2500" s="64" t="s">
        <v>26</v>
      </c>
      <c r="G2500" s="36">
        <f t="shared" si="553"/>
        <v>6327</v>
      </c>
      <c r="H2500" s="36">
        <v>1861</v>
      </c>
      <c r="I2500" s="36">
        <v>3240</v>
      </c>
      <c r="J2500" s="36">
        <v>1800</v>
      </c>
      <c r="K2500" s="36">
        <f t="shared" si="549"/>
        <v>13228</v>
      </c>
      <c r="L2500" s="36">
        <v>7500</v>
      </c>
      <c r="M2500" s="9">
        <f t="shared" si="550"/>
        <v>0.56697913516782583</v>
      </c>
      <c r="N2500" s="5">
        <v>1</v>
      </c>
      <c r="O2500" s="10">
        <f t="shared" si="551"/>
        <v>0.56697913516782583</v>
      </c>
    </row>
    <row r="2501" spans="2:15" ht="13.5" hidden="1" customHeight="1">
      <c r="B2501" s="33">
        <f t="shared" si="554"/>
        <v>134</v>
      </c>
      <c r="C2501" s="63" t="s">
        <v>976</v>
      </c>
      <c r="D2501" s="63" t="s">
        <v>848</v>
      </c>
      <c r="F2501" s="64" t="s">
        <v>26</v>
      </c>
      <c r="G2501" s="36">
        <f>333*15.5</f>
        <v>5161.5</v>
      </c>
      <c r="H2501" s="36">
        <v>1861</v>
      </c>
      <c r="I2501" s="36">
        <v>3240</v>
      </c>
      <c r="J2501" s="36">
        <v>1800</v>
      </c>
      <c r="K2501" s="36">
        <f t="shared" si="549"/>
        <v>12062.5</v>
      </c>
      <c r="L2501" s="36">
        <v>7500</v>
      </c>
      <c r="M2501" s="9">
        <f t="shared" si="550"/>
        <v>0.62176165803108807</v>
      </c>
      <c r="N2501" s="5">
        <v>1</v>
      </c>
      <c r="O2501" s="10">
        <f t="shared" si="551"/>
        <v>0.62176165803108807</v>
      </c>
    </row>
    <row r="2502" spans="2:15" ht="13.5" hidden="1" customHeight="1">
      <c r="B2502" s="33">
        <f t="shared" si="554"/>
        <v>135</v>
      </c>
      <c r="C2502" s="63" t="s">
        <v>170</v>
      </c>
      <c r="D2502" s="63" t="s">
        <v>850</v>
      </c>
      <c r="F2502" s="64" t="s">
        <v>26</v>
      </c>
      <c r="G2502" s="36">
        <f t="shared" si="553"/>
        <v>6327</v>
      </c>
      <c r="H2502" s="36">
        <v>1861</v>
      </c>
      <c r="I2502" s="36">
        <v>3240</v>
      </c>
      <c r="J2502" s="36">
        <v>1800</v>
      </c>
      <c r="K2502" s="36">
        <f t="shared" si="549"/>
        <v>13228</v>
      </c>
      <c r="L2502" s="36">
        <v>7500</v>
      </c>
      <c r="M2502" s="9">
        <f t="shared" si="550"/>
        <v>0.56697913516782583</v>
      </c>
      <c r="N2502" s="5">
        <v>1</v>
      </c>
      <c r="O2502" s="10">
        <f t="shared" si="551"/>
        <v>0.56697913516782583</v>
      </c>
    </row>
    <row r="2503" spans="2:15" ht="13.5" hidden="1" customHeight="1">
      <c r="B2503" s="33">
        <f t="shared" si="554"/>
        <v>136</v>
      </c>
      <c r="C2503" s="63" t="s">
        <v>170</v>
      </c>
      <c r="D2503" s="63" t="s">
        <v>851</v>
      </c>
      <c r="F2503" s="64" t="s">
        <v>26</v>
      </c>
      <c r="G2503" s="36">
        <f t="shared" si="553"/>
        <v>6327</v>
      </c>
      <c r="H2503" s="36">
        <v>1861</v>
      </c>
      <c r="I2503" s="36">
        <v>3240</v>
      </c>
      <c r="J2503" s="36">
        <v>1800</v>
      </c>
      <c r="K2503" s="36">
        <f t="shared" si="549"/>
        <v>13228</v>
      </c>
      <c r="L2503" s="36">
        <v>7500</v>
      </c>
      <c r="M2503" s="9">
        <f t="shared" si="550"/>
        <v>0.56697913516782583</v>
      </c>
      <c r="N2503" s="5">
        <v>1</v>
      </c>
      <c r="O2503" s="10">
        <f t="shared" si="551"/>
        <v>0.56697913516782583</v>
      </c>
    </row>
    <row r="2504" spans="2:15" ht="13.5" hidden="1" customHeight="1">
      <c r="B2504" s="33">
        <f t="shared" si="554"/>
        <v>137</v>
      </c>
      <c r="C2504" s="63" t="s">
        <v>97</v>
      </c>
      <c r="D2504" s="63" t="s">
        <v>852</v>
      </c>
      <c r="F2504" s="64" t="s">
        <v>26</v>
      </c>
      <c r="G2504" s="36">
        <f t="shared" si="553"/>
        <v>6327</v>
      </c>
      <c r="H2504" s="36">
        <v>1861</v>
      </c>
      <c r="I2504" s="36">
        <v>3240</v>
      </c>
      <c r="J2504" s="36">
        <v>1800</v>
      </c>
      <c r="K2504" s="36">
        <f t="shared" si="549"/>
        <v>13228</v>
      </c>
      <c r="L2504" s="36">
        <v>7500</v>
      </c>
      <c r="M2504" s="9">
        <f t="shared" si="550"/>
        <v>0.56697913516782583</v>
      </c>
      <c r="N2504" s="5">
        <v>1</v>
      </c>
      <c r="O2504" s="10">
        <f t="shared" si="551"/>
        <v>0.56697913516782583</v>
      </c>
    </row>
    <row r="2505" spans="2:15" ht="13.5" hidden="1" customHeight="1">
      <c r="B2505" s="33">
        <f t="shared" si="554"/>
        <v>138</v>
      </c>
      <c r="C2505" s="63" t="s">
        <v>171</v>
      </c>
      <c r="D2505" s="63" t="s">
        <v>854</v>
      </c>
      <c r="F2505" s="64" t="s">
        <v>26</v>
      </c>
      <c r="G2505" s="36">
        <f t="shared" si="553"/>
        <v>6327</v>
      </c>
      <c r="H2505" s="36">
        <v>1861</v>
      </c>
      <c r="I2505" s="36">
        <v>3240</v>
      </c>
      <c r="J2505" s="36">
        <v>1800</v>
      </c>
      <c r="K2505" s="36">
        <f t="shared" si="549"/>
        <v>13228</v>
      </c>
      <c r="L2505" s="36">
        <v>7500</v>
      </c>
      <c r="M2505" s="9">
        <f t="shared" si="550"/>
        <v>0.56697913516782583</v>
      </c>
      <c r="N2505" s="5">
        <v>1</v>
      </c>
      <c r="O2505" s="10">
        <f t="shared" si="551"/>
        <v>0.56697913516782583</v>
      </c>
    </row>
    <row r="2506" spans="2:15" ht="13.5" hidden="1" customHeight="1">
      <c r="B2506" s="33">
        <f t="shared" si="554"/>
        <v>139</v>
      </c>
      <c r="C2506" s="63" t="s">
        <v>977</v>
      </c>
      <c r="D2506" s="63" t="s">
        <v>859</v>
      </c>
      <c r="F2506" s="64" t="s">
        <v>26</v>
      </c>
      <c r="G2506" s="36">
        <f t="shared" si="553"/>
        <v>6327</v>
      </c>
      <c r="H2506" s="36">
        <v>1861</v>
      </c>
      <c r="I2506" s="36">
        <v>3240</v>
      </c>
      <c r="J2506" s="36">
        <v>1800</v>
      </c>
      <c r="K2506" s="36">
        <f t="shared" si="549"/>
        <v>13228</v>
      </c>
      <c r="L2506" s="36">
        <v>7500</v>
      </c>
      <c r="M2506" s="9">
        <f t="shared" si="550"/>
        <v>0.56697913516782583</v>
      </c>
      <c r="N2506" s="5">
        <v>1</v>
      </c>
      <c r="O2506" s="10">
        <f t="shared" si="551"/>
        <v>0.56697913516782583</v>
      </c>
    </row>
    <row r="2507" spans="2:15" ht="13.5" hidden="1" customHeight="1">
      <c r="B2507" s="33">
        <f t="shared" si="554"/>
        <v>140</v>
      </c>
      <c r="C2507" s="63" t="s">
        <v>69</v>
      </c>
      <c r="D2507" s="63" t="s">
        <v>869</v>
      </c>
      <c r="F2507" s="64" t="s">
        <v>26</v>
      </c>
      <c r="G2507" s="36">
        <f t="shared" si="553"/>
        <v>6327</v>
      </c>
      <c r="H2507" s="36">
        <v>1861</v>
      </c>
      <c r="I2507" s="36">
        <v>3240</v>
      </c>
      <c r="J2507" s="36">
        <v>1800</v>
      </c>
      <c r="K2507" s="36">
        <f t="shared" si="549"/>
        <v>13228</v>
      </c>
      <c r="L2507" s="36">
        <v>7500</v>
      </c>
      <c r="M2507" s="9">
        <f t="shared" si="550"/>
        <v>0.56697913516782583</v>
      </c>
      <c r="N2507" s="5">
        <v>1</v>
      </c>
      <c r="O2507" s="10">
        <f t="shared" si="551"/>
        <v>0.56697913516782583</v>
      </c>
    </row>
    <row r="2508" spans="2:15" ht="13.5" hidden="1" customHeight="1">
      <c r="B2508" s="33">
        <f t="shared" si="554"/>
        <v>141</v>
      </c>
      <c r="C2508" s="63" t="s">
        <v>978</v>
      </c>
      <c r="D2508" s="63" t="s">
        <v>877</v>
      </c>
      <c r="F2508" s="64" t="s">
        <v>26</v>
      </c>
      <c r="G2508" s="36">
        <f t="shared" si="553"/>
        <v>6327</v>
      </c>
      <c r="H2508" s="36">
        <v>1861</v>
      </c>
      <c r="I2508" s="36">
        <v>3240</v>
      </c>
      <c r="J2508" s="36">
        <v>1800</v>
      </c>
      <c r="K2508" s="36">
        <f t="shared" si="549"/>
        <v>13228</v>
      </c>
      <c r="L2508" s="36">
        <v>7500</v>
      </c>
      <c r="M2508" s="9">
        <f t="shared" si="550"/>
        <v>0.56697913516782583</v>
      </c>
      <c r="N2508" s="5">
        <v>1</v>
      </c>
      <c r="O2508" s="10">
        <f t="shared" si="551"/>
        <v>0.56697913516782583</v>
      </c>
    </row>
    <row r="2509" spans="2:15" ht="13.5" hidden="1" customHeight="1">
      <c r="B2509" s="33">
        <f t="shared" si="554"/>
        <v>142</v>
      </c>
      <c r="C2509" s="63" t="s">
        <v>979</v>
      </c>
      <c r="D2509" s="63" t="s">
        <v>882</v>
      </c>
      <c r="F2509" s="64" t="s">
        <v>26</v>
      </c>
      <c r="G2509" s="36">
        <f t="shared" si="553"/>
        <v>6327</v>
      </c>
      <c r="H2509" s="36">
        <v>1861</v>
      </c>
      <c r="I2509" s="36">
        <v>3240</v>
      </c>
      <c r="J2509" s="36">
        <v>1800</v>
      </c>
      <c r="K2509" s="36">
        <f t="shared" si="549"/>
        <v>13228</v>
      </c>
      <c r="L2509" s="36">
        <v>7500</v>
      </c>
      <c r="M2509" s="9">
        <f t="shared" si="550"/>
        <v>0.56697913516782583</v>
      </c>
      <c r="N2509" s="5">
        <v>1</v>
      </c>
      <c r="O2509" s="10">
        <f t="shared" si="551"/>
        <v>0.56697913516782583</v>
      </c>
    </row>
    <row r="2510" spans="2:15" ht="13.5" hidden="1" customHeight="1">
      <c r="B2510" s="33">
        <f t="shared" si="554"/>
        <v>143</v>
      </c>
      <c r="C2510" s="63" t="s">
        <v>980</v>
      </c>
      <c r="D2510" s="63" t="s">
        <v>893</v>
      </c>
      <c r="F2510" s="64" t="s">
        <v>26</v>
      </c>
      <c r="G2510" s="36">
        <f t="shared" si="553"/>
        <v>6327</v>
      </c>
      <c r="H2510" s="36">
        <v>1861</v>
      </c>
      <c r="I2510" s="36">
        <v>3240</v>
      </c>
      <c r="J2510" s="36">
        <v>1800</v>
      </c>
      <c r="K2510" s="36">
        <f t="shared" si="549"/>
        <v>13228</v>
      </c>
      <c r="L2510" s="36">
        <v>7500</v>
      </c>
      <c r="M2510" s="9">
        <f t="shared" si="550"/>
        <v>0.56697913516782583</v>
      </c>
      <c r="N2510" s="5">
        <v>1</v>
      </c>
      <c r="O2510" s="10">
        <f t="shared" si="551"/>
        <v>0.56697913516782583</v>
      </c>
    </row>
    <row r="2511" spans="2:15" ht="13.5" hidden="1" customHeight="1">
      <c r="B2511" s="33">
        <f t="shared" si="554"/>
        <v>144</v>
      </c>
      <c r="C2511" s="63" t="s">
        <v>981</v>
      </c>
      <c r="D2511" s="63" t="s">
        <v>895</v>
      </c>
      <c r="F2511" s="64" t="s">
        <v>26</v>
      </c>
      <c r="G2511" s="36">
        <f>333*20.5</f>
        <v>6826.5</v>
      </c>
      <c r="H2511" s="36">
        <v>1861</v>
      </c>
      <c r="I2511" s="36">
        <v>3240</v>
      </c>
      <c r="J2511" s="36">
        <v>1800</v>
      </c>
      <c r="K2511" s="36">
        <f t="shared" si="549"/>
        <v>13727.5</v>
      </c>
      <c r="L2511" s="36">
        <v>7500</v>
      </c>
      <c r="M2511" s="9">
        <f t="shared" si="550"/>
        <v>0.54634857038790752</v>
      </c>
      <c r="N2511" s="5">
        <v>1</v>
      </c>
      <c r="O2511" s="10">
        <f t="shared" si="551"/>
        <v>0.54634857038790752</v>
      </c>
    </row>
    <row r="2512" spans="2:15" ht="13.5" hidden="1" customHeight="1">
      <c r="B2512" s="33">
        <f t="shared" si="554"/>
        <v>145</v>
      </c>
      <c r="C2512" s="62" t="s">
        <v>983</v>
      </c>
      <c r="D2512" s="62" t="s">
        <v>737</v>
      </c>
      <c r="F2512" s="61" t="s">
        <v>32</v>
      </c>
      <c r="G2512" s="36">
        <f>300*17</f>
        <v>5100</v>
      </c>
      <c r="H2512" s="36">
        <v>1861</v>
      </c>
      <c r="I2512" s="36">
        <v>3240</v>
      </c>
      <c r="J2512" s="36">
        <v>900</v>
      </c>
      <c r="K2512" s="36">
        <f t="shared" si="549"/>
        <v>11101</v>
      </c>
      <c r="L2512" s="36">
        <v>7500</v>
      </c>
      <c r="M2512" s="9">
        <f t="shared" si="550"/>
        <v>0.67561480947662378</v>
      </c>
      <c r="N2512" s="5">
        <v>1</v>
      </c>
      <c r="O2512" s="10">
        <f t="shared" si="551"/>
        <v>0.67561480947662378</v>
      </c>
    </row>
    <row r="2513" spans="2:15" ht="13.5" hidden="1" customHeight="1">
      <c r="B2513" s="33">
        <f t="shared" si="554"/>
        <v>146</v>
      </c>
      <c r="C2513" s="62" t="s">
        <v>983</v>
      </c>
      <c r="D2513" s="62" t="s">
        <v>738</v>
      </c>
      <c r="F2513" s="61" t="s">
        <v>32</v>
      </c>
      <c r="G2513" s="36">
        <f t="shared" ref="G2513:G2527" si="555">300*17</f>
        <v>5100</v>
      </c>
      <c r="H2513" s="36">
        <v>1861</v>
      </c>
      <c r="I2513" s="36">
        <v>3240</v>
      </c>
      <c r="J2513" s="36">
        <v>900</v>
      </c>
      <c r="K2513" s="36">
        <f t="shared" si="549"/>
        <v>11101</v>
      </c>
      <c r="L2513" s="36">
        <v>7500</v>
      </c>
      <c r="M2513" s="9">
        <f t="shared" si="550"/>
        <v>0.67561480947662378</v>
      </c>
      <c r="N2513" s="5">
        <v>1</v>
      </c>
      <c r="O2513" s="10">
        <f t="shared" si="551"/>
        <v>0.67561480947662378</v>
      </c>
    </row>
    <row r="2514" spans="2:15" ht="13.5" hidden="1" customHeight="1">
      <c r="B2514" s="33">
        <f t="shared" si="554"/>
        <v>147</v>
      </c>
      <c r="C2514" s="62" t="s">
        <v>226</v>
      </c>
      <c r="D2514" s="62" t="s">
        <v>742</v>
      </c>
      <c r="F2514" s="61" t="s">
        <v>32</v>
      </c>
      <c r="G2514" s="36">
        <f t="shared" si="555"/>
        <v>5100</v>
      </c>
      <c r="H2514" s="36">
        <v>1861</v>
      </c>
      <c r="I2514" s="36">
        <v>3240</v>
      </c>
      <c r="J2514" s="36">
        <v>900</v>
      </c>
      <c r="K2514" s="36">
        <f t="shared" si="549"/>
        <v>11101</v>
      </c>
      <c r="L2514" s="36">
        <v>7500</v>
      </c>
      <c r="M2514" s="9">
        <f t="shared" si="550"/>
        <v>0.67561480947662378</v>
      </c>
      <c r="N2514" s="5">
        <v>1</v>
      </c>
      <c r="O2514" s="10">
        <f t="shared" si="551"/>
        <v>0.67561480947662378</v>
      </c>
    </row>
    <row r="2515" spans="2:15" ht="13.5" hidden="1" customHeight="1">
      <c r="B2515" s="33">
        <f t="shared" si="554"/>
        <v>148</v>
      </c>
      <c r="C2515" s="62" t="s">
        <v>50</v>
      </c>
      <c r="D2515" s="62" t="s">
        <v>748</v>
      </c>
      <c r="F2515" s="61" t="s">
        <v>32</v>
      </c>
      <c r="G2515" s="36">
        <f t="shared" si="555"/>
        <v>5100</v>
      </c>
      <c r="H2515" s="36">
        <v>1861</v>
      </c>
      <c r="I2515" s="36">
        <v>3240</v>
      </c>
      <c r="J2515" s="36">
        <v>900</v>
      </c>
      <c r="K2515" s="36">
        <f t="shared" si="549"/>
        <v>11101</v>
      </c>
      <c r="L2515" s="36">
        <v>7500</v>
      </c>
      <c r="M2515" s="9">
        <f t="shared" si="550"/>
        <v>0.67561480947662378</v>
      </c>
      <c r="N2515" s="5">
        <v>1</v>
      </c>
      <c r="O2515" s="10">
        <f t="shared" si="551"/>
        <v>0.67561480947662378</v>
      </c>
    </row>
    <row r="2516" spans="2:15" ht="13.5" hidden="1" customHeight="1">
      <c r="B2516" s="33">
        <f t="shared" si="554"/>
        <v>149</v>
      </c>
      <c r="C2516" s="62" t="s">
        <v>934</v>
      </c>
      <c r="D2516" s="62" t="s">
        <v>749</v>
      </c>
      <c r="F2516" s="61" t="s">
        <v>32</v>
      </c>
      <c r="G2516" s="36">
        <f t="shared" si="555"/>
        <v>5100</v>
      </c>
      <c r="H2516" s="36">
        <v>1861</v>
      </c>
      <c r="I2516" s="36">
        <v>3240</v>
      </c>
      <c r="J2516" s="36">
        <v>900</v>
      </c>
      <c r="K2516" s="36">
        <f t="shared" si="549"/>
        <v>11101</v>
      </c>
      <c r="L2516" s="36">
        <v>7500</v>
      </c>
      <c r="M2516" s="9">
        <f t="shared" si="550"/>
        <v>0.67561480947662378</v>
      </c>
      <c r="N2516" s="5">
        <v>1</v>
      </c>
      <c r="O2516" s="10">
        <f t="shared" si="551"/>
        <v>0.67561480947662378</v>
      </c>
    </row>
    <row r="2517" spans="2:15" ht="13.5" hidden="1" customHeight="1">
      <c r="B2517" s="33">
        <f t="shared" si="554"/>
        <v>150</v>
      </c>
      <c r="C2517" s="62" t="s">
        <v>133</v>
      </c>
      <c r="D2517" s="62" t="s">
        <v>499</v>
      </c>
      <c r="F2517" s="61" t="s">
        <v>32</v>
      </c>
      <c r="G2517" s="36">
        <f t="shared" si="555"/>
        <v>5100</v>
      </c>
      <c r="H2517" s="36">
        <v>1861</v>
      </c>
      <c r="I2517" s="36">
        <v>3240</v>
      </c>
      <c r="J2517" s="36">
        <v>900</v>
      </c>
      <c r="K2517" s="36">
        <f t="shared" si="549"/>
        <v>11101</v>
      </c>
      <c r="L2517" s="36">
        <v>7500</v>
      </c>
      <c r="M2517" s="9">
        <f t="shared" si="550"/>
        <v>0.67561480947662378</v>
      </c>
      <c r="N2517" s="5">
        <v>1</v>
      </c>
      <c r="O2517" s="10">
        <f t="shared" si="551"/>
        <v>0.67561480947662378</v>
      </c>
    </row>
    <row r="2518" spans="2:15" ht="13.5" hidden="1" customHeight="1">
      <c r="B2518" s="33">
        <f t="shared" si="554"/>
        <v>151</v>
      </c>
      <c r="C2518" s="62" t="s">
        <v>77</v>
      </c>
      <c r="D2518" s="62" t="s">
        <v>764</v>
      </c>
      <c r="F2518" s="61" t="s">
        <v>32</v>
      </c>
      <c r="G2518" s="36">
        <f t="shared" si="555"/>
        <v>5100</v>
      </c>
      <c r="H2518" s="36">
        <v>1861</v>
      </c>
      <c r="I2518" s="36">
        <v>3240</v>
      </c>
      <c r="J2518" s="36">
        <v>900</v>
      </c>
      <c r="K2518" s="36">
        <f t="shared" si="549"/>
        <v>11101</v>
      </c>
      <c r="L2518" s="36">
        <v>7500</v>
      </c>
      <c r="M2518" s="9">
        <f t="shared" si="550"/>
        <v>0.67561480947662378</v>
      </c>
      <c r="N2518" s="5">
        <v>1</v>
      </c>
      <c r="O2518" s="10">
        <f t="shared" si="551"/>
        <v>0.67561480947662378</v>
      </c>
    </row>
    <row r="2519" spans="2:15" ht="13.5" hidden="1" customHeight="1">
      <c r="B2519" s="33">
        <f t="shared" si="554"/>
        <v>152</v>
      </c>
      <c r="C2519" s="62" t="s">
        <v>984</v>
      </c>
      <c r="D2519" s="62" t="s">
        <v>767</v>
      </c>
      <c r="F2519" s="61" t="s">
        <v>32</v>
      </c>
      <c r="G2519" s="36">
        <f t="shared" si="555"/>
        <v>5100</v>
      </c>
      <c r="H2519" s="36">
        <v>1861</v>
      </c>
      <c r="I2519" s="36">
        <v>3240</v>
      </c>
      <c r="J2519" s="36">
        <v>900</v>
      </c>
      <c r="K2519" s="36">
        <f t="shared" si="549"/>
        <v>11101</v>
      </c>
      <c r="L2519" s="36">
        <v>7500</v>
      </c>
      <c r="M2519" s="9">
        <f t="shared" si="550"/>
        <v>0.67561480947662378</v>
      </c>
      <c r="N2519" s="5">
        <v>1</v>
      </c>
      <c r="O2519" s="10">
        <f t="shared" si="551"/>
        <v>0.67561480947662378</v>
      </c>
    </row>
    <row r="2520" spans="2:15" ht="13.5" hidden="1" customHeight="1">
      <c r="B2520" s="33">
        <f t="shared" si="554"/>
        <v>153</v>
      </c>
      <c r="C2520" s="62" t="s">
        <v>103</v>
      </c>
      <c r="D2520" s="62" t="s">
        <v>769</v>
      </c>
      <c r="F2520" s="61" t="s">
        <v>32</v>
      </c>
      <c r="G2520" s="36">
        <f t="shared" si="555"/>
        <v>5100</v>
      </c>
      <c r="H2520" s="36">
        <v>1861</v>
      </c>
      <c r="I2520" s="36">
        <v>3240</v>
      </c>
      <c r="J2520" s="36">
        <v>900</v>
      </c>
      <c r="K2520" s="36">
        <f t="shared" si="549"/>
        <v>11101</v>
      </c>
      <c r="L2520" s="36">
        <v>7500</v>
      </c>
      <c r="M2520" s="9">
        <f t="shared" si="550"/>
        <v>0.67561480947662378</v>
      </c>
      <c r="N2520" s="5">
        <v>1</v>
      </c>
      <c r="O2520" s="10">
        <f t="shared" si="551"/>
        <v>0.67561480947662378</v>
      </c>
    </row>
    <row r="2521" spans="2:15" ht="13.5" hidden="1" customHeight="1">
      <c r="B2521" s="33">
        <f t="shared" si="554"/>
        <v>154</v>
      </c>
      <c r="C2521" s="62" t="s">
        <v>985</v>
      </c>
      <c r="D2521" s="62" t="s">
        <v>779</v>
      </c>
      <c r="F2521" s="61" t="s">
        <v>32</v>
      </c>
      <c r="G2521" s="36">
        <f t="shared" si="555"/>
        <v>5100</v>
      </c>
      <c r="H2521" s="36">
        <v>1861</v>
      </c>
      <c r="I2521" s="36">
        <v>3240</v>
      </c>
      <c r="J2521" s="36">
        <v>900</v>
      </c>
      <c r="K2521" s="36">
        <f t="shared" si="549"/>
        <v>11101</v>
      </c>
      <c r="L2521" s="36">
        <v>7500</v>
      </c>
      <c r="M2521" s="9">
        <f t="shared" si="550"/>
        <v>0.67561480947662378</v>
      </c>
      <c r="N2521" s="5">
        <v>1</v>
      </c>
      <c r="O2521" s="10">
        <f t="shared" si="551"/>
        <v>0.67561480947662378</v>
      </c>
    </row>
    <row r="2522" spans="2:15" ht="13.5" hidden="1" customHeight="1">
      <c r="B2522" s="33">
        <f t="shared" si="554"/>
        <v>155</v>
      </c>
      <c r="C2522" s="63" t="s">
        <v>83</v>
      </c>
      <c r="D2522" s="63" t="s">
        <v>814</v>
      </c>
      <c r="F2522" s="64" t="s">
        <v>32</v>
      </c>
      <c r="G2522" s="36">
        <f t="shared" si="555"/>
        <v>5100</v>
      </c>
      <c r="H2522" s="36">
        <v>1861</v>
      </c>
      <c r="I2522" s="36">
        <v>3240</v>
      </c>
      <c r="J2522" s="36">
        <v>900</v>
      </c>
      <c r="K2522" s="36">
        <f t="shared" si="549"/>
        <v>11101</v>
      </c>
      <c r="L2522" s="36">
        <v>7500</v>
      </c>
      <c r="M2522" s="9">
        <f t="shared" si="550"/>
        <v>0.67561480947662378</v>
      </c>
      <c r="N2522" s="5">
        <v>1</v>
      </c>
      <c r="O2522" s="10">
        <f t="shared" si="551"/>
        <v>0.67561480947662378</v>
      </c>
    </row>
    <row r="2523" spans="2:15" ht="13.5" hidden="1" customHeight="1">
      <c r="B2523" s="33">
        <f t="shared" si="554"/>
        <v>156</v>
      </c>
      <c r="C2523" s="63" t="s">
        <v>986</v>
      </c>
      <c r="D2523" s="63" t="s">
        <v>831</v>
      </c>
      <c r="F2523" s="64" t="s">
        <v>32</v>
      </c>
      <c r="G2523" s="36">
        <f t="shared" si="555"/>
        <v>5100</v>
      </c>
      <c r="H2523" s="36">
        <v>1861</v>
      </c>
      <c r="I2523" s="36">
        <v>3240</v>
      </c>
      <c r="J2523" s="36">
        <v>900</v>
      </c>
      <c r="K2523" s="36">
        <f t="shared" si="549"/>
        <v>11101</v>
      </c>
      <c r="L2523" s="36">
        <v>7500</v>
      </c>
      <c r="M2523" s="9">
        <f t="shared" si="550"/>
        <v>0.67561480947662378</v>
      </c>
      <c r="N2523" s="5">
        <v>1</v>
      </c>
      <c r="O2523" s="10">
        <f t="shared" si="551"/>
        <v>0.67561480947662378</v>
      </c>
    </row>
    <row r="2524" spans="2:15" ht="13.5" hidden="1" customHeight="1">
      <c r="B2524" s="33">
        <f t="shared" si="554"/>
        <v>157</v>
      </c>
      <c r="C2524" s="63" t="s">
        <v>86</v>
      </c>
      <c r="D2524" s="63" t="s">
        <v>834</v>
      </c>
      <c r="F2524" s="64" t="s">
        <v>32</v>
      </c>
      <c r="G2524" s="36">
        <f t="shared" si="555"/>
        <v>5100</v>
      </c>
      <c r="H2524" s="36">
        <v>1861</v>
      </c>
      <c r="I2524" s="36">
        <v>3240</v>
      </c>
      <c r="J2524" s="36">
        <v>900</v>
      </c>
      <c r="K2524" s="36">
        <f t="shared" si="549"/>
        <v>11101</v>
      </c>
      <c r="L2524" s="36">
        <v>7500</v>
      </c>
      <c r="M2524" s="9">
        <f t="shared" si="550"/>
        <v>0.67561480947662378</v>
      </c>
      <c r="N2524" s="5">
        <v>1</v>
      </c>
      <c r="O2524" s="10">
        <f t="shared" si="551"/>
        <v>0.67561480947662378</v>
      </c>
    </row>
    <row r="2525" spans="2:15" ht="13.5" hidden="1" customHeight="1">
      <c r="B2525" s="33">
        <f t="shared" si="554"/>
        <v>158</v>
      </c>
      <c r="C2525" s="63" t="s">
        <v>115</v>
      </c>
      <c r="D2525" s="63" t="s">
        <v>839</v>
      </c>
      <c r="F2525" s="64" t="s">
        <v>32</v>
      </c>
      <c r="G2525" s="36">
        <f t="shared" si="555"/>
        <v>5100</v>
      </c>
      <c r="H2525" s="36">
        <v>1861</v>
      </c>
      <c r="I2525" s="36">
        <v>3240</v>
      </c>
      <c r="J2525" s="36">
        <v>900</v>
      </c>
      <c r="K2525" s="36">
        <f t="shared" si="549"/>
        <v>11101</v>
      </c>
      <c r="L2525" s="36">
        <v>7500</v>
      </c>
      <c r="M2525" s="9">
        <f t="shared" si="550"/>
        <v>0.67561480947662378</v>
      </c>
      <c r="N2525" s="5">
        <v>1</v>
      </c>
      <c r="O2525" s="10">
        <f t="shared" si="551"/>
        <v>0.67561480947662378</v>
      </c>
    </row>
    <row r="2526" spans="2:15" ht="13.5" hidden="1" customHeight="1">
      <c r="B2526" s="33">
        <f t="shared" si="554"/>
        <v>159</v>
      </c>
      <c r="C2526" s="63" t="s">
        <v>987</v>
      </c>
      <c r="D2526" s="63" t="s">
        <v>866</v>
      </c>
      <c r="F2526" s="64" t="s">
        <v>32</v>
      </c>
      <c r="G2526" s="36">
        <f t="shared" si="555"/>
        <v>5100</v>
      </c>
      <c r="H2526" s="36">
        <v>1861</v>
      </c>
      <c r="I2526" s="36">
        <v>3240</v>
      </c>
      <c r="J2526" s="36">
        <v>900</v>
      </c>
      <c r="K2526" s="36">
        <f t="shared" si="549"/>
        <v>11101</v>
      </c>
      <c r="L2526" s="36">
        <v>7500</v>
      </c>
      <c r="M2526" s="9">
        <f t="shared" si="550"/>
        <v>0.67561480947662378</v>
      </c>
      <c r="N2526" s="5">
        <v>1</v>
      </c>
      <c r="O2526" s="10">
        <f t="shared" si="551"/>
        <v>0.67561480947662378</v>
      </c>
    </row>
    <row r="2527" spans="2:15" ht="13.5" hidden="1" customHeight="1">
      <c r="B2527" s="33">
        <f t="shared" si="554"/>
        <v>160</v>
      </c>
      <c r="C2527" s="63" t="s">
        <v>362</v>
      </c>
      <c r="D2527" s="63" t="s">
        <v>894</v>
      </c>
      <c r="F2527" s="64" t="s">
        <v>32</v>
      </c>
      <c r="G2527" s="36">
        <f t="shared" si="555"/>
        <v>5100</v>
      </c>
      <c r="H2527" s="36">
        <v>1861</v>
      </c>
      <c r="I2527" s="36">
        <v>3240</v>
      </c>
      <c r="J2527" s="36">
        <v>900</v>
      </c>
      <c r="K2527" s="36">
        <f t="shared" si="549"/>
        <v>11101</v>
      </c>
      <c r="L2527" s="36">
        <v>7500</v>
      </c>
      <c r="M2527" s="9">
        <f t="shared" si="550"/>
        <v>0.67561480947662378</v>
      </c>
      <c r="N2527" s="5">
        <v>1</v>
      </c>
      <c r="O2527" s="10">
        <f t="shared" si="551"/>
        <v>0.67561480947662378</v>
      </c>
    </row>
    <row r="2528" spans="2:15" ht="13.5" hidden="1" customHeight="1">
      <c r="B2528" s="33">
        <f t="shared" si="554"/>
        <v>161</v>
      </c>
      <c r="C2528" s="62" t="s">
        <v>988</v>
      </c>
      <c r="D2528" s="62" t="s">
        <v>787</v>
      </c>
      <c r="F2528" s="61" t="s">
        <v>24</v>
      </c>
      <c r="G2528" s="36">
        <f>277*6</f>
        <v>1662</v>
      </c>
      <c r="H2528" s="36">
        <v>1861</v>
      </c>
      <c r="I2528" s="36">
        <v>7890</v>
      </c>
      <c r="J2528" s="36">
        <v>0</v>
      </c>
      <c r="K2528" s="36">
        <f t="shared" si="549"/>
        <v>11413</v>
      </c>
      <c r="L2528" s="36">
        <v>7500</v>
      </c>
      <c r="M2528" s="9">
        <f t="shared" si="550"/>
        <v>0.6571453605537545</v>
      </c>
      <c r="N2528" s="5">
        <v>1</v>
      </c>
      <c r="O2528" s="10">
        <f t="shared" si="551"/>
        <v>0.6571453605537545</v>
      </c>
    </row>
    <row r="2529" spans="2:15" ht="13.5" hidden="1" customHeight="1">
      <c r="B2529" s="33">
        <f t="shared" si="554"/>
        <v>162</v>
      </c>
      <c r="C2529" s="63" t="s">
        <v>114</v>
      </c>
      <c r="D2529" s="63" t="s">
        <v>801</v>
      </c>
      <c r="F2529" s="64" t="s">
        <v>24</v>
      </c>
      <c r="G2529" s="36">
        <f t="shared" ref="G2529:G2533" si="556">277*6</f>
        <v>1662</v>
      </c>
      <c r="H2529" s="36">
        <v>1861</v>
      </c>
      <c r="I2529" s="36">
        <v>7890</v>
      </c>
      <c r="J2529" s="36">
        <v>0</v>
      </c>
      <c r="K2529" s="36">
        <f t="shared" si="549"/>
        <v>11413</v>
      </c>
      <c r="L2529" s="36">
        <v>7500</v>
      </c>
      <c r="M2529" s="9">
        <f t="shared" si="550"/>
        <v>0.6571453605537545</v>
      </c>
      <c r="N2529" s="5">
        <v>1</v>
      </c>
      <c r="O2529" s="10">
        <f t="shared" si="551"/>
        <v>0.6571453605537545</v>
      </c>
    </row>
    <row r="2530" spans="2:15" ht="13.5" hidden="1" customHeight="1">
      <c r="B2530" s="33">
        <f t="shared" si="554"/>
        <v>163</v>
      </c>
      <c r="C2530" s="63" t="s">
        <v>989</v>
      </c>
      <c r="D2530" s="63" t="s">
        <v>812</v>
      </c>
      <c r="F2530" s="64" t="s">
        <v>24</v>
      </c>
      <c r="G2530" s="36">
        <f t="shared" si="556"/>
        <v>1662</v>
      </c>
      <c r="H2530" s="36">
        <v>1861</v>
      </c>
      <c r="I2530" s="36">
        <v>7890</v>
      </c>
      <c r="J2530" s="36">
        <v>0</v>
      </c>
      <c r="K2530" s="36">
        <f t="shared" si="549"/>
        <v>11413</v>
      </c>
      <c r="L2530" s="36">
        <v>7500</v>
      </c>
      <c r="M2530" s="9">
        <f t="shared" si="550"/>
        <v>0.6571453605537545</v>
      </c>
      <c r="N2530" s="5">
        <v>1</v>
      </c>
      <c r="O2530" s="10">
        <f t="shared" si="551"/>
        <v>0.6571453605537545</v>
      </c>
    </row>
    <row r="2531" spans="2:15" ht="13.5" hidden="1" customHeight="1">
      <c r="B2531" s="33">
        <f t="shared" si="554"/>
        <v>164</v>
      </c>
      <c r="C2531" s="63" t="s">
        <v>990</v>
      </c>
      <c r="D2531" s="63" t="s">
        <v>818</v>
      </c>
      <c r="F2531" s="64" t="s">
        <v>24</v>
      </c>
      <c r="G2531" s="36">
        <f t="shared" si="556"/>
        <v>1662</v>
      </c>
      <c r="H2531" s="36">
        <v>1861</v>
      </c>
      <c r="I2531" s="36">
        <v>7890</v>
      </c>
      <c r="J2531" s="36">
        <v>0</v>
      </c>
      <c r="K2531" s="36">
        <f t="shared" si="549"/>
        <v>11413</v>
      </c>
      <c r="L2531" s="36">
        <v>7500</v>
      </c>
      <c r="M2531" s="9">
        <f t="shared" si="550"/>
        <v>0.6571453605537545</v>
      </c>
      <c r="N2531" s="5">
        <v>1</v>
      </c>
      <c r="O2531" s="10">
        <f t="shared" si="551"/>
        <v>0.6571453605537545</v>
      </c>
    </row>
    <row r="2532" spans="2:15" ht="13.5" hidden="1" customHeight="1">
      <c r="B2532" s="33">
        <f t="shared" si="554"/>
        <v>165</v>
      </c>
      <c r="C2532" s="63" t="s">
        <v>65</v>
      </c>
      <c r="D2532" s="63" t="s">
        <v>843</v>
      </c>
      <c r="F2532" s="64" t="s">
        <v>24</v>
      </c>
      <c r="G2532" s="36">
        <f t="shared" si="556"/>
        <v>1662</v>
      </c>
      <c r="H2532" s="36">
        <v>1861</v>
      </c>
      <c r="I2532" s="36">
        <v>7890</v>
      </c>
      <c r="J2532" s="36">
        <v>0</v>
      </c>
      <c r="K2532" s="36">
        <f t="shared" si="549"/>
        <v>11413</v>
      </c>
      <c r="L2532" s="36">
        <v>7500</v>
      </c>
      <c r="M2532" s="9">
        <f t="shared" si="550"/>
        <v>0.6571453605537545</v>
      </c>
      <c r="N2532" s="5">
        <v>1</v>
      </c>
      <c r="O2532" s="10">
        <f t="shared" si="551"/>
        <v>0.6571453605537545</v>
      </c>
    </row>
    <row r="2533" spans="2:15" ht="13.5" hidden="1" customHeight="1">
      <c r="B2533" s="33">
        <f t="shared" si="554"/>
        <v>166</v>
      </c>
      <c r="C2533" s="63" t="s">
        <v>991</v>
      </c>
      <c r="D2533" s="63" t="s">
        <v>872</v>
      </c>
      <c r="F2533" s="64" t="s">
        <v>24</v>
      </c>
      <c r="G2533" s="36">
        <f t="shared" si="556"/>
        <v>1662</v>
      </c>
      <c r="H2533" s="36">
        <v>1861</v>
      </c>
      <c r="I2533" s="36">
        <v>7890</v>
      </c>
      <c r="J2533" s="36">
        <v>0</v>
      </c>
      <c r="K2533" s="36">
        <f t="shared" si="549"/>
        <v>11413</v>
      </c>
      <c r="L2533" s="36">
        <v>7500</v>
      </c>
      <c r="M2533" s="9">
        <f t="shared" si="550"/>
        <v>0.6571453605537545</v>
      </c>
      <c r="N2533" s="5">
        <v>1</v>
      </c>
      <c r="O2533" s="10">
        <f t="shared" si="551"/>
        <v>0.6571453605537545</v>
      </c>
    </row>
    <row r="2534" spans="2:15" ht="13.5" hidden="1" customHeight="1">
      <c r="B2534" s="33">
        <f t="shared" si="554"/>
        <v>167</v>
      </c>
      <c r="C2534" s="62" t="s">
        <v>992</v>
      </c>
      <c r="D2534" s="62" t="s">
        <v>732</v>
      </c>
      <c r="F2534" s="61" t="s">
        <v>43</v>
      </c>
      <c r="G2534" s="36">
        <f>333*18.5</f>
        <v>6160.5</v>
      </c>
      <c r="H2534" s="36">
        <v>1861</v>
      </c>
      <c r="I2534" s="36">
        <v>3790</v>
      </c>
      <c r="J2534" s="36">
        <v>500</v>
      </c>
      <c r="K2534" s="36">
        <f t="shared" si="549"/>
        <v>12311.5</v>
      </c>
      <c r="L2534" s="36">
        <v>7500</v>
      </c>
      <c r="M2534" s="9">
        <f t="shared" si="550"/>
        <v>0.60918653291637903</v>
      </c>
      <c r="N2534" s="5">
        <v>1</v>
      </c>
      <c r="O2534" s="10">
        <f t="shared" si="551"/>
        <v>0.60918653291637903</v>
      </c>
    </row>
    <row r="2535" spans="2:15" ht="13.5" hidden="1" customHeight="1">
      <c r="B2535" s="33">
        <f t="shared" si="554"/>
        <v>168</v>
      </c>
      <c r="C2535" s="62" t="s">
        <v>993</v>
      </c>
      <c r="D2535" s="62" t="s">
        <v>734</v>
      </c>
      <c r="F2535" s="61" t="s">
        <v>43</v>
      </c>
      <c r="G2535" s="36">
        <f>333*18.5</f>
        <v>6160.5</v>
      </c>
      <c r="H2535" s="36">
        <v>1861</v>
      </c>
      <c r="I2535" s="36">
        <v>3790</v>
      </c>
      <c r="J2535" s="36">
        <v>500</v>
      </c>
      <c r="K2535" s="36">
        <f t="shared" si="549"/>
        <v>12311.5</v>
      </c>
      <c r="L2535" s="36">
        <v>7500</v>
      </c>
      <c r="M2535" s="9">
        <f t="shared" si="550"/>
        <v>0.60918653291637903</v>
      </c>
      <c r="N2535" s="5">
        <v>1</v>
      </c>
      <c r="O2535" s="10">
        <f t="shared" si="551"/>
        <v>0.60918653291637903</v>
      </c>
    </row>
    <row r="2536" spans="2:15" ht="13.5" hidden="1" customHeight="1">
      <c r="B2536" s="33">
        <f t="shared" si="554"/>
        <v>169</v>
      </c>
      <c r="C2536" s="62" t="s">
        <v>76</v>
      </c>
      <c r="D2536" s="62" t="s">
        <v>759</v>
      </c>
      <c r="F2536" s="61" t="s">
        <v>43</v>
      </c>
      <c r="G2536" s="36">
        <f t="shared" ref="G2536:G2547" si="557">333*18.5</f>
        <v>6160.5</v>
      </c>
      <c r="H2536" s="36">
        <v>1861</v>
      </c>
      <c r="I2536" s="36">
        <v>3790</v>
      </c>
      <c r="J2536" s="36">
        <v>500</v>
      </c>
      <c r="K2536" s="36">
        <f t="shared" si="549"/>
        <v>12311.5</v>
      </c>
      <c r="L2536" s="36">
        <v>7500</v>
      </c>
      <c r="M2536" s="9">
        <f t="shared" si="550"/>
        <v>0.60918653291637903</v>
      </c>
      <c r="N2536" s="5">
        <v>1</v>
      </c>
      <c r="O2536" s="10">
        <f t="shared" si="551"/>
        <v>0.60918653291637903</v>
      </c>
    </row>
    <row r="2537" spans="2:15" ht="13.5" hidden="1" customHeight="1">
      <c r="B2537" s="33">
        <f t="shared" si="554"/>
        <v>170</v>
      </c>
      <c r="C2537" s="63" t="s">
        <v>994</v>
      </c>
      <c r="D2537" s="63" t="s">
        <v>788</v>
      </c>
      <c r="F2537" s="64" t="s">
        <v>43</v>
      </c>
      <c r="G2537" s="36">
        <f t="shared" si="557"/>
        <v>6160.5</v>
      </c>
      <c r="H2537" s="36">
        <v>1861</v>
      </c>
      <c r="I2537" s="36">
        <v>3790</v>
      </c>
      <c r="J2537" s="36">
        <v>500</v>
      </c>
      <c r="K2537" s="36">
        <f t="shared" si="549"/>
        <v>12311.5</v>
      </c>
      <c r="L2537" s="36">
        <v>7500</v>
      </c>
      <c r="M2537" s="9">
        <f t="shared" si="550"/>
        <v>0.60918653291637903</v>
      </c>
      <c r="N2537" s="5">
        <v>1</v>
      </c>
      <c r="O2537" s="10">
        <f t="shared" si="551"/>
        <v>0.60918653291637903</v>
      </c>
    </row>
    <row r="2538" spans="2:15" ht="13.5" hidden="1" customHeight="1">
      <c r="B2538" s="33">
        <f t="shared" si="554"/>
        <v>171</v>
      </c>
      <c r="C2538" s="63" t="s">
        <v>995</v>
      </c>
      <c r="D2538" s="63" t="s">
        <v>794</v>
      </c>
      <c r="F2538" s="64" t="s">
        <v>43</v>
      </c>
      <c r="G2538" s="36">
        <f t="shared" si="557"/>
        <v>6160.5</v>
      </c>
      <c r="H2538" s="36">
        <v>1861</v>
      </c>
      <c r="I2538" s="36">
        <v>3790</v>
      </c>
      <c r="J2538" s="36">
        <v>500</v>
      </c>
      <c r="K2538" s="36">
        <f t="shared" si="549"/>
        <v>12311.5</v>
      </c>
      <c r="L2538" s="36">
        <v>7500</v>
      </c>
      <c r="M2538" s="9">
        <f t="shared" si="550"/>
        <v>0.60918653291637903</v>
      </c>
      <c r="N2538" s="5">
        <v>1</v>
      </c>
      <c r="O2538" s="10">
        <f t="shared" si="551"/>
        <v>0.60918653291637903</v>
      </c>
    </row>
    <row r="2539" spans="2:15" ht="13.5" hidden="1" customHeight="1">
      <c r="B2539" s="33">
        <f t="shared" si="554"/>
        <v>172</v>
      </c>
      <c r="C2539" s="63" t="s">
        <v>996</v>
      </c>
      <c r="D2539" s="63" t="s">
        <v>795</v>
      </c>
      <c r="F2539" s="64" t="s">
        <v>43</v>
      </c>
      <c r="G2539" s="36">
        <f t="shared" si="557"/>
        <v>6160.5</v>
      </c>
      <c r="H2539" s="36">
        <v>1861</v>
      </c>
      <c r="I2539" s="36">
        <v>3790</v>
      </c>
      <c r="J2539" s="36">
        <v>500</v>
      </c>
      <c r="K2539" s="36">
        <f t="shared" si="549"/>
        <v>12311.5</v>
      </c>
      <c r="L2539" s="36">
        <v>7500</v>
      </c>
      <c r="M2539" s="9">
        <f t="shared" si="550"/>
        <v>0.60918653291637903</v>
      </c>
      <c r="N2539" s="5">
        <v>1</v>
      </c>
      <c r="O2539" s="10">
        <f t="shared" si="551"/>
        <v>0.60918653291637903</v>
      </c>
    </row>
    <row r="2540" spans="2:15" ht="13.5" hidden="1" customHeight="1">
      <c r="B2540" s="33">
        <f t="shared" si="554"/>
        <v>173</v>
      </c>
      <c r="C2540" s="63" t="s">
        <v>997</v>
      </c>
      <c r="D2540" s="63" t="s">
        <v>820</v>
      </c>
      <c r="F2540" s="64" t="s">
        <v>43</v>
      </c>
      <c r="G2540" s="36">
        <f t="shared" si="557"/>
        <v>6160.5</v>
      </c>
      <c r="H2540" s="36">
        <v>1861</v>
      </c>
      <c r="I2540" s="36">
        <v>3790</v>
      </c>
      <c r="J2540" s="36">
        <v>500</v>
      </c>
      <c r="K2540" s="36">
        <f t="shared" si="549"/>
        <v>12311.5</v>
      </c>
      <c r="L2540" s="36">
        <v>7500</v>
      </c>
      <c r="M2540" s="9">
        <f t="shared" si="550"/>
        <v>0.60918653291637903</v>
      </c>
      <c r="N2540" s="5">
        <v>1</v>
      </c>
      <c r="O2540" s="10">
        <f t="shared" si="551"/>
        <v>0.60918653291637903</v>
      </c>
    </row>
    <row r="2541" spans="2:15" ht="13.5" hidden="1" customHeight="1">
      <c r="B2541" s="33">
        <f t="shared" si="554"/>
        <v>174</v>
      </c>
      <c r="C2541" s="63" t="s">
        <v>998</v>
      </c>
      <c r="D2541" s="63" t="s">
        <v>825</v>
      </c>
      <c r="F2541" s="64" t="s">
        <v>43</v>
      </c>
      <c r="G2541" s="36">
        <f>333*18</f>
        <v>5994</v>
      </c>
      <c r="H2541" s="36">
        <v>1861</v>
      </c>
      <c r="I2541" s="36">
        <v>3790</v>
      </c>
      <c r="J2541" s="36">
        <v>500</v>
      </c>
      <c r="K2541" s="36">
        <f t="shared" si="549"/>
        <v>12145</v>
      </c>
      <c r="L2541" s="36">
        <v>7500</v>
      </c>
      <c r="M2541" s="9">
        <f t="shared" si="550"/>
        <v>0.61753808151502676</v>
      </c>
      <c r="N2541" s="5">
        <v>1</v>
      </c>
      <c r="O2541" s="10">
        <f t="shared" si="551"/>
        <v>0.61753808151502676</v>
      </c>
    </row>
    <row r="2542" spans="2:15" ht="13.5" hidden="1" customHeight="1">
      <c r="B2542" s="33">
        <f t="shared" si="554"/>
        <v>175</v>
      </c>
      <c r="C2542" s="63" t="s">
        <v>492</v>
      </c>
      <c r="D2542" s="63" t="s">
        <v>837</v>
      </c>
      <c r="F2542" s="64" t="s">
        <v>43</v>
      </c>
      <c r="G2542" s="36">
        <f t="shared" si="557"/>
        <v>6160.5</v>
      </c>
      <c r="H2542" s="36">
        <v>1861</v>
      </c>
      <c r="I2542" s="36">
        <v>3790</v>
      </c>
      <c r="J2542" s="36">
        <v>500</v>
      </c>
      <c r="K2542" s="36">
        <f t="shared" si="549"/>
        <v>12311.5</v>
      </c>
      <c r="L2542" s="36">
        <v>7500</v>
      </c>
      <c r="M2542" s="9">
        <f t="shared" si="550"/>
        <v>0.60918653291637903</v>
      </c>
      <c r="N2542" s="5">
        <v>1</v>
      </c>
      <c r="O2542" s="10">
        <f t="shared" si="551"/>
        <v>0.60918653291637903</v>
      </c>
    </row>
    <row r="2543" spans="2:15" ht="13.5" hidden="1" customHeight="1">
      <c r="B2543" s="33">
        <f t="shared" si="554"/>
        <v>176</v>
      </c>
      <c r="C2543" s="63" t="s">
        <v>247</v>
      </c>
      <c r="D2543" s="63" t="s">
        <v>841</v>
      </c>
      <c r="F2543" s="64" t="s">
        <v>43</v>
      </c>
      <c r="G2543" s="36">
        <f t="shared" si="557"/>
        <v>6160.5</v>
      </c>
      <c r="H2543" s="36">
        <v>1861</v>
      </c>
      <c r="I2543" s="36">
        <v>3790</v>
      </c>
      <c r="J2543" s="36">
        <v>500</v>
      </c>
      <c r="K2543" s="36">
        <f t="shared" si="549"/>
        <v>12311.5</v>
      </c>
      <c r="L2543" s="36">
        <v>7500</v>
      </c>
      <c r="M2543" s="9">
        <f t="shared" si="550"/>
        <v>0.60918653291637903</v>
      </c>
      <c r="N2543" s="5">
        <v>1</v>
      </c>
      <c r="O2543" s="10">
        <f t="shared" si="551"/>
        <v>0.60918653291637903</v>
      </c>
    </row>
    <row r="2544" spans="2:15" ht="13.5" hidden="1" customHeight="1">
      <c r="B2544" s="33">
        <f t="shared" si="554"/>
        <v>177</v>
      </c>
      <c r="C2544" s="63" t="s">
        <v>999</v>
      </c>
      <c r="D2544" s="63" t="s">
        <v>878</v>
      </c>
      <c r="F2544" s="64" t="s">
        <v>43</v>
      </c>
      <c r="G2544" s="36">
        <f t="shared" si="557"/>
        <v>6160.5</v>
      </c>
      <c r="H2544" s="36">
        <v>1861</v>
      </c>
      <c r="I2544" s="36">
        <v>3790</v>
      </c>
      <c r="J2544" s="36">
        <v>500</v>
      </c>
      <c r="K2544" s="36">
        <f t="shared" si="549"/>
        <v>12311.5</v>
      </c>
      <c r="L2544" s="36">
        <v>7500</v>
      </c>
      <c r="M2544" s="9">
        <f t="shared" si="550"/>
        <v>0.60918653291637903</v>
      </c>
      <c r="N2544" s="5">
        <v>1</v>
      </c>
      <c r="O2544" s="10">
        <f t="shared" si="551"/>
        <v>0.60918653291637903</v>
      </c>
    </row>
    <row r="2545" spans="1:15" ht="13.5" hidden="1" customHeight="1">
      <c r="B2545" s="33">
        <f t="shared" si="554"/>
        <v>178</v>
      </c>
      <c r="C2545" s="63" t="s">
        <v>261</v>
      </c>
      <c r="D2545" s="63" t="s">
        <v>889</v>
      </c>
      <c r="F2545" s="64" t="s">
        <v>43</v>
      </c>
      <c r="G2545" s="36">
        <f t="shared" si="557"/>
        <v>6160.5</v>
      </c>
      <c r="H2545" s="36">
        <v>1861</v>
      </c>
      <c r="I2545" s="36">
        <v>3790</v>
      </c>
      <c r="J2545" s="36">
        <v>500</v>
      </c>
      <c r="K2545" s="36">
        <f t="shared" si="549"/>
        <v>12311.5</v>
      </c>
      <c r="L2545" s="36">
        <v>7500</v>
      </c>
      <c r="M2545" s="9">
        <f t="shared" si="550"/>
        <v>0.60918653291637903</v>
      </c>
      <c r="N2545" s="5">
        <v>1</v>
      </c>
      <c r="O2545" s="10">
        <f t="shared" si="551"/>
        <v>0.60918653291637903</v>
      </c>
    </row>
    <row r="2546" spans="1:15" ht="13.5" hidden="1" customHeight="1">
      <c r="B2546" s="33">
        <f t="shared" si="554"/>
        <v>179</v>
      </c>
      <c r="C2546" s="63" t="s">
        <v>73</v>
      </c>
      <c r="D2546" s="63" t="s">
        <v>898</v>
      </c>
      <c r="F2546" s="64" t="s">
        <v>43</v>
      </c>
      <c r="G2546" s="36">
        <f t="shared" si="557"/>
        <v>6160.5</v>
      </c>
      <c r="H2546" s="36">
        <v>1861</v>
      </c>
      <c r="I2546" s="36">
        <v>3790</v>
      </c>
      <c r="J2546" s="36">
        <v>500</v>
      </c>
      <c r="K2546" s="36">
        <f t="shared" si="549"/>
        <v>12311.5</v>
      </c>
      <c r="L2546" s="36">
        <v>7500</v>
      </c>
      <c r="M2546" s="9">
        <f t="shared" si="550"/>
        <v>0.60918653291637903</v>
      </c>
      <c r="N2546" s="5">
        <v>1</v>
      </c>
      <c r="O2546" s="10">
        <f t="shared" si="551"/>
        <v>0.60918653291637903</v>
      </c>
    </row>
    <row r="2547" spans="1:15" ht="13.5" hidden="1" customHeight="1">
      <c r="B2547" s="33">
        <f t="shared" si="554"/>
        <v>180</v>
      </c>
      <c r="C2547" s="63" t="s">
        <v>92</v>
      </c>
      <c r="D2547" s="63" t="s">
        <v>899</v>
      </c>
      <c r="F2547" s="64" t="s">
        <v>43</v>
      </c>
      <c r="G2547" s="36">
        <f t="shared" si="557"/>
        <v>6160.5</v>
      </c>
      <c r="H2547" s="36">
        <v>1861</v>
      </c>
      <c r="I2547" s="36">
        <v>3790</v>
      </c>
      <c r="J2547" s="36">
        <v>500</v>
      </c>
      <c r="K2547" s="36">
        <f t="shared" si="549"/>
        <v>12311.5</v>
      </c>
      <c r="L2547" s="36">
        <v>7500</v>
      </c>
      <c r="M2547" s="9">
        <f t="shared" si="550"/>
        <v>0.60918653291637903</v>
      </c>
      <c r="N2547" s="5">
        <v>1</v>
      </c>
      <c r="O2547" s="10">
        <f t="shared" si="551"/>
        <v>0.60918653291637903</v>
      </c>
    </row>
    <row r="2548" spans="1:15" ht="13.5" hidden="1" customHeight="1">
      <c r="B2548" s="33">
        <f t="shared" si="554"/>
        <v>181</v>
      </c>
      <c r="C2548" s="62" t="s">
        <v>101</v>
      </c>
      <c r="D2548" s="62" t="s">
        <v>745</v>
      </c>
      <c r="F2548" s="61" t="s">
        <v>27</v>
      </c>
      <c r="G2548" s="36">
        <f>333*24</f>
        <v>7992</v>
      </c>
      <c r="H2548" s="36">
        <v>1861</v>
      </c>
      <c r="I2548" s="36">
        <v>3240</v>
      </c>
      <c r="J2548" s="36">
        <v>500</v>
      </c>
      <c r="K2548" s="36">
        <f t="shared" si="549"/>
        <v>13593</v>
      </c>
      <c r="L2548" s="36">
        <v>7500</v>
      </c>
      <c r="M2548" s="9">
        <f t="shared" si="550"/>
        <v>0.55175457956301033</v>
      </c>
      <c r="N2548" s="5">
        <v>1</v>
      </c>
      <c r="O2548" s="10">
        <f t="shared" si="551"/>
        <v>0.55175457956301033</v>
      </c>
    </row>
    <row r="2549" spans="1:15" ht="13.5" hidden="1" customHeight="1">
      <c r="B2549" s="33">
        <f t="shared" si="554"/>
        <v>182</v>
      </c>
      <c r="C2549" s="63" t="s">
        <v>58</v>
      </c>
      <c r="D2549" s="63" t="s">
        <v>815</v>
      </c>
      <c r="F2549" s="64" t="s">
        <v>27</v>
      </c>
      <c r="G2549" s="36">
        <f>333*19</f>
        <v>6327</v>
      </c>
      <c r="H2549" s="36">
        <v>1861</v>
      </c>
      <c r="I2549" s="36">
        <v>3240</v>
      </c>
      <c r="J2549" s="36">
        <v>500</v>
      </c>
      <c r="K2549" s="36">
        <f t="shared" si="549"/>
        <v>11928</v>
      </c>
      <c r="L2549" s="36">
        <v>7500</v>
      </c>
      <c r="M2549" s="9">
        <f t="shared" si="550"/>
        <v>0.62877263581488929</v>
      </c>
      <c r="N2549" s="5">
        <v>1</v>
      </c>
      <c r="O2549" s="10">
        <f t="shared" si="551"/>
        <v>0.62877263581488929</v>
      </c>
    </row>
    <row r="2550" spans="1:15" ht="13.5" hidden="1" customHeight="1">
      <c r="B2550" s="33">
        <f t="shared" si="554"/>
        <v>183</v>
      </c>
      <c r="C2550" s="63" t="s">
        <v>245</v>
      </c>
      <c r="D2550" s="63" t="s">
        <v>826</v>
      </c>
      <c r="F2550" s="64" t="s">
        <v>27</v>
      </c>
      <c r="G2550" s="36">
        <f>333*24</f>
        <v>7992</v>
      </c>
      <c r="H2550" s="36">
        <v>1861</v>
      </c>
      <c r="I2550" s="36">
        <v>3240</v>
      </c>
      <c r="J2550" s="36">
        <v>500</v>
      </c>
      <c r="K2550" s="36">
        <f t="shared" si="549"/>
        <v>13593</v>
      </c>
      <c r="L2550" s="36">
        <v>7500</v>
      </c>
      <c r="M2550" s="9">
        <f t="shared" si="550"/>
        <v>0.55175457956301033</v>
      </c>
      <c r="N2550" s="5">
        <v>1</v>
      </c>
      <c r="O2550" s="10">
        <f t="shared" si="551"/>
        <v>0.55175457956301033</v>
      </c>
    </row>
    <row r="2551" spans="1:15" ht="13.5" hidden="1" customHeight="1">
      <c r="B2551" s="33">
        <f t="shared" si="554"/>
        <v>184</v>
      </c>
      <c r="C2551" s="63" t="s">
        <v>62</v>
      </c>
      <c r="D2551" s="63" t="s">
        <v>835</v>
      </c>
      <c r="F2551" s="64" t="s">
        <v>27</v>
      </c>
      <c r="G2551" s="36">
        <f>333*21</f>
        <v>6993</v>
      </c>
      <c r="H2551" s="36">
        <v>1861</v>
      </c>
      <c r="I2551" s="36">
        <v>3240</v>
      </c>
      <c r="J2551" s="36">
        <v>500</v>
      </c>
      <c r="K2551" s="36">
        <f t="shared" si="549"/>
        <v>12594</v>
      </c>
      <c r="L2551" s="36">
        <v>7500</v>
      </c>
      <c r="M2551" s="9">
        <f t="shared" si="550"/>
        <v>0.59552167698904235</v>
      </c>
      <c r="N2551" s="5">
        <v>1</v>
      </c>
      <c r="O2551" s="10">
        <f t="shared" si="551"/>
        <v>0.59552167698904235</v>
      </c>
    </row>
    <row r="2552" spans="1:15" ht="13.5" hidden="1" customHeight="1">
      <c r="B2552" s="33">
        <f t="shared" si="554"/>
        <v>185</v>
      </c>
      <c r="C2552" s="63" t="s">
        <v>1000</v>
      </c>
      <c r="D2552" s="63" t="s">
        <v>873</v>
      </c>
      <c r="F2552" s="64" t="s">
        <v>27</v>
      </c>
      <c r="G2552" s="36">
        <f>333*24</f>
        <v>7992</v>
      </c>
      <c r="H2552" s="36">
        <v>1861</v>
      </c>
      <c r="I2552" s="36">
        <v>3240</v>
      </c>
      <c r="J2552" s="36">
        <v>500</v>
      </c>
      <c r="K2552" s="36">
        <f t="shared" si="549"/>
        <v>13593</v>
      </c>
      <c r="L2552" s="36">
        <v>7500</v>
      </c>
      <c r="M2552" s="9">
        <f t="shared" si="550"/>
        <v>0.55175457956301033</v>
      </c>
      <c r="N2552" s="5">
        <v>1</v>
      </c>
      <c r="O2552" s="10">
        <f t="shared" si="551"/>
        <v>0.55175457956301033</v>
      </c>
    </row>
    <row r="2553" spans="1:15" ht="13.5" hidden="1" customHeight="1">
      <c r="B2553" s="33">
        <f t="shared" si="554"/>
        <v>186</v>
      </c>
      <c r="C2553" s="62" t="s">
        <v>52</v>
      </c>
      <c r="D2553" s="62" t="s">
        <v>762</v>
      </c>
      <c r="F2553" s="61" t="s">
        <v>30</v>
      </c>
      <c r="G2553" s="36">
        <f>300*21</f>
        <v>6300</v>
      </c>
      <c r="H2553" s="36">
        <v>1861</v>
      </c>
      <c r="I2553" s="36">
        <v>3240</v>
      </c>
      <c r="J2553" s="36">
        <v>500</v>
      </c>
      <c r="K2553" s="36">
        <f t="shared" si="549"/>
        <v>11901</v>
      </c>
      <c r="L2553" s="36">
        <v>7500</v>
      </c>
      <c r="M2553" s="9">
        <f t="shared" si="550"/>
        <v>0.63019914292916557</v>
      </c>
      <c r="N2553" s="5">
        <v>1</v>
      </c>
      <c r="O2553" s="10">
        <f t="shared" si="551"/>
        <v>0.63019914292916557</v>
      </c>
    </row>
    <row r="2554" spans="1:15" ht="13.5" hidden="1" customHeight="1">
      <c r="B2554" s="33">
        <f t="shared" si="554"/>
        <v>187</v>
      </c>
      <c r="C2554" s="63" t="s">
        <v>1001</v>
      </c>
      <c r="D2554" s="63" t="s">
        <v>829</v>
      </c>
      <c r="F2554" s="64" t="s">
        <v>30</v>
      </c>
      <c r="G2554" s="36">
        <f>300*15</f>
        <v>4500</v>
      </c>
      <c r="H2554" s="36">
        <v>1861</v>
      </c>
      <c r="I2554" s="36">
        <v>3240</v>
      </c>
      <c r="J2554" s="36">
        <v>500</v>
      </c>
      <c r="K2554" s="36">
        <f t="shared" si="549"/>
        <v>10101</v>
      </c>
      <c r="L2554" s="36">
        <v>7500</v>
      </c>
      <c r="M2554" s="9">
        <f t="shared" si="550"/>
        <v>0.74250074250074249</v>
      </c>
      <c r="N2554" s="5">
        <v>1</v>
      </c>
      <c r="O2554" s="10">
        <f t="shared" si="551"/>
        <v>0.74250074250074249</v>
      </c>
    </row>
    <row r="2555" spans="1:15" ht="13.5" hidden="1" customHeight="1">
      <c r="B2555" s="33">
        <f t="shared" si="554"/>
        <v>188</v>
      </c>
      <c r="C2555" s="63" t="s">
        <v>250</v>
      </c>
      <c r="D2555" s="63" t="s">
        <v>860</v>
      </c>
      <c r="F2555" s="64" t="s">
        <v>30</v>
      </c>
      <c r="G2555" s="36">
        <f>300*21</f>
        <v>6300</v>
      </c>
      <c r="H2555" s="36">
        <v>1861</v>
      </c>
      <c r="I2555" s="36">
        <v>3240</v>
      </c>
      <c r="J2555" s="36">
        <v>500</v>
      </c>
      <c r="K2555" s="36">
        <f t="shared" si="549"/>
        <v>11901</v>
      </c>
      <c r="L2555" s="36">
        <v>7500</v>
      </c>
      <c r="M2555" s="9">
        <f t="shared" si="550"/>
        <v>0.63019914292916557</v>
      </c>
      <c r="N2555" s="5">
        <v>1</v>
      </c>
      <c r="O2555" s="10">
        <f t="shared" si="551"/>
        <v>0.63019914292916557</v>
      </c>
    </row>
    <row r="2556" spans="1:15" ht="13.5" hidden="1" customHeight="1">
      <c r="B2556" s="33">
        <f t="shared" si="554"/>
        <v>189</v>
      </c>
      <c r="C2556" s="63" t="s">
        <v>1002</v>
      </c>
      <c r="D2556" s="63" t="s">
        <v>887</v>
      </c>
      <c r="F2556" s="64" t="s">
        <v>30</v>
      </c>
      <c r="G2556" s="36">
        <f>300*21</f>
        <v>6300</v>
      </c>
      <c r="H2556" s="36">
        <v>1861</v>
      </c>
      <c r="I2556" s="36">
        <v>3240</v>
      </c>
      <c r="J2556" s="36">
        <v>500</v>
      </c>
      <c r="K2556" s="36">
        <f t="shared" si="549"/>
        <v>11901</v>
      </c>
      <c r="L2556" s="36">
        <v>7500</v>
      </c>
      <c r="M2556" s="9">
        <f t="shared" si="550"/>
        <v>0.63019914292916557</v>
      </c>
      <c r="N2556" s="5">
        <v>1</v>
      </c>
      <c r="O2556" s="10">
        <f t="shared" si="551"/>
        <v>0.63019914292916557</v>
      </c>
    </row>
    <row r="2557" spans="1:15" ht="17.25" hidden="1" customHeight="1">
      <c r="A2557" s="66" t="s">
        <v>45</v>
      </c>
      <c r="B2557" s="66"/>
      <c r="C2557" s="66"/>
      <c r="D2557" s="66"/>
      <c r="E2557" s="66"/>
      <c r="F2557" s="66"/>
      <c r="G2557" s="66"/>
      <c r="H2557" s="66"/>
      <c r="I2557" s="66"/>
      <c r="J2557" s="66"/>
      <c r="K2557" s="66"/>
      <c r="L2557" s="66"/>
      <c r="M2557" s="66"/>
      <c r="N2557" s="22">
        <f>SUM(N2368:N2556)</f>
        <v>189</v>
      </c>
      <c r="O2557" s="23">
        <f>SUM(O2368:O2556)</f>
        <v>114.16044639150901</v>
      </c>
    </row>
    <row r="2558" spans="1:15" ht="13.5" hidden="1" customHeight="1">
      <c r="A2558" s="44" t="s">
        <v>1004</v>
      </c>
      <c r="B2558" s="44"/>
      <c r="C2558" s="44"/>
      <c r="D2558" s="44"/>
      <c r="E2558" s="44"/>
      <c r="F2558" s="44"/>
      <c r="G2558" s="44"/>
      <c r="H2558" s="44"/>
      <c r="I2558" s="44"/>
      <c r="J2558" s="44"/>
      <c r="K2558" s="44"/>
      <c r="L2558" s="44"/>
      <c r="M2558" s="44"/>
      <c r="N2558" s="44"/>
      <c r="O2558" s="44"/>
    </row>
    <row r="2559" spans="1:15" ht="13.5" hidden="1" customHeight="1">
      <c r="B2559" s="33">
        <v>1</v>
      </c>
      <c r="C2559" s="62" t="s">
        <v>904</v>
      </c>
      <c r="D2559" s="62" t="s">
        <v>747</v>
      </c>
      <c r="F2559" s="61" t="s">
        <v>213</v>
      </c>
      <c r="G2559" s="36">
        <f>333*21.5</f>
        <v>7159.5</v>
      </c>
      <c r="H2559" s="36">
        <v>1861</v>
      </c>
      <c r="I2559" s="36">
        <v>3790</v>
      </c>
      <c r="J2559" s="36">
        <v>0</v>
      </c>
      <c r="K2559" s="36">
        <f t="shared" ref="K2559:K2632" si="558">SUM(G2559:J2559)</f>
        <v>12810.5</v>
      </c>
      <c r="L2559" s="36">
        <v>7500</v>
      </c>
      <c r="M2559" s="9">
        <f t="shared" ref="M2559:M2632" si="559">L2559/K2559</f>
        <v>0.58545724210608485</v>
      </c>
      <c r="N2559" s="5">
        <v>1</v>
      </c>
      <c r="O2559" s="10">
        <f t="shared" ref="O2559:O2632" si="560">N2559*M2559</f>
        <v>0.58545724210608485</v>
      </c>
    </row>
    <row r="2560" spans="1:15" ht="13.5" hidden="1" customHeight="1">
      <c r="B2560" s="33">
        <f>+B2559+1</f>
        <v>2</v>
      </c>
      <c r="C2560" s="62" t="s">
        <v>905</v>
      </c>
      <c r="D2560" s="62" t="s">
        <v>756</v>
      </c>
      <c r="F2560" s="61" t="s">
        <v>213</v>
      </c>
      <c r="G2560" s="36">
        <f t="shared" ref="G2560:G2564" si="561">333*21.5</f>
        <v>7159.5</v>
      </c>
      <c r="H2560" s="36">
        <v>1861</v>
      </c>
      <c r="I2560" s="36">
        <v>3790</v>
      </c>
      <c r="J2560" s="36">
        <v>0</v>
      </c>
      <c r="K2560" s="36">
        <f t="shared" si="558"/>
        <v>12810.5</v>
      </c>
      <c r="L2560" s="36">
        <v>7500</v>
      </c>
      <c r="M2560" s="9">
        <f t="shared" si="559"/>
        <v>0.58545724210608485</v>
      </c>
      <c r="N2560" s="5">
        <v>1</v>
      </c>
      <c r="O2560" s="10">
        <f t="shared" si="560"/>
        <v>0.58545724210608485</v>
      </c>
    </row>
    <row r="2561" spans="2:15" ht="13.5" hidden="1" customHeight="1">
      <c r="B2561" s="33">
        <f t="shared" ref="B2561:B2624" si="562">+B2560+1</f>
        <v>3</v>
      </c>
      <c r="C2561" s="62" t="s">
        <v>234</v>
      </c>
      <c r="D2561" s="62" t="s">
        <v>775</v>
      </c>
      <c r="F2561" s="61" t="s">
        <v>213</v>
      </c>
      <c r="G2561" s="36">
        <f t="shared" si="561"/>
        <v>7159.5</v>
      </c>
      <c r="H2561" s="36">
        <v>1861</v>
      </c>
      <c r="I2561" s="36">
        <v>3790</v>
      </c>
      <c r="J2561" s="36">
        <v>0</v>
      </c>
      <c r="K2561" s="36">
        <f t="shared" si="558"/>
        <v>12810.5</v>
      </c>
      <c r="L2561" s="36">
        <v>7500</v>
      </c>
      <c r="M2561" s="9">
        <f t="shared" si="559"/>
        <v>0.58545724210608485</v>
      </c>
      <c r="N2561" s="5">
        <v>1</v>
      </c>
      <c r="O2561" s="10">
        <f t="shared" si="560"/>
        <v>0.58545724210608485</v>
      </c>
    </row>
    <row r="2562" spans="2:15" ht="13.5" hidden="1" customHeight="1">
      <c r="B2562" s="33">
        <f t="shared" si="562"/>
        <v>4</v>
      </c>
      <c r="C2562" s="62" t="s">
        <v>906</v>
      </c>
      <c r="D2562" s="62" t="s">
        <v>783</v>
      </c>
      <c r="F2562" s="61" t="s">
        <v>213</v>
      </c>
      <c r="G2562" s="36">
        <f t="shared" si="561"/>
        <v>7159.5</v>
      </c>
      <c r="H2562" s="36">
        <v>1861</v>
      </c>
      <c r="I2562" s="36">
        <v>3790</v>
      </c>
      <c r="J2562" s="36">
        <v>0</v>
      </c>
      <c r="K2562" s="36">
        <f t="shared" si="558"/>
        <v>12810.5</v>
      </c>
      <c r="L2562" s="36">
        <v>7500</v>
      </c>
      <c r="M2562" s="9">
        <f t="shared" si="559"/>
        <v>0.58545724210608485</v>
      </c>
      <c r="N2562" s="5">
        <v>1</v>
      </c>
      <c r="O2562" s="10">
        <f t="shared" si="560"/>
        <v>0.58545724210608485</v>
      </c>
    </row>
    <row r="2563" spans="2:15" ht="13.5" hidden="1" customHeight="1">
      <c r="B2563" s="33">
        <f t="shared" si="562"/>
        <v>5</v>
      </c>
      <c r="C2563" s="63" t="s">
        <v>907</v>
      </c>
      <c r="D2563" s="63" t="s">
        <v>805</v>
      </c>
      <c r="F2563" s="64" t="s">
        <v>213</v>
      </c>
      <c r="G2563" s="36">
        <f t="shared" si="561"/>
        <v>7159.5</v>
      </c>
      <c r="H2563" s="36">
        <v>1861</v>
      </c>
      <c r="I2563" s="36">
        <v>3790</v>
      </c>
      <c r="J2563" s="36">
        <v>0</v>
      </c>
      <c r="K2563" s="36">
        <f t="shared" si="558"/>
        <v>12810.5</v>
      </c>
      <c r="L2563" s="36">
        <v>7500</v>
      </c>
      <c r="M2563" s="9">
        <f t="shared" si="559"/>
        <v>0.58545724210608485</v>
      </c>
      <c r="N2563" s="5">
        <v>1</v>
      </c>
      <c r="O2563" s="10">
        <f t="shared" si="560"/>
        <v>0.58545724210608485</v>
      </c>
    </row>
    <row r="2564" spans="2:15" ht="13.5" hidden="1" customHeight="1">
      <c r="B2564" s="33">
        <f t="shared" si="562"/>
        <v>6</v>
      </c>
      <c r="C2564" s="63" t="s">
        <v>61</v>
      </c>
      <c r="D2564" s="63" t="s">
        <v>832</v>
      </c>
      <c r="F2564" s="64" t="s">
        <v>213</v>
      </c>
      <c r="G2564" s="36">
        <f t="shared" si="561"/>
        <v>7159.5</v>
      </c>
      <c r="H2564" s="36">
        <v>1861</v>
      </c>
      <c r="I2564" s="36">
        <v>3790</v>
      </c>
      <c r="J2564" s="36">
        <v>0</v>
      </c>
      <c r="K2564" s="36">
        <f t="shared" si="558"/>
        <v>12810.5</v>
      </c>
      <c r="L2564" s="36">
        <v>7500</v>
      </c>
      <c r="M2564" s="9">
        <f t="shared" si="559"/>
        <v>0.58545724210608485</v>
      </c>
      <c r="N2564" s="5">
        <v>1</v>
      </c>
      <c r="O2564" s="10">
        <f t="shared" si="560"/>
        <v>0.58545724210608485</v>
      </c>
    </row>
    <row r="2565" spans="2:15" ht="13.5" hidden="1" customHeight="1">
      <c r="B2565" s="33">
        <f t="shared" si="562"/>
        <v>7</v>
      </c>
      <c r="C2565" s="63" t="s">
        <v>98</v>
      </c>
      <c r="D2565" s="63" t="s">
        <v>867</v>
      </c>
      <c r="F2565" s="64" t="s">
        <v>213</v>
      </c>
      <c r="G2565" s="36">
        <f>333*17</f>
        <v>5661</v>
      </c>
      <c r="H2565" s="36">
        <v>1861</v>
      </c>
      <c r="I2565" s="36">
        <v>3790</v>
      </c>
      <c r="J2565" s="36">
        <v>0</v>
      </c>
      <c r="K2565" s="36">
        <f t="shared" si="558"/>
        <v>11312</v>
      </c>
      <c r="L2565" s="36">
        <v>7500</v>
      </c>
      <c r="M2565" s="9">
        <f t="shared" si="559"/>
        <v>0.66301272984441306</v>
      </c>
      <c r="N2565" s="5">
        <v>1</v>
      </c>
      <c r="O2565" s="10">
        <f t="shared" si="560"/>
        <v>0.66301272984441306</v>
      </c>
    </row>
    <row r="2566" spans="2:15" ht="13.5" hidden="1" customHeight="1">
      <c r="B2566" s="33">
        <f t="shared" si="562"/>
        <v>8</v>
      </c>
      <c r="C2566" s="63" t="s">
        <v>908</v>
      </c>
      <c r="D2566" s="63" t="s">
        <v>871</v>
      </c>
      <c r="F2566" s="64" t="s">
        <v>213</v>
      </c>
      <c r="G2566" s="36">
        <f>333*21.5</f>
        <v>7159.5</v>
      </c>
      <c r="H2566" s="36">
        <v>1861</v>
      </c>
      <c r="I2566" s="36">
        <v>3790</v>
      </c>
      <c r="J2566" s="36">
        <v>0</v>
      </c>
      <c r="K2566" s="36">
        <f t="shared" si="558"/>
        <v>12810.5</v>
      </c>
      <c r="L2566" s="36">
        <v>7500</v>
      </c>
      <c r="M2566" s="9">
        <f t="shared" si="559"/>
        <v>0.58545724210608485</v>
      </c>
      <c r="N2566" s="5">
        <v>1</v>
      </c>
      <c r="O2566" s="10">
        <f t="shared" si="560"/>
        <v>0.58545724210608485</v>
      </c>
    </row>
    <row r="2567" spans="2:15" ht="13.5" hidden="1" customHeight="1">
      <c r="B2567" s="33">
        <f t="shared" si="562"/>
        <v>9</v>
      </c>
      <c r="C2567" s="63" t="s">
        <v>909</v>
      </c>
      <c r="D2567" s="63" t="s">
        <v>875</v>
      </c>
      <c r="F2567" s="64" t="s">
        <v>213</v>
      </c>
      <c r="G2567" s="36">
        <f>333*21</f>
        <v>6993</v>
      </c>
      <c r="H2567" s="36">
        <v>1861</v>
      </c>
      <c r="I2567" s="36">
        <v>3790</v>
      </c>
      <c r="J2567" s="36">
        <v>0</v>
      </c>
      <c r="K2567" s="36">
        <f t="shared" si="558"/>
        <v>12644</v>
      </c>
      <c r="L2567" s="36">
        <v>7500</v>
      </c>
      <c r="M2567" s="9">
        <f t="shared" si="559"/>
        <v>0.59316671939259724</v>
      </c>
      <c r="N2567" s="5">
        <v>1</v>
      </c>
      <c r="O2567" s="10">
        <f t="shared" si="560"/>
        <v>0.59316671939259724</v>
      </c>
    </row>
    <row r="2568" spans="2:15" ht="13.5" hidden="1" customHeight="1">
      <c r="B2568" s="33">
        <f t="shared" si="562"/>
        <v>10</v>
      </c>
      <c r="C2568" s="63" t="s">
        <v>910</v>
      </c>
      <c r="D2568" s="63" t="s">
        <v>886</v>
      </c>
      <c r="F2568" s="64" t="s">
        <v>213</v>
      </c>
      <c r="G2568" s="36">
        <f>333*21.5</f>
        <v>7159.5</v>
      </c>
      <c r="H2568" s="36">
        <v>1861</v>
      </c>
      <c r="I2568" s="36">
        <v>3790</v>
      </c>
      <c r="J2568" s="36">
        <v>0</v>
      </c>
      <c r="K2568" s="36">
        <f t="shared" si="558"/>
        <v>12810.5</v>
      </c>
      <c r="L2568" s="36">
        <v>7500</v>
      </c>
      <c r="M2568" s="9">
        <f t="shared" si="559"/>
        <v>0.58545724210608485</v>
      </c>
      <c r="N2568" s="5">
        <v>1</v>
      </c>
      <c r="O2568" s="10">
        <f t="shared" si="560"/>
        <v>0.58545724210608485</v>
      </c>
    </row>
    <row r="2569" spans="2:15" ht="13.5" hidden="1" customHeight="1">
      <c r="B2569" s="33">
        <f t="shared" si="562"/>
        <v>11</v>
      </c>
      <c r="C2569" s="63" t="s">
        <v>158</v>
      </c>
      <c r="D2569" s="63" t="s">
        <v>862</v>
      </c>
      <c r="F2569" s="64" t="s">
        <v>140</v>
      </c>
      <c r="G2569" s="36">
        <f>300*12</f>
        <v>3600</v>
      </c>
      <c r="H2569" s="36">
        <v>1861</v>
      </c>
      <c r="I2569" s="36">
        <v>3240</v>
      </c>
      <c r="J2569" s="36">
        <v>0</v>
      </c>
      <c r="K2569" s="36">
        <f t="shared" si="558"/>
        <v>8701</v>
      </c>
      <c r="L2569" s="36">
        <v>7500</v>
      </c>
      <c r="M2569" s="9">
        <f t="shared" si="559"/>
        <v>0.86196988851856104</v>
      </c>
      <c r="N2569" s="5">
        <v>1</v>
      </c>
      <c r="O2569" s="10">
        <f t="shared" si="560"/>
        <v>0.86196988851856104</v>
      </c>
    </row>
    <row r="2570" spans="2:15" ht="13.5" hidden="1" customHeight="1">
      <c r="B2570" s="33">
        <f t="shared" si="562"/>
        <v>12</v>
      </c>
      <c r="C2570" s="63" t="s">
        <v>179</v>
      </c>
      <c r="D2570" s="63" t="s">
        <v>903</v>
      </c>
      <c r="F2570" s="64" t="s">
        <v>428</v>
      </c>
      <c r="G2570" s="36">
        <f>277*18</f>
        <v>4986</v>
      </c>
      <c r="H2570" s="36">
        <v>1861</v>
      </c>
      <c r="I2570" s="36">
        <v>7890</v>
      </c>
      <c r="J2570" s="36">
        <v>0</v>
      </c>
      <c r="K2570" s="36">
        <f t="shared" si="558"/>
        <v>14737</v>
      </c>
      <c r="L2570" s="36">
        <v>7500</v>
      </c>
      <c r="M2570" s="9">
        <f t="shared" si="559"/>
        <v>0.50892311868087126</v>
      </c>
      <c r="N2570" s="5">
        <v>1</v>
      </c>
      <c r="O2570" s="10">
        <f t="shared" si="560"/>
        <v>0.50892311868087126</v>
      </c>
    </row>
    <row r="2571" spans="2:15" ht="13.5" hidden="1" customHeight="1">
      <c r="B2571" s="33">
        <f t="shared" si="562"/>
        <v>13</v>
      </c>
      <c r="C2571" s="62" t="s">
        <v>911</v>
      </c>
      <c r="D2571" s="62" t="s">
        <v>774</v>
      </c>
      <c r="F2571" s="61" t="s">
        <v>41</v>
      </c>
      <c r="G2571" s="36">
        <f>333*18.5</f>
        <v>6160.5</v>
      </c>
      <c r="H2571" s="36">
        <v>1861</v>
      </c>
      <c r="I2571" s="36">
        <v>3790</v>
      </c>
      <c r="J2571" s="36">
        <v>500</v>
      </c>
      <c r="K2571" s="36">
        <f t="shared" si="558"/>
        <v>12311.5</v>
      </c>
      <c r="L2571" s="36">
        <v>7500</v>
      </c>
      <c r="M2571" s="9">
        <f t="shared" si="559"/>
        <v>0.60918653291637903</v>
      </c>
      <c r="N2571" s="5">
        <v>1</v>
      </c>
      <c r="O2571" s="10">
        <f t="shared" si="560"/>
        <v>0.60918653291637903</v>
      </c>
    </row>
    <row r="2572" spans="2:15" ht="13.5" hidden="1" customHeight="1">
      <c r="B2572" s="33">
        <f t="shared" si="562"/>
        <v>14</v>
      </c>
      <c r="C2572" s="63" t="s">
        <v>912</v>
      </c>
      <c r="D2572" s="63" t="s">
        <v>897</v>
      </c>
      <c r="F2572" s="61" t="s">
        <v>41</v>
      </c>
      <c r="G2572" s="36">
        <f>333*15.5</f>
        <v>5161.5</v>
      </c>
      <c r="H2572" s="36">
        <v>1861</v>
      </c>
      <c r="I2572" s="36">
        <v>3790</v>
      </c>
      <c r="J2572" s="36">
        <v>500</v>
      </c>
      <c r="K2572" s="36">
        <f t="shared" si="558"/>
        <v>11312.5</v>
      </c>
      <c r="L2572" s="36">
        <v>7500</v>
      </c>
      <c r="M2572" s="9">
        <f t="shared" si="559"/>
        <v>0.66298342541436461</v>
      </c>
      <c r="N2572" s="5">
        <v>1</v>
      </c>
      <c r="O2572" s="10">
        <f t="shared" si="560"/>
        <v>0.66298342541436461</v>
      </c>
    </row>
    <row r="2573" spans="2:15" ht="13.5" hidden="1" customHeight="1">
      <c r="B2573" s="33">
        <f t="shared" si="562"/>
        <v>15</v>
      </c>
      <c r="C2573" s="63" t="s">
        <v>100</v>
      </c>
      <c r="D2573" s="63" t="s">
        <v>900</v>
      </c>
      <c r="F2573" s="61" t="s">
        <v>41</v>
      </c>
      <c r="G2573" s="36">
        <f>333*18.5</f>
        <v>6160.5</v>
      </c>
      <c r="H2573" s="36">
        <v>1861</v>
      </c>
      <c r="I2573" s="36">
        <v>3790</v>
      </c>
      <c r="J2573" s="36">
        <v>500</v>
      </c>
      <c r="K2573" s="36">
        <f t="shared" si="558"/>
        <v>12311.5</v>
      </c>
      <c r="L2573" s="36">
        <v>7500</v>
      </c>
      <c r="M2573" s="9">
        <f t="shared" si="559"/>
        <v>0.60918653291637903</v>
      </c>
      <c r="N2573" s="5">
        <v>1</v>
      </c>
      <c r="O2573" s="10">
        <f t="shared" si="560"/>
        <v>0.60918653291637903</v>
      </c>
    </row>
    <row r="2574" spans="2:15" ht="13.5" hidden="1" customHeight="1">
      <c r="B2574" s="33">
        <f t="shared" si="562"/>
        <v>16</v>
      </c>
      <c r="C2574" s="63" t="s">
        <v>266</v>
      </c>
      <c r="D2574" s="63" t="s">
        <v>88</v>
      </c>
      <c r="F2574" s="61" t="s">
        <v>41</v>
      </c>
      <c r="G2574" s="36">
        <f>333*21</f>
        <v>6993</v>
      </c>
      <c r="H2574" s="36">
        <v>1861</v>
      </c>
      <c r="I2574" s="36">
        <v>3790</v>
      </c>
      <c r="J2574" s="36">
        <v>500</v>
      </c>
      <c r="K2574" s="36">
        <f t="shared" si="558"/>
        <v>13144</v>
      </c>
      <c r="L2574" s="36">
        <v>7500</v>
      </c>
      <c r="M2574" s="9">
        <f t="shared" si="559"/>
        <v>0.57060255629945222</v>
      </c>
      <c r="N2574" s="5">
        <v>1</v>
      </c>
      <c r="O2574" s="10">
        <f t="shared" si="560"/>
        <v>0.57060255629945222</v>
      </c>
    </row>
    <row r="2575" spans="2:15" ht="13.5" hidden="1" customHeight="1">
      <c r="B2575" s="33">
        <f t="shared" si="562"/>
        <v>17</v>
      </c>
      <c r="C2575" s="63" t="s">
        <v>913</v>
      </c>
      <c r="D2575" s="63" t="s">
        <v>798</v>
      </c>
      <c r="F2575" s="64" t="s">
        <v>41</v>
      </c>
      <c r="G2575" s="36">
        <f>333*21.5</f>
        <v>7159.5</v>
      </c>
      <c r="H2575" s="36">
        <v>1861</v>
      </c>
      <c r="I2575" s="36">
        <v>3790</v>
      </c>
      <c r="J2575" s="36">
        <v>500</v>
      </c>
      <c r="K2575" s="36">
        <f t="shared" si="558"/>
        <v>13310.5</v>
      </c>
      <c r="L2575" s="36">
        <v>7500</v>
      </c>
      <c r="M2575" s="9">
        <f t="shared" si="559"/>
        <v>0.56346493369895945</v>
      </c>
      <c r="N2575" s="5">
        <v>1</v>
      </c>
      <c r="O2575" s="10">
        <f t="shared" si="560"/>
        <v>0.56346493369895945</v>
      </c>
    </row>
    <row r="2576" spans="2:15" ht="13.5" hidden="1" customHeight="1">
      <c r="B2576" s="33">
        <f t="shared" si="562"/>
        <v>18</v>
      </c>
      <c r="C2576" s="63" t="s">
        <v>67</v>
      </c>
      <c r="D2576" s="63" t="s">
        <v>856</v>
      </c>
      <c r="F2576" s="64" t="s">
        <v>41</v>
      </c>
      <c r="G2576" s="36">
        <f>333*15</f>
        <v>4995</v>
      </c>
      <c r="H2576" s="36">
        <v>1861</v>
      </c>
      <c r="I2576" s="36">
        <v>3790</v>
      </c>
      <c r="J2576" s="36">
        <v>500</v>
      </c>
      <c r="K2576" s="36">
        <f t="shared" si="558"/>
        <v>11146</v>
      </c>
      <c r="L2576" s="36">
        <v>7500</v>
      </c>
      <c r="M2576" s="9">
        <f t="shared" si="559"/>
        <v>0.67288713439799031</v>
      </c>
      <c r="N2576" s="5">
        <v>1</v>
      </c>
      <c r="O2576" s="10">
        <f t="shared" si="560"/>
        <v>0.67288713439799031</v>
      </c>
    </row>
    <row r="2577" spans="2:15" ht="13.5" hidden="1" customHeight="1">
      <c r="B2577" s="33">
        <f t="shared" si="562"/>
        <v>19</v>
      </c>
      <c r="C2577" s="63" t="s">
        <v>243</v>
      </c>
      <c r="D2577" s="63" t="s">
        <v>823</v>
      </c>
      <c r="F2577" s="64" t="s">
        <v>42</v>
      </c>
      <c r="G2577" s="36">
        <f>333*21</f>
        <v>6993</v>
      </c>
      <c r="H2577" s="36">
        <v>1861</v>
      </c>
      <c r="I2577" s="36">
        <v>3240</v>
      </c>
      <c r="J2577" s="36">
        <v>500</v>
      </c>
      <c r="K2577" s="36">
        <f t="shared" si="558"/>
        <v>12594</v>
      </c>
      <c r="L2577" s="36">
        <v>7500</v>
      </c>
      <c r="M2577" s="9">
        <f t="shared" si="559"/>
        <v>0.59552167698904235</v>
      </c>
      <c r="N2577" s="5">
        <v>1</v>
      </c>
      <c r="O2577" s="10">
        <f t="shared" si="560"/>
        <v>0.59552167698904235</v>
      </c>
    </row>
    <row r="2578" spans="2:15" ht="13.5" hidden="1" customHeight="1">
      <c r="B2578" s="33">
        <f t="shared" si="562"/>
        <v>20</v>
      </c>
      <c r="C2578" s="63" t="s">
        <v>355</v>
      </c>
      <c r="D2578" s="63" t="s">
        <v>863</v>
      </c>
      <c r="F2578" s="64" t="s">
        <v>42</v>
      </c>
      <c r="G2578" s="36">
        <f t="shared" ref="G2578:G2579" si="563">333*21</f>
        <v>6993</v>
      </c>
      <c r="H2578" s="36">
        <v>1861</v>
      </c>
      <c r="I2578" s="36">
        <v>3240</v>
      </c>
      <c r="J2578" s="36">
        <v>500</v>
      </c>
      <c r="K2578" s="36">
        <f t="shared" si="558"/>
        <v>12594</v>
      </c>
      <c r="L2578" s="36">
        <v>7500</v>
      </c>
      <c r="M2578" s="9">
        <f t="shared" si="559"/>
        <v>0.59552167698904235</v>
      </c>
      <c r="N2578" s="5">
        <v>1</v>
      </c>
      <c r="O2578" s="10">
        <f t="shared" si="560"/>
        <v>0.59552167698904235</v>
      </c>
    </row>
    <row r="2579" spans="2:15" ht="13.5" hidden="1" customHeight="1">
      <c r="B2579" s="33">
        <f t="shared" si="562"/>
        <v>21</v>
      </c>
      <c r="C2579" s="63" t="s">
        <v>914</v>
      </c>
      <c r="D2579" s="63" t="s">
        <v>880</v>
      </c>
      <c r="F2579" s="64" t="s">
        <v>42</v>
      </c>
      <c r="G2579" s="36">
        <f t="shared" si="563"/>
        <v>6993</v>
      </c>
      <c r="H2579" s="36">
        <v>1861</v>
      </c>
      <c r="I2579" s="36">
        <v>3240</v>
      </c>
      <c r="J2579" s="36">
        <v>500</v>
      </c>
      <c r="K2579" s="36">
        <f t="shared" si="558"/>
        <v>12594</v>
      </c>
      <c r="L2579" s="36">
        <v>7500</v>
      </c>
      <c r="M2579" s="9">
        <f t="shared" si="559"/>
        <v>0.59552167698904235</v>
      </c>
      <c r="N2579" s="5">
        <v>1</v>
      </c>
      <c r="O2579" s="10">
        <f t="shared" si="560"/>
        <v>0.59552167698904235</v>
      </c>
    </row>
    <row r="2580" spans="2:15" ht="13.5" hidden="1" customHeight="1">
      <c r="B2580" s="33">
        <f t="shared" si="562"/>
        <v>22</v>
      </c>
      <c r="C2580" s="62" t="s">
        <v>915</v>
      </c>
      <c r="D2580" s="62" t="s">
        <v>757</v>
      </c>
      <c r="F2580" s="61" t="s">
        <v>25</v>
      </c>
      <c r="G2580" s="36">
        <f>300*18</f>
        <v>5400</v>
      </c>
      <c r="H2580" s="36">
        <v>1861</v>
      </c>
      <c r="I2580" s="36">
        <v>3240</v>
      </c>
      <c r="J2580" s="36">
        <v>500</v>
      </c>
      <c r="K2580" s="36">
        <f t="shared" si="558"/>
        <v>11001</v>
      </c>
      <c r="L2580" s="36">
        <v>7500</v>
      </c>
      <c r="M2580" s="9">
        <f t="shared" si="559"/>
        <v>0.6817562039814562</v>
      </c>
      <c r="N2580" s="5">
        <v>1</v>
      </c>
      <c r="O2580" s="10">
        <f t="shared" si="560"/>
        <v>0.6817562039814562</v>
      </c>
    </row>
    <row r="2581" spans="2:15" ht="13.5" hidden="1" customHeight="1">
      <c r="B2581" s="33">
        <f t="shared" si="562"/>
        <v>23</v>
      </c>
      <c r="C2581" s="62" t="s">
        <v>103</v>
      </c>
      <c r="D2581" s="62" t="s">
        <v>768</v>
      </c>
      <c r="F2581" s="61" t="s">
        <v>25</v>
      </c>
      <c r="G2581" s="36">
        <f>277*6</f>
        <v>1662</v>
      </c>
      <c r="H2581" s="36">
        <v>1861</v>
      </c>
      <c r="I2581" s="36">
        <v>3240</v>
      </c>
      <c r="J2581" s="36">
        <v>500</v>
      </c>
      <c r="K2581" s="36">
        <f t="shared" si="558"/>
        <v>7263</v>
      </c>
      <c r="L2581" s="36">
        <v>7500</v>
      </c>
      <c r="M2581" s="9">
        <f t="shared" si="559"/>
        <v>1.0326311441553078</v>
      </c>
      <c r="N2581" s="5">
        <v>1</v>
      </c>
      <c r="O2581" s="10">
        <f t="shared" si="560"/>
        <v>1.0326311441553078</v>
      </c>
    </row>
    <row r="2582" spans="2:15" ht="13.5" hidden="1" customHeight="1">
      <c r="B2582" s="33">
        <f t="shared" si="562"/>
        <v>24</v>
      </c>
      <c r="C2582" s="63" t="s">
        <v>916</v>
      </c>
      <c r="D2582" s="63" t="s">
        <v>836</v>
      </c>
      <c r="F2582" s="64" t="s">
        <v>417</v>
      </c>
      <c r="G2582" s="36">
        <v>0</v>
      </c>
      <c r="H2582" s="36">
        <v>0</v>
      </c>
      <c r="I2582" s="36">
        <v>0</v>
      </c>
      <c r="J2582" s="36">
        <v>0</v>
      </c>
      <c r="K2582" s="36">
        <f t="shared" si="558"/>
        <v>0</v>
      </c>
      <c r="L2582" s="36">
        <v>7500</v>
      </c>
      <c r="M2582" s="9" t="e">
        <f t="shared" si="559"/>
        <v>#DIV/0!</v>
      </c>
      <c r="N2582" s="5">
        <v>1</v>
      </c>
      <c r="O2582" s="10" t="e">
        <f t="shared" si="560"/>
        <v>#DIV/0!</v>
      </c>
    </row>
    <row r="2583" spans="2:15" ht="13.5" hidden="1" customHeight="1">
      <c r="B2583" s="33">
        <f t="shared" si="562"/>
        <v>25</v>
      </c>
      <c r="C2583" s="63" t="s">
        <v>66</v>
      </c>
      <c r="D2583" s="63" t="s">
        <v>847</v>
      </c>
      <c r="F2583" s="64" t="s">
        <v>417</v>
      </c>
      <c r="G2583" s="36">
        <v>0</v>
      </c>
      <c r="H2583" s="36">
        <v>0</v>
      </c>
      <c r="I2583" s="36">
        <v>0</v>
      </c>
      <c r="J2583" s="36">
        <v>0</v>
      </c>
      <c r="K2583" s="36">
        <f t="shared" si="558"/>
        <v>0</v>
      </c>
      <c r="L2583" s="36">
        <v>7500</v>
      </c>
      <c r="M2583" s="9" t="e">
        <f t="shared" si="559"/>
        <v>#DIV/0!</v>
      </c>
      <c r="N2583" s="5">
        <v>1</v>
      </c>
      <c r="O2583" s="10" t="e">
        <f t="shared" si="560"/>
        <v>#DIV/0!</v>
      </c>
    </row>
    <row r="2584" spans="2:15" ht="13.5" hidden="1" customHeight="1">
      <c r="B2584" s="33">
        <f t="shared" si="562"/>
        <v>26</v>
      </c>
      <c r="C2584" s="63" t="s">
        <v>917</v>
      </c>
      <c r="D2584" s="63" t="s">
        <v>874</v>
      </c>
      <c r="F2584" s="64" t="s">
        <v>417</v>
      </c>
      <c r="G2584" s="36">
        <v>0</v>
      </c>
      <c r="H2584" s="36">
        <v>0</v>
      </c>
      <c r="I2584" s="36">
        <v>0</v>
      </c>
      <c r="J2584" s="36">
        <v>0</v>
      </c>
      <c r="K2584" s="36">
        <f t="shared" si="558"/>
        <v>0</v>
      </c>
      <c r="L2584" s="36">
        <v>7500</v>
      </c>
      <c r="M2584" s="9" t="e">
        <f t="shared" si="559"/>
        <v>#DIV/0!</v>
      </c>
      <c r="N2584" s="5">
        <v>1</v>
      </c>
      <c r="O2584" s="10" t="e">
        <f t="shared" si="560"/>
        <v>#DIV/0!</v>
      </c>
    </row>
    <row r="2585" spans="2:15" ht="13.5" hidden="1" customHeight="1">
      <c r="B2585" s="33">
        <f t="shared" si="562"/>
        <v>27</v>
      </c>
      <c r="C2585" s="62" t="s">
        <v>163</v>
      </c>
      <c r="D2585" s="62" t="s">
        <v>751</v>
      </c>
      <c r="F2585" s="61" t="s">
        <v>159</v>
      </c>
      <c r="G2585" s="36">
        <f>333*15</f>
        <v>4995</v>
      </c>
      <c r="H2585" s="36">
        <v>1861</v>
      </c>
      <c r="I2585" s="36">
        <v>3240</v>
      </c>
      <c r="J2585" s="36">
        <v>900</v>
      </c>
      <c r="K2585" s="36">
        <f t="shared" si="558"/>
        <v>10996</v>
      </c>
      <c r="L2585" s="36">
        <v>7500</v>
      </c>
      <c r="M2585" s="9">
        <f t="shared" si="559"/>
        <v>0.682066205893052</v>
      </c>
      <c r="N2585" s="5">
        <v>1</v>
      </c>
      <c r="O2585" s="10">
        <f t="shared" si="560"/>
        <v>0.682066205893052</v>
      </c>
    </row>
    <row r="2586" spans="2:15" ht="13.5" hidden="1" customHeight="1">
      <c r="B2586" s="33">
        <f t="shared" si="562"/>
        <v>28</v>
      </c>
      <c r="C2586" s="62" t="s">
        <v>918</v>
      </c>
      <c r="D2586" s="62" t="s">
        <v>770</v>
      </c>
      <c r="F2586" s="61" t="s">
        <v>159</v>
      </c>
      <c r="G2586" s="36">
        <f t="shared" ref="G2586:G2590" si="564">333*15</f>
        <v>4995</v>
      </c>
      <c r="H2586" s="36">
        <v>1861</v>
      </c>
      <c r="I2586" s="36">
        <v>3240</v>
      </c>
      <c r="J2586" s="36">
        <v>900</v>
      </c>
      <c r="K2586" s="36">
        <f t="shared" si="558"/>
        <v>10996</v>
      </c>
      <c r="L2586" s="36">
        <v>7500</v>
      </c>
      <c r="M2586" s="9">
        <f t="shared" si="559"/>
        <v>0.682066205893052</v>
      </c>
      <c r="N2586" s="5">
        <v>1</v>
      </c>
      <c r="O2586" s="10">
        <f t="shared" si="560"/>
        <v>0.682066205893052</v>
      </c>
    </row>
    <row r="2587" spans="2:15" ht="13.5" hidden="1" customHeight="1">
      <c r="B2587" s="33">
        <f t="shared" si="562"/>
        <v>29</v>
      </c>
      <c r="C2587" s="62" t="s">
        <v>164</v>
      </c>
      <c r="D2587" s="62" t="s">
        <v>778</v>
      </c>
      <c r="F2587" s="61" t="s">
        <v>159</v>
      </c>
      <c r="G2587" s="36">
        <f t="shared" si="564"/>
        <v>4995</v>
      </c>
      <c r="H2587" s="36">
        <v>1861</v>
      </c>
      <c r="I2587" s="36">
        <v>3240</v>
      </c>
      <c r="J2587" s="36">
        <v>900</v>
      </c>
      <c r="K2587" s="36">
        <f t="shared" si="558"/>
        <v>10996</v>
      </c>
      <c r="L2587" s="36">
        <v>7500</v>
      </c>
      <c r="M2587" s="9">
        <f t="shared" si="559"/>
        <v>0.682066205893052</v>
      </c>
      <c r="N2587" s="5">
        <v>1</v>
      </c>
      <c r="O2587" s="10">
        <f t="shared" si="560"/>
        <v>0.682066205893052</v>
      </c>
    </row>
    <row r="2588" spans="2:15" ht="13.5" hidden="1" customHeight="1">
      <c r="B2588" s="33">
        <f t="shared" si="562"/>
        <v>30</v>
      </c>
      <c r="C2588" s="63" t="s">
        <v>919</v>
      </c>
      <c r="D2588" s="63" t="s">
        <v>810</v>
      </c>
      <c r="F2588" s="64" t="s">
        <v>159</v>
      </c>
      <c r="G2588" s="36">
        <f t="shared" si="564"/>
        <v>4995</v>
      </c>
      <c r="H2588" s="36">
        <v>1861</v>
      </c>
      <c r="I2588" s="36">
        <v>3240</v>
      </c>
      <c r="J2588" s="36">
        <v>900</v>
      </c>
      <c r="K2588" s="36">
        <f t="shared" si="558"/>
        <v>10996</v>
      </c>
      <c r="L2588" s="36">
        <v>7500</v>
      </c>
      <c r="M2588" s="9">
        <f t="shared" si="559"/>
        <v>0.682066205893052</v>
      </c>
      <c r="N2588" s="5">
        <v>1</v>
      </c>
      <c r="O2588" s="10">
        <f t="shared" si="560"/>
        <v>0.682066205893052</v>
      </c>
    </row>
    <row r="2589" spans="2:15" ht="13.5" hidden="1" customHeight="1">
      <c r="B2589" s="33">
        <f t="shared" si="562"/>
        <v>31</v>
      </c>
      <c r="C2589" s="63" t="s">
        <v>249</v>
      </c>
      <c r="D2589" s="63" t="s">
        <v>857</v>
      </c>
      <c r="F2589" s="64" t="s">
        <v>159</v>
      </c>
      <c r="G2589" s="36">
        <f t="shared" si="564"/>
        <v>4995</v>
      </c>
      <c r="H2589" s="36">
        <v>1861</v>
      </c>
      <c r="I2589" s="36">
        <v>3240</v>
      </c>
      <c r="J2589" s="36">
        <v>900</v>
      </c>
      <c r="K2589" s="36">
        <f t="shared" si="558"/>
        <v>10996</v>
      </c>
      <c r="L2589" s="36">
        <v>7500</v>
      </c>
      <c r="M2589" s="9">
        <f t="shared" si="559"/>
        <v>0.682066205893052</v>
      </c>
      <c r="N2589" s="5">
        <v>1</v>
      </c>
      <c r="O2589" s="10">
        <f t="shared" si="560"/>
        <v>0.682066205893052</v>
      </c>
    </row>
    <row r="2590" spans="2:15" ht="13.5" hidden="1" customHeight="1">
      <c r="B2590" s="33">
        <f t="shared" si="562"/>
        <v>32</v>
      </c>
      <c r="C2590" s="63" t="s">
        <v>175</v>
      </c>
      <c r="D2590" s="63" t="s">
        <v>85</v>
      </c>
      <c r="F2590" s="64" t="s">
        <v>159</v>
      </c>
      <c r="G2590" s="36">
        <f t="shared" si="564"/>
        <v>4995</v>
      </c>
      <c r="H2590" s="36">
        <v>1861</v>
      </c>
      <c r="I2590" s="36">
        <v>3240</v>
      </c>
      <c r="J2590" s="36">
        <v>900</v>
      </c>
      <c r="K2590" s="36">
        <f t="shared" si="558"/>
        <v>10996</v>
      </c>
      <c r="L2590" s="36">
        <v>7500</v>
      </c>
      <c r="M2590" s="9">
        <f t="shared" si="559"/>
        <v>0.682066205893052</v>
      </c>
      <c r="N2590" s="5">
        <v>1</v>
      </c>
      <c r="O2590" s="10">
        <f t="shared" si="560"/>
        <v>0.682066205893052</v>
      </c>
    </row>
    <row r="2591" spans="2:15" ht="13.5" hidden="1" customHeight="1">
      <c r="B2591" s="33">
        <f t="shared" si="562"/>
        <v>33</v>
      </c>
      <c r="C2591" s="62" t="s">
        <v>920</v>
      </c>
      <c r="D2591" s="62" t="s">
        <v>725</v>
      </c>
      <c r="F2591" s="61" t="s">
        <v>37</v>
      </c>
      <c r="G2591" s="36">
        <f>333*15.5</f>
        <v>5161.5</v>
      </c>
      <c r="H2591" s="36">
        <v>1861</v>
      </c>
      <c r="I2591" s="36">
        <v>3240</v>
      </c>
      <c r="J2591" s="36">
        <v>500</v>
      </c>
      <c r="K2591" s="36">
        <f t="shared" si="558"/>
        <v>10762.5</v>
      </c>
      <c r="L2591" s="36">
        <v>7500</v>
      </c>
      <c r="M2591" s="9">
        <f t="shared" si="559"/>
        <v>0.69686411149825789</v>
      </c>
      <c r="N2591" s="5">
        <v>1</v>
      </c>
      <c r="O2591" s="10">
        <f t="shared" si="560"/>
        <v>0.69686411149825789</v>
      </c>
    </row>
    <row r="2592" spans="2:15" ht="13.5" hidden="1" customHeight="1">
      <c r="B2592" s="33">
        <f t="shared" si="562"/>
        <v>34</v>
      </c>
      <c r="C2592" s="62" t="s">
        <v>161</v>
      </c>
      <c r="D2592" s="62" t="s">
        <v>102</v>
      </c>
      <c r="F2592" s="61" t="s">
        <v>37</v>
      </c>
      <c r="G2592" s="36">
        <f>333*18</f>
        <v>5994</v>
      </c>
      <c r="H2592" s="36">
        <v>1861</v>
      </c>
      <c r="I2592" s="36">
        <v>3240</v>
      </c>
      <c r="J2592" s="36">
        <v>0</v>
      </c>
      <c r="K2592" s="36">
        <f t="shared" si="558"/>
        <v>11095</v>
      </c>
      <c r="L2592" s="36">
        <v>7500</v>
      </c>
      <c r="M2592" s="9">
        <f t="shared" si="559"/>
        <v>0.67598017124831</v>
      </c>
      <c r="N2592" s="5">
        <v>1</v>
      </c>
      <c r="O2592" s="10">
        <f t="shared" si="560"/>
        <v>0.67598017124831</v>
      </c>
    </row>
    <row r="2593" spans="2:15" ht="13.5" hidden="1" customHeight="1">
      <c r="B2593" s="33">
        <f t="shared" si="562"/>
        <v>35</v>
      </c>
      <c r="C2593" s="62" t="s">
        <v>54</v>
      </c>
      <c r="D2593" s="62" t="s">
        <v>63</v>
      </c>
      <c r="F2593" s="61" t="s">
        <v>37</v>
      </c>
      <c r="G2593" s="36">
        <f t="shared" ref="G2593:G2594" si="565">333*18</f>
        <v>5994</v>
      </c>
      <c r="H2593" s="36">
        <v>1861</v>
      </c>
      <c r="I2593" s="36">
        <v>3240</v>
      </c>
      <c r="J2593" s="36">
        <v>0</v>
      </c>
      <c r="K2593" s="36">
        <f t="shared" si="558"/>
        <v>11095</v>
      </c>
      <c r="L2593" s="36">
        <v>7500</v>
      </c>
      <c r="M2593" s="9">
        <f t="shared" si="559"/>
        <v>0.67598017124831</v>
      </c>
      <c r="N2593" s="5">
        <v>1</v>
      </c>
      <c r="O2593" s="10">
        <f t="shared" si="560"/>
        <v>0.67598017124831</v>
      </c>
    </row>
    <row r="2594" spans="2:15" ht="13.5" hidden="1" customHeight="1">
      <c r="B2594" s="33">
        <f t="shared" si="562"/>
        <v>36</v>
      </c>
      <c r="C2594" s="63" t="s">
        <v>921</v>
      </c>
      <c r="D2594" s="63" t="s">
        <v>849</v>
      </c>
      <c r="F2594" s="64" t="s">
        <v>37</v>
      </c>
      <c r="G2594" s="36">
        <f t="shared" si="565"/>
        <v>5994</v>
      </c>
      <c r="H2594" s="36">
        <v>1861</v>
      </c>
      <c r="I2594" s="36">
        <v>3240</v>
      </c>
      <c r="J2594" s="36">
        <v>0</v>
      </c>
      <c r="K2594" s="36">
        <f t="shared" si="558"/>
        <v>11095</v>
      </c>
      <c r="L2594" s="36">
        <v>7500</v>
      </c>
      <c r="M2594" s="9">
        <f t="shared" si="559"/>
        <v>0.67598017124831</v>
      </c>
      <c r="N2594" s="5">
        <v>1</v>
      </c>
      <c r="O2594" s="10">
        <f t="shared" si="560"/>
        <v>0.67598017124831</v>
      </c>
    </row>
    <row r="2595" spans="2:15" ht="13.5" hidden="1" customHeight="1">
      <c r="B2595" s="33">
        <f t="shared" si="562"/>
        <v>37</v>
      </c>
      <c r="C2595" s="63" t="s">
        <v>168</v>
      </c>
      <c r="D2595" s="63" t="s">
        <v>824</v>
      </c>
      <c r="F2595" s="64" t="s">
        <v>216</v>
      </c>
      <c r="G2595" s="36">
        <f>300*12</f>
        <v>3600</v>
      </c>
      <c r="H2595" s="36">
        <v>1861</v>
      </c>
      <c r="I2595" s="36">
        <v>3240</v>
      </c>
      <c r="J2595" s="36">
        <v>0</v>
      </c>
      <c r="K2595" s="36">
        <f t="shared" si="558"/>
        <v>8701</v>
      </c>
      <c r="L2595" s="36">
        <v>7500</v>
      </c>
      <c r="M2595" s="9">
        <f t="shared" si="559"/>
        <v>0.86196988851856104</v>
      </c>
      <c r="N2595" s="5">
        <v>1</v>
      </c>
      <c r="O2595" s="10">
        <f t="shared" si="560"/>
        <v>0.86196988851856104</v>
      </c>
    </row>
    <row r="2596" spans="2:15" ht="13.5" hidden="1" customHeight="1">
      <c r="B2596" s="33">
        <f t="shared" si="562"/>
        <v>38</v>
      </c>
      <c r="C2596" s="63" t="s">
        <v>116</v>
      </c>
      <c r="D2596" s="63" t="s">
        <v>864</v>
      </c>
      <c r="F2596" s="64" t="s">
        <v>216</v>
      </c>
      <c r="G2596" s="36">
        <f>300*18.5</f>
        <v>5550</v>
      </c>
      <c r="H2596" s="36">
        <v>1861</v>
      </c>
      <c r="I2596" s="36">
        <v>3240</v>
      </c>
      <c r="J2596" s="36">
        <v>0</v>
      </c>
      <c r="K2596" s="36">
        <f t="shared" si="558"/>
        <v>10651</v>
      </c>
      <c r="L2596" s="36">
        <v>7500</v>
      </c>
      <c r="M2596" s="9">
        <f t="shared" si="559"/>
        <v>0.70415923387475354</v>
      </c>
      <c r="N2596" s="5">
        <v>1</v>
      </c>
      <c r="O2596" s="10">
        <f t="shared" si="560"/>
        <v>0.70415923387475354</v>
      </c>
    </row>
    <row r="2597" spans="2:15" ht="13.5" hidden="1" customHeight="1">
      <c r="B2597" s="33">
        <f t="shared" si="562"/>
        <v>39</v>
      </c>
      <c r="C2597" s="62" t="s">
        <v>922</v>
      </c>
      <c r="D2597" s="62" t="s">
        <v>726</v>
      </c>
      <c r="F2597" s="61" t="s">
        <v>33</v>
      </c>
      <c r="G2597" s="36">
        <f>333*18.5</f>
        <v>6160.5</v>
      </c>
      <c r="H2597" s="36">
        <v>1861</v>
      </c>
      <c r="I2597" s="36">
        <v>3790</v>
      </c>
      <c r="J2597" s="36">
        <v>750</v>
      </c>
      <c r="K2597" s="36">
        <f t="shared" si="558"/>
        <v>12561.5</v>
      </c>
      <c r="L2597" s="36">
        <v>7500</v>
      </c>
      <c r="M2597" s="9">
        <f t="shared" si="559"/>
        <v>0.59706245273255587</v>
      </c>
      <c r="N2597" s="5">
        <v>1</v>
      </c>
      <c r="O2597" s="10">
        <f t="shared" si="560"/>
        <v>0.59706245273255587</v>
      </c>
    </row>
    <row r="2598" spans="2:15" ht="13.5" hidden="1" customHeight="1">
      <c r="B2598" s="33">
        <f t="shared" si="562"/>
        <v>40</v>
      </c>
      <c r="C2598" s="62" t="s">
        <v>479</v>
      </c>
      <c r="D2598" s="62" t="s">
        <v>731</v>
      </c>
      <c r="F2598" s="61" t="s">
        <v>33</v>
      </c>
      <c r="G2598" s="36">
        <f>333*15</f>
        <v>4995</v>
      </c>
      <c r="H2598" s="36">
        <v>1861</v>
      </c>
      <c r="I2598" s="36">
        <v>3790</v>
      </c>
      <c r="J2598" s="36">
        <v>750</v>
      </c>
      <c r="K2598" s="36">
        <f t="shared" si="558"/>
        <v>11396</v>
      </c>
      <c r="L2598" s="36">
        <v>7500</v>
      </c>
      <c r="M2598" s="9">
        <f t="shared" si="559"/>
        <v>0.65812565812565815</v>
      </c>
      <c r="N2598" s="5">
        <v>1</v>
      </c>
      <c r="O2598" s="10">
        <f t="shared" si="560"/>
        <v>0.65812565812565815</v>
      </c>
    </row>
    <row r="2599" spans="2:15" ht="13.5" hidden="1" customHeight="1">
      <c r="B2599" s="33">
        <f t="shared" si="562"/>
        <v>41</v>
      </c>
      <c r="C2599" s="62" t="s">
        <v>923</v>
      </c>
      <c r="D2599" s="62" t="s">
        <v>741</v>
      </c>
      <c r="F2599" s="61" t="s">
        <v>33</v>
      </c>
      <c r="G2599" s="36">
        <f>333*18.5</f>
        <v>6160.5</v>
      </c>
      <c r="H2599" s="36">
        <v>1861</v>
      </c>
      <c r="I2599" s="36">
        <v>3790</v>
      </c>
      <c r="J2599" s="36">
        <v>750</v>
      </c>
      <c r="K2599" s="36">
        <f t="shared" si="558"/>
        <v>12561.5</v>
      </c>
      <c r="L2599" s="36">
        <v>7500</v>
      </c>
      <c r="M2599" s="9">
        <f t="shared" si="559"/>
        <v>0.59706245273255587</v>
      </c>
      <c r="N2599" s="5">
        <v>1</v>
      </c>
      <c r="O2599" s="10">
        <f t="shared" si="560"/>
        <v>0.59706245273255587</v>
      </c>
    </row>
    <row r="2600" spans="2:15" ht="13.5" hidden="1" customHeight="1">
      <c r="B2600" s="33">
        <f t="shared" si="562"/>
        <v>42</v>
      </c>
      <c r="C2600" s="62" t="s">
        <v>924</v>
      </c>
      <c r="D2600" s="62" t="s">
        <v>753</v>
      </c>
      <c r="F2600" s="61" t="s">
        <v>33</v>
      </c>
      <c r="G2600" s="36">
        <f t="shared" ref="G2600:G2610" si="566">333*18.5</f>
        <v>6160.5</v>
      </c>
      <c r="H2600" s="36">
        <v>1861</v>
      </c>
      <c r="I2600" s="36">
        <v>3790</v>
      </c>
      <c r="J2600" s="36">
        <v>750</v>
      </c>
      <c r="K2600" s="36">
        <f t="shared" si="558"/>
        <v>12561.5</v>
      </c>
      <c r="L2600" s="36">
        <v>7500</v>
      </c>
      <c r="M2600" s="9">
        <f t="shared" si="559"/>
        <v>0.59706245273255587</v>
      </c>
      <c r="N2600" s="5">
        <v>1</v>
      </c>
      <c r="O2600" s="10">
        <f t="shared" si="560"/>
        <v>0.59706245273255587</v>
      </c>
    </row>
    <row r="2601" spans="2:15" ht="13.5" hidden="1" customHeight="1">
      <c r="B2601" s="33">
        <f t="shared" si="562"/>
        <v>43</v>
      </c>
      <c r="C2601" s="62" t="s">
        <v>925</v>
      </c>
      <c r="D2601" s="62" t="s">
        <v>755</v>
      </c>
      <c r="F2601" s="61" t="s">
        <v>33</v>
      </c>
      <c r="G2601" s="36">
        <f t="shared" si="566"/>
        <v>6160.5</v>
      </c>
      <c r="H2601" s="36">
        <v>1861</v>
      </c>
      <c r="I2601" s="36">
        <v>3790</v>
      </c>
      <c r="J2601" s="36">
        <v>750</v>
      </c>
      <c r="K2601" s="36">
        <f t="shared" si="558"/>
        <v>12561.5</v>
      </c>
      <c r="L2601" s="36">
        <v>7500</v>
      </c>
      <c r="M2601" s="9">
        <f t="shared" si="559"/>
        <v>0.59706245273255587</v>
      </c>
      <c r="N2601" s="5">
        <v>1</v>
      </c>
      <c r="O2601" s="10">
        <f t="shared" si="560"/>
        <v>0.59706245273255587</v>
      </c>
    </row>
    <row r="2602" spans="2:15" ht="13.5" hidden="1" customHeight="1">
      <c r="B2602" s="33">
        <f t="shared" si="562"/>
        <v>44</v>
      </c>
      <c r="C2602" s="62" t="s">
        <v>51</v>
      </c>
      <c r="D2602" s="62" t="s">
        <v>761</v>
      </c>
      <c r="F2602" s="61" t="s">
        <v>33</v>
      </c>
      <c r="G2602" s="36">
        <f t="shared" si="566"/>
        <v>6160.5</v>
      </c>
      <c r="H2602" s="36">
        <v>1861</v>
      </c>
      <c r="I2602" s="36">
        <v>3790</v>
      </c>
      <c r="J2602" s="36">
        <v>750</v>
      </c>
      <c r="K2602" s="36">
        <f t="shared" si="558"/>
        <v>12561.5</v>
      </c>
      <c r="L2602" s="36">
        <v>7500</v>
      </c>
      <c r="M2602" s="9">
        <f t="shared" si="559"/>
        <v>0.59706245273255587</v>
      </c>
      <c r="N2602" s="5">
        <v>1</v>
      </c>
      <c r="O2602" s="10">
        <f t="shared" si="560"/>
        <v>0.59706245273255587</v>
      </c>
    </row>
    <row r="2603" spans="2:15" ht="13.5" hidden="1" customHeight="1">
      <c r="B2603" s="33">
        <f t="shared" si="562"/>
        <v>45</v>
      </c>
      <c r="C2603" s="62" t="s">
        <v>926</v>
      </c>
      <c r="D2603" s="62" t="s">
        <v>771</v>
      </c>
      <c r="F2603" s="61" t="s">
        <v>33</v>
      </c>
      <c r="G2603" s="36">
        <f t="shared" si="566"/>
        <v>6160.5</v>
      </c>
      <c r="H2603" s="36">
        <v>1861</v>
      </c>
      <c r="I2603" s="36">
        <v>3790</v>
      </c>
      <c r="J2603" s="36">
        <v>750</v>
      </c>
      <c r="K2603" s="36">
        <f t="shared" si="558"/>
        <v>12561.5</v>
      </c>
      <c r="L2603" s="36">
        <v>7500</v>
      </c>
      <c r="M2603" s="9">
        <f t="shared" si="559"/>
        <v>0.59706245273255587</v>
      </c>
      <c r="N2603" s="5">
        <v>1</v>
      </c>
      <c r="O2603" s="10">
        <f t="shared" si="560"/>
        <v>0.59706245273255587</v>
      </c>
    </row>
    <row r="2604" spans="2:15" ht="13.5" hidden="1" customHeight="1">
      <c r="B2604" s="33">
        <f t="shared" si="562"/>
        <v>46</v>
      </c>
      <c r="C2604" s="62" t="s">
        <v>927</v>
      </c>
      <c r="D2604" s="62" t="s">
        <v>780</v>
      </c>
      <c r="F2604" s="61" t="s">
        <v>33</v>
      </c>
      <c r="G2604" s="36">
        <f t="shared" si="566"/>
        <v>6160.5</v>
      </c>
      <c r="H2604" s="36">
        <v>1861</v>
      </c>
      <c r="I2604" s="36">
        <v>3790</v>
      </c>
      <c r="J2604" s="36">
        <v>750</v>
      </c>
      <c r="K2604" s="36">
        <f t="shared" si="558"/>
        <v>12561.5</v>
      </c>
      <c r="L2604" s="36">
        <v>7500</v>
      </c>
      <c r="M2604" s="9">
        <f t="shared" si="559"/>
        <v>0.59706245273255587</v>
      </c>
      <c r="N2604" s="5">
        <v>1</v>
      </c>
      <c r="O2604" s="10">
        <f t="shared" si="560"/>
        <v>0.59706245273255587</v>
      </c>
    </row>
    <row r="2605" spans="2:15" ht="13.5" hidden="1" customHeight="1">
      <c r="B2605" s="33">
        <f t="shared" si="562"/>
        <v>47</v>
      </c>
      <c r="C2605" s="63" t="s">
        <v>347</v>
      </c>
      <c r="D2605" s="63" t="s">
        <v>791</v>
      </c>
      <c r="F2605" s="64" t="s">
        <v>33</v>
      </c>
      <c r="G2605" s="36">
        <f t="shared" si="566"/>
        <v>6160.5</v>
      </c>
      <c r="H2605" s="36">
        <v>1861</v>
      </c>
      <c r="I2605" s="36">
        <v>3790</v>
      </c>
      <c r="J2605" s="36">
        <v>750</v>
      </c>
      <c r="K2605" s="36">
        <f t="shared" si="558"/>
        <v>12561.5</v>
      </c>
      <c r="L2605" s="36">
        <v>7500</v>
      </c>
      <c r="M2605" s="9">
        <f t="shared" si="559"/>
        <v>0.59706245273255587</v>
      </c>
      <c r="N2605" s="5">
        <v>1</v>
      </c>
      <c r="O2605" s="10">
        <f t="shared" si="560"/>
        <v>0.59706245273255587</v>
      </c>
    </row>
    <row r="2606" spans="2:15" ht="13.5" hidden="1" customHeight="1">
      <c r="B2606" s="33">
        <f t="shared" si="562"/>
        <v>48</v>
      </c>
      <c r="C2606" s="63" t="s">
        <v>347</v>
      </c>
      <c r="D2606" s="63" t="s">
        <v>792</v>
      </c>
      <c r="F2606" s="64" t="s">
        <v>33</v>
      </c>
      <c r="G2606" s="36">
        <f t="shared" si="566"/>
        <v>6160.5</v>
      </c>
      <c r="H2606" s="36">
        <v>1861</v>
      </c>
      <c r="I2606" s="36">
        <v>3790</v>
      </c>
      <c r="J2606" s="36">
        <v>750</v>
      </c>
      <c r="K2606" s="36">
        <f t="shared" si="558"/>
        <v>12561.5</v>
      </c>
      <c r="L2606" s="36">
        <v>7500</v>
      </c>
      <c r="M2606" s="9">
        <f t="shared" si="559"/>
        <v>0.59706245273255587</v>
      </c>
      <c r="N2606" s="5">
        <v>1</v>
      </c>
      <c r="O2606" s="10">
        <f t="shared" si="560"/>
        <v>0.59706245273255587</v>
      </c>
    </row>
    <row r="2607" spans="2:15" ht="13.5" hidden="1" customHeight="1">
      <c r="B2607" s="33">
        <f t="shared" si="562"/>
        <v>49</v>
      </c>
      <c r="C2607" s="63" t="s">
        <v>928</v>
      </c>
      <c r="D2607" s="63" t="s">
        <v>796</v>
      </c>
      <c r="F2607" s="64" t="s">
        <v>33</v>
      </c>
      <c r="G2607" s="36">
        <f t="shared" si="566"/>
        <v>6160.5</v>
      </c>
      <c r="H2607" s="36">
        <v>1861</v>
      </c>
      <c r="I2607" s="36">
        <v>3790</v>
      </c>
      <c r="J2607" s="36">
        <v>750</v>
      </c>
      <c r="K2607" s="36">
        <f t="shared" si="558"/>
        <v>12561.5</v>
      </c>
      <c r="L2607" s="36">
        <v>7500</v>
      </c>
      <c r="M2607" s="9">
        <f t="shared" si="559"/>
        <v>0.59706245273255587</v>
      </c>
      <c r="N2607" s="5">
        <v>1</v>
      </c>
      <c r="O2607" s="10">
        <f t="shared" si="560"/>
        <v>0.59706245273255587</v>
      </c>
    </row>
    <row r="2608" spans="2:15" ht="13.5" hidden="1" customHeight="1">
      <c r="B2608" s="33">
        <f t="shared" si="562"/>
        <v>50</v>
      </c>
      <c r="C2608" s="63" t="s">
        <v>82</v>
      </c>
      <c r="D2608" s="63" t="s">
        <v>800</v>
      </c>
      <c r="F2608" s="64" t="s">
        <v>33</v>
      </c>
      <c r="G2608" s="36">
        <f t="shared" si="566"/>
        <v>6160.5</v>
      </c>
      <c r="H2608" s="36">
        <v>1861</v>
      </c>
      <c r="I2608" s="36">
        <v>3790</v>
      </c>
      <c r="J2608" s="36">
        <v>750</v>
      </c>
      <c r="K2608" s="36">
        <f t="shared" si="558"/>
        <v>12561.5</v>
      </c>
      <c r="L2608" s="36">
        <v>7500</v>
      </c>
      <c r="M2608" s="9">
        <f t="shared" si="559"/>
        <v>0.59706245273255587</v>
      </c>
      <c r="N2608" s="5">
        <v>1</v>
      </c>
      <c r="O2608" s="10">
        <f t="shared" si="560"/>
        <v>0.59706245273255587</v>
      </c>
    </row>
    <row r="2609" spans="2:15" ht="13.5" hidden="1" customHeight="1">
      <c r="B2609" s="33">
        <f t="shared" si="562"/>
        <v>51</v>
      </c>
      <c r="C2609" s="63" t="s">
        <v>112</v>
      </c>
      <c r="D2609" s="63" t="s">
        <v>858</v>
      </c>
      <c r="F2609" s="64" t="s">
        <v>33</v>
      </c>
      <c r="G2609" s="36">
        <f t="shared" si="566"/>
        <v>6160.5</v>
      </c>
      <c r="H2609" s="36">
        <v>1861</v>
      </c>
      <c r="I2609" s="36">
        <v>3790</v>
      </c>
      <c r="J2609" s="36">
        <v>750</v>
      </c>
      <c r="K2609" s="36">
        <f t="shared" si="558"/>
        <v>12561.5</v>
      </c>
      <c r="L2609" s="36">
        <v>7500</v>
      </c>
      <c r="M2609" s="9">
        <f t="shared" si="559"/>
        <v>0.59706245273255587</v>
      </c>
      <c r="N2609" s="5">
        <v>1</v>
      </c>
      <c r="O2609" s="10">
        <f t="shared" si="560"/>
        <v>0.59706245273255587</v>
      </c>
    </row>
    <row r="2610" spans="2:15" ht="13.5" hidden="1" customHeight="1">
      <c r="B2610" s="33">
        <f t="shared" si="562"/>
        <v>52</v>
      </c>
      <c r="C2610" s="63" t="s">
        <v>929</v>
      </c>
      <c r="D2610" s="63" t="s">
        <v>896</v>
      </c>
      <c r="F2610" s="64" t="s">
        <v>33</v>
      </c>
      <c r="G2610" s="36">
        <f t="shared" si="566"/>
        <v>6160.5</v>
      </c>
      <c r="H2610" s="36">
        <v>1861</v>
      </c>
      <c r="I2610" s="36">
        <v>3790</v>
      </c>
      <c r="J2610" s="36">
        <v>750</v>
      </c>
      <c r="K2610" s="36">
        <f t="shared" si="558"/>
        <v>12561.5</v>
      </c>
      <c r="L2610" s="36">
        <v>7500</v>
      </c>
      <c r="M2610" s="9">
        <f t="shared" si="559"/>
        <v>0.59706245273255587</v>
      </c>
      <c r="N2610" s="5">
        <v>1</v>
      </c>
      <c r="O2610" s="10">
        <f t="shared" si="560"/>
        <v>0.59706245273255587</v>
      </c>
    </row>
    <row r="2611" spans="2:15" ht="13.5" hidden="1" customHeight="1">
      <c r="B2611" s="33">
        <f t="shared" si="562"/>
        <v>53</v>
      </c>
      <c r="C2611" s="62" t="s">
        <v>930</v>
      </c>
      <c r="D2611" s="62" t="s">
        <v>723</v>
      </c>
      <c r="F2611" s="61" t="s">
        <v>44</v>
      </c>
      <c r="G2611" s="36">
        <f>333*18</f>
        <v>5994</v>
      </c>
      <c r="H2611" s="36">
        <v>1861</v>
      </c>
      <c r="I2611" s="36">
        <v>3240</v>
      </c>
      <c r="J2611" s="36">
        <v>750</v>
      </c>
      <c r="K2611" s="36">
        <f t="shared" si="558"/>
        <v>11845</v>
      </c>
      <c r="L2611" s="36">
        <v>7500</v>
      </c>
      <c r="M2611" s="9">
        <f t="shared" si="559"/>
        <v>0.63317855635289155</v>
      </c>
      <c r="N2611" s="5">
        <v>1</v>
      </c>
      <c r="O2611" s="10">
        <f t="shared" si="560"/>
        <v>0.63317855635289155</v>
      </c>
    </row>
    <row r="2612" spans="2:15" ht="13.5" hidden="1" customHeight="1">
      <c r="B2612" s="33">
        <f t="shared" si="562"/>
        <v>54</v>
      </c>
      <c r="C2612" s="62" t="s">
        <v>931</v>
      </c>
      <c r="D2612" s="62" t="s">
        <v>727</v>
      </c>
      <c r="F2612" s="61" t="s">
        <v>44</v>
      </c>
      <c r="G2612" s="36">
        <f>333*15</f>
        <v>4995</v>
      </c>
      <c r="H2612" s="36">
        <v>1861</v>
      </c>
      <c r="I2612" s="36">
        <v>3240</v>
      </c>
      <c r="J2612" s="36">
        <v>750</v>
      </c>
      <c r="K2612" s="36">
        <f t="shared" si="558"/>
        <v>10846</v>
      </c>
      <c r="L2612" s="36">
        <v>7500</v>
      </c>
      <c r="M2612" s="9">
        <f t="shared" si="559"/>
        <v>0.69149917020099572</v>
      </c>
      <c r="N2612" s="5">
        <v>1</v>
      </c>
      <c r="O2612" s="10">
        <f t="shared" si="560"/>
        <v>0.69149917020099572</v>
      </c>
    </row>
    <row r="2613" spans="2:15" ht="13.5" hidden="1" customHeight="1">
      <c r="B2613" s="33">
        <f t="shared" si="562"/>
        <v>55</v>
      </c>
      <c r="C2613" s="62" t="s">
        <v>932</v>
      </c>
      <c r="D2613" s="62" t="s">
        <v>730</v>
      </c>
      <c r="F2613" s="61" t="s">
        <v>44</v>
      </c>
      <c r="G2613" s="36">
        <f>333*18</f>
        <v>5994</v>
      </c>
      <c r="H2613" s="36">
        <v>1861</v>
      </c>
      <c r="I2613" s="36">
        <v>3240</v>
      </c>
      <c r="J2613" s="36">
        <v>750</v>
      </c>
      <c r="K2613" s="36">
        <f t="shared" si="558"/>
        <v>11845</v>
      </c>
      <c r="L2613" s="36">
        <v>7500</v>
      </c>
      <c r="M2613" s="9">
        <f t="shared" si="559"/>
        <v>0.63317855635289155</v>
      </c>
      <c r="N2613" s="5">
        <v>1</v>
      </c>
      <c r="O2613" s="10">
        <f t="shared" si="560"/>
        <v>0.63317855635289155</v>
      </c>
    </row>
    <row r="2614" spans="2:15" ht="13.5" hidden="1" customHeight="1">
      <c r="B2614" s="33">
        <f t="shared" si="562"/>
        <v>56</v>
      </c>
      <c r="C2614" s="62" t="s">
        <v>933</v>
      </c>
      <c r="D2614" s="62" t="s">
        <v>733</v>
      </c>
      <c r="F2614" s="61" t="s">
        <v>44</v>
      </c>
      <c r="G2614" s="36">
        <f>333*18</f>
        <v>5994</v>
      </c>
      <c r="H2614" s="36">
        <v>1861</v>
      </c>
      <c r="I2614" s="36">
        <v>3240</v>
      </c>
      <c r="J2614" s="36">
        <v>750</v>
      </c>
      <c r="K2614" s="36">
        <f t="shared" si="558"/>
        <v>11845</v>
      </c>
      <c r="L2614" s="36">
        <v>7500</v>
      </c>
      <c r="M2614" s="9">
        <f t="shared" si="559"/>
        <v>0.63317855635289155</v>
      </c>
      <c r="N2614" s="5">
        <v>1</v>
      </c>
      <c r="O2614" s="10">
        <f t="shared" si="560"/>
        <v>0.63317855635289155</v>
      </c>
    </row>
    <row r="2615" spans="2:15" ht="13.5" hidden="1" customHeight="1">
      <c r="B2615" s="33">
        <f t="shared" si="562"/>
        <v>57</v>
      </c>
      <c r="C2615" s="62" t="s">
        <v>340</v>
      </c>
      <c r="D2615" s="62" t="s">
        <v>740</v>
      </c>
      <c r="F2615" s="61" t="s">
        <v>44</v>
      </c>
      <c r="G2615" s="36">
        <f>333*18</f>
        <v>5994</v>
      </c>
      <c r="H2615" s="36">
        <v>1861</v>
      </c>
      <c r="I2615" s="36">
        <v>3240</v>
      </c>
      <c r="J2615" s="36">
        <v>750</v>
      </c>
      <c r="K2615" s="36">
        <f t="shared" si="558"/>
        <v>11845</v>
      </c>
      <c r="L2615" s="36">
        <v>7500</v>
      </c>
      <c r="M2615" s="9">
        <f t="shared" si="559"/>
        <v>0.63317855635289155</v>
      </c>
      <c r="N2615" s="5">
        <v>1</v>
      </c>
      <c r="O2615" s="10">
        <f t="shared" si="560"/>
        <v>0.63317855635289155</v>
      </c>
    </row>
    <row r="2616" spans="2:15" ht="13.5" hidden="1" customHeight="1">
      <c r="B2616" s="33">
        <f t="shared" si="562"/>
        <v>58</v>
      </c>
      <c r="C2616" s="62" t="s">
        <v>934</v>
      </c>
      <c r="D2616" s="62" t="s">
        <v>750</v>
      </c>
      <c r="F2616" s="61" t="s">
        <v>44</v>
      </c>
      <c r="G2616" s="36">
        <f>333*15</f>
        <v>4995</v>
      </c>
      <c r="H2616" s="36">
        <v>1861</v>
      </c>
      <c r="I2616" s="36">
        <v>3240</v>
      </c>
      <c r="J2616" s="36">
        <v>750</v>
      </c>
      <c r="K2616" s="36">
        <f t="shared" si="558"/>
        <v>10846</v>
      </c>
      <c r="L2616" s="36">
        <v>7500</v>
      </c>
      <c r="M2616" s="9">
        <f t="shared" si="559"/>
        <v>0.69149917020099572</v>
      </c>
      <c r="N2616" s="5">
        <v>1</v>
      </c>
      <c r="O2616" s="10">
        <f t="shared" si="560"/>
        <v>0.69149917020099572</v>
      </c>
    </row>
    <row r="2617" spans="2:15" ht="13.5" hidden="1" customHeight="1">
      <c r="B2617" s="33">
        <f t="shared" si="562"/>
        <v>59</v>
      </c>
      <c r="C2617" s="62" t="s">
        <v>935</v>
      </c>
      <c r="D2617" s="62" t="s">
        <v>752</v>
      </c>
      <c r="F2617" s="61" t="s">
        <v>44</v>
      </c>
      <c r="G2617" s="36">
        <f>333*6</f>
        <v>1998</v>
      </c>
      <c r="H2617" s="36">
        <v>1861</v>
      </c>
      <c r="I2617" s="36">
        <v>3240</v>
      </c>
      <c r="J2617" s="36">
        <v>750</v>
      </c>
      <c r="K2617" s="36">
        <f t="shared" si="558"/>
        <v>7849</v>
      </c>
      <c r="L2617" s="36">
        <v>7500</v>
      </c>
      <c r="M2617" s="9">
        <f t="shared" si="559"/>
        <v>0.95553573703656514</v>
      </c>
      <c r="N2617" s="5">
        <v>1</v>
      </c>
      <c r="O2617" s="10">
        <f t="shared" si="560"/>
        <v>0.95553573703656514</v>
      </c>
    </row>
    <row r="2618" spans="2:15" ht="13.5" hidden="1" customHeight="1">
      <c r="B2618" s="33">
        <f t="shared" si="562"/>
        <v>60</v>
      </c>
      <c r="C2618" s="62" t="s">
        <v>52</v>
      </c>
      <c r="D2618" s="62" t="s">
        <v>763</v>
      </c>
      <c r="F2618" s="61" t="s">
        <v>44</v>
      </c>
      <c r="G2618" s="36">
        <f>333*18</f>
        <v>5994</v>
      </c>
      <c r="H2618" s="36">
        <v>1861</v>
      </c>
      <c r="I2618" s="36">
        <v>3240</v>
      </c>
      <c r="J2618" s="36">
        <v>750</v>
      </c>
      <c r="K2618" s="36">
        <f t="shared" si="558"/>
        <v>11845</v>
      </c>
      <c r="L2618" s="36">
        <v>7500</v>
      </c>
      <c r="M2618" s="9">
        <f t="shared" si="559"/>
        <v>0.63317855635289155</v>
      </c>
      <c r="N2618" s="5">
        <v>1</v>
      </c>
      <c r="O2618" s="10">
        <f t="shared" si="560"/>
        <v>0.63317855635289155</v>
      </c>
    </row>
    <row r="2619" spans="2:15" ht="13.5" hidden="1" customHeight="1">
      <c r="B2619" s="33">
        <f t="shared" si="562"/>
        <v>61</v>
      </c>
      <c r="C2619" s="62" t="s">
        <v>344</v>
      </c>
      <c r="D2619" s="62" t="s">
        <v>766</v>
      </c>
      <c r="F2619" s="61" t="s">
        <v>44</v>
      </c>
      <c r="G2619" s="36">
        <f>333*15</f>
        <v>4995</v>
      </c>
      <c r="H2619" s="36">
        <v>1861</v>
      </c>
      <c r="I2619" s="36">
        <v>3240</v>
      </c>
      <c r="J2619" s="36">
        <v>750</v>
      </c>
      <c r="K2619" s="36">
        <f t="shared" si="558"/>
        <v>10846</v>
      </c>
      <c r="L2619" s="36">
        <v>7500</v>
      </c>
      <c r="M2619" s="9">
        <f t="shared" si="559"/>
        <v>0.69149917020099572</v>
      </c>
      <c r="N2619" s="5">
        <v>1</v>
      </c>
      <c r="O2619" s="10">
        <f t="shared" si="560"/>
        <v>0.69149917020099572</v>
      </c>
    </row>
    <row r="2620" spans="2:15" ht="13.5" hidden="1" customHeight="1">
      <c r="B2620" s="33">
        <f t="shared" si="562"/>
        <v>62</v>
      </c>
      <c r="C2620" s="62" t="s">
        <v>232</v>
      </c>
      <c r="D2620" s="62" t="s">
        <v>772</v>
      </c>
      <c r="F2620" s="61" t="s">
        <v>44</v>
      </c>
      <c r="G2620" s="36">
        <f t="shared" ref="G2620:G2621" si="567">333*15</f>
        <v>4995</v>
      </c>
      <c r="H2620" s="36">
        <v>1861</v>
      </c>
      <c r="I2620" s="36">
        <v>3240</v>
      </c>
      <c r="J2620" s="36">
        <v>750</v>
      </c>
      <c r="K2620" s="36">
        <f t="shared" si="558"/>
        <v>10846</v>
      </c>
      <c r="L2620" s="36">
        <v>7500</v>
      </c>
      <c r="M2620" s="9">
        <f t="shared" si="559"/>
        <v>0.69149917020099572</v>
      </c>
      <c r="N2620" s="5">
        <v>1</v>
      </c>
      <c r="O2620" s="10">
        <f t="shared" si="560"/>
        <v>0.69149917020099572</v>
      </c>
    </row>
    <row r="2621" spans="2:15" ht="13.5" hidden="1" customHeight="1">
      <c r="B2621" s="33">
        <f t="shared" si="562"/>
        <v>63</v>
      </c>
      <c r="C2621" s="63" t="s">
        <v>109</v>
      </c>
      <c r="D2621" s="63" t="s">
        <v>793</v>
      </c>
      <c r="F2621" s="64" t="s">
        <v>44</v>
      </c>
      <c r="G2621" s="36">
        <f t="shared" si="567"/>
        <v>4995</v>
      </c>
      <c r="H2621" s="36">
        <v>1861</v>
      </c>
      <c r="I2621" s="36">
        <v>3240</v>
      </c>
      <c r="J2621" s="36">
        <v>750</v>
      </c>
      <c r="K2621" s="36">
        <f t="shared" si="558"/>
        <v>10846</v>
      </c>
      <c r="L2621" s="36">
        <v>7500</v>
      </c>
      <c r="M2621" s="9">
        <f t="shared" si="559"/>
        <v>0.69149917020099572</v>
      </c>
      <c r="N2621" s="5">
        <v>1</v>
      </c>
      <c r="O2621" s="10">
        <f t="shared" si="560"/>
        <v>0.69149917020099572</v>
      </c>
    </row>
    <row r="2622" spans="2:15" ht="13.5" hidden="1" customHeight="1">
      <c r="B2622" s="33">
        <f t="shared" si="562"/>
        <v>64</v>
      </c>
      <c r="C2622" s="63" t="s">
        <v>56</v>
      </c>
      <c r="D2622" s="63" t="s">
        <v>803</v>
      </c>
      <c r="F2622" s="64" t="s">
        <v>44</v>
      </c>
      <c r="G2622" s="36">
        <f>333*18</f>
        <v>5994</v>
      </c>
      <c r="H2622" s="36">
        <v>1861</v>
      </c>
      <c r="I2622" s="36">
        <v>3240</v>
      </c>
      <c r="J2622" s="36">
        <v>750</v>
      </c>
      <c r="K2622" s="36">
        <f t="shared" si="558"/>
        <v>11845</v>
      </c>
      <c r="L2622" s="36">
        <v>7500</v>
      </c>
      <c r="M2622" s="9">
        <f t="shared" si="559"/>
        <v>0.63317855635289155</v>
      </c>
      <c r="N2622" s="5">
        <v>1</v>
      </c>
      <c r="O2622" s="10">
        <f t="shared" si="560"/>
        <v>0.63317855635289155</v>
      </c>
    </row>
    <row r="2623" spans="2:15" ht="13.5" hidden="1" customHeight="1">
      <c r="B2623" s="33">
        <f t="shared" si="562"/>
        <v>65</v>
      </c>
      <c r="C2623" s="63" t="s">
        <v>57</v>
      </c>
      <c r="D2623" s="63" t="s">
        <v>804</v>
      </c>
      <c r="F2623" s="64" t="s">
        <v>44</v>
      </c>
      <c r="G2623" s="36">
        <f>333*18</f>
        <v>5994</v>
      </c>
      <c r="H2623" s="36">
        <v>1861</v>
      </c>
      <c r="I2623" s="36">
        <v>3240</v>
      </c>
      <c r="J2623" s="36">
        <v>750</v>
      </c>
      <c r="K2623" s="36">
        <f t="shared" si="558"/>
        <v>11845</v>
      </c>
      <c r="L2623" s="36">
        <v>7500</v>
      </c>
      <c r="M2623" s="9">
        <f t="shared" si="559"/>
        <v>0.63317855635289155</v>
      </c>
      <c r="N2623" s="5">
        <v>1</v>
      </c>
      <c r="O2623" s="10">
        <f t="shared" si="560"/>
        <v>0.63317855635289155</v>
      </c>
    </row>
    <row r="2624" spans="2:15" ht="13.5" hidden="1" customHeight="1">
      <c r="B2624" s="33">
        <f t="shared" si="562"/>
        <v>66</v>
      </c>
      <c r="C2624" s="63" t="s">
        <v>936</v>
      </c>
      <c r="D2624" s="63" t="s">
        <v>806</v>
      </c>
      <c r="F2624" s="64" t="s">
        <v>44</v>
      </c>
      <c r="G2624" s="36">
        <f>333*15</f>
        <v>4995</v>
      </c>
      <c r="H2624" s="36">
        <v>1861</v>
      </c>
      <c r="I2624" s="36">
        <v>3240</v>
      </c>
      <c r="J2624" s="36">
        <v>750</v>
      </c>
      <c r="K2624" s="36">
        <f t="shared" si="558"/>
        <v>10846</v>
      </c>
      <c r="L2624" s="36">
        <v>7500</v>
      </c>
      <c r="M2624" s="9">
        <f t="shared" si="559"/>
        <v>0.69149917020099572</v>
      </c>
      <c r="N2624" s="5">
        <v>1</v>
      </c>
      <c r="O2624" s="10">
        <f t="shared" si="560"/>
        <v>0.69149917020099572</v>
      </c>
    </row>
    <row r="2625" spans="2:15" ht="13.5" hidden="1" customHeight="1">
      <c r="B2625" s="33">
        <f t="shared" ref="B2625:B2688" si="568">+B2624+1</f>
        <v>67</v>
      </c>
      <c r="C2625" s="63" t="s">
        <v>937</v>
      </c>
      <c r="D2625" s="63" t="s">
        <v>807</v>
      </c>
      <c r="F2625" s="64" t="s">
        <v>44</v>
      </c>
      <c r="G2625" s="36">
        <f>333*18</f>
        <v>5994</v>
      </c>
      <c r="H2625" s="36">
        <v>1861</v>
      </c>
      <c r="I2625" s="36">
        <v>3240</v>
      </c>
      <c r="J2625" s="36">
        <v>750</v>
      </c>
      <c r="K2625" s="36">
        <f t="shared" si="558"/>
        <v>11845</v>
      </c>
      <c r="L2625" s="36">
        <v>7500</v>
      </c>
      <c r="M2625" s="9">
        <f t="shared" si="559"/>
        <v>0.63317855635289155</v>
      </c>
      <c r="N2625" s="5">
        <v>1</v>
      </c>
      <c r="O2625" s="10">
        <f t="shared" si="560"/>
        <v>0.63317855635289155</v>
      </c>
    </row>
    <row r="2626" spans="2:15" ht="13.5" hidden="1" customHeight="1">
      <c r="B2626" s="33">
        <f t="shared" si="568"/>
        <v>68</v>
      </c>
      <c r="C2626" s="63" t="s">
        <v>938</v>
      </c>
      <c r="D2626" s="63" t="s">
        <v>813</v>
      </c>
      <c r="F2626" s="64" t="s">
        <v>44</v>
      </c>
      <c r="G2626" s="36">
        <f t="shared" ref="G2626:G2634" si="569">333*18</f>
        <v>5994</v>
      </c>
      <c r="H2626" s="36">
        <v>1861</v>
      </c>
      <c r="I2626" s="36">
        <v>3240</v>
      </c>
      <c r="J2626" s="36">
        <v>750</v>
      </c>
      <c r="K2626" s="36">
        <f t="shared" si="558"/>
        <v>11845</v>
      </c>
      <c r="L2626" s="36">
        <v>7500</v>
      </c>
      <c r="M2626" s="9">
        <f t="shared" si="559"/>
        <v>0.63317855635289155</v>
      </c>
      <c r="N2626" s="5">
        <v>1</v>
      </c>
      <c r="O2626" s="10">
        <f t="shared" si="560"/>
        <v>0.63317855635289155</v>
      </c>
    </row>
    <row r="2627" spans="2:15" ht="13.5" hidden="1" customHeight="1">
      <c r="B2627" s="33">
        <f t="shared" si="568"/>
        <v>69</v>
      </c>
      <c r="C2627" s="63" t="s">
        <v>939</v>
      </c>
      <c r="D2627" s="63" t="s">
        <v>762</v>
      </c>
      <c r="F2627" s="64" t="s">
        <v>44</v>
      </c>
      <c r="G2627" s="36">
        <f t="shared" si="569"/>
        <v>5994</v>
      </c>
      <c r="H2627" s="36">
        <v>1861</v>
      </c>
      <c r="I2627" s="36">
        <v>3240</v>
      </c>
      <c r="J2627" s="36">
        <v>750</v>
      </c>
      <c r="K2627" s="36">
        <f t="shared" si="558"/>
        <v>11845</v>
      </c>
      <c r="L2627" s="36">
        <v>7500</v>
      </c>
      <c r="M2627" s="9">
        <f t="shared" si="559"/>
        <v>0.63317855635289155</v>
      </c>
      <c r="N2627" s="5">
        <v>1</v>
      </c>
      <c r="O2627" s="10">
        <f t="shared" si="560"/>
        <v>0.63317855635289155</v>
      </c>
    </row>
    <row r="2628" spans="2:15" ht="13.5" hidden="1" customHeight="1">
      <c r="B2628" s="33">
        <f t="shared" si="568"/>
        <v>70</v>
      </c>
      <c r="C2628" s="63" t="s">
        <v>167</v>
      </c>
      <c r="D2628" s="63" t="s">
        <v>821</v>
      </c>
      <c r="F2628" s="64" t="s">
        <v>44</v>
      </c>
      <c r="G2628" s="36">
        <f t="shared" si="569"/>
        <v>5994</v>
      </c>
      <c r="H2628" s="36">
        <v>1861</v>
      </c>
      <c r="I2628" s="36">
        <v>3240</v>
      </c>
      <c r="J2628" s="36">
        <v>750</v>
      </c>
      <c r="K2628" s="36">
        <f t="shared" si="558"/>
        <v>11845</v>
      </c>
      <c r="L2628" s="36">
        <v>7500</v>
      </c>
      <c r="M2628" s="9">
        <f t="shared" si="559"/>
        <v>0.63317855635289155</v>
      </c>
      <c r="N2628" s="5">
        <v>1</v>
      </c>
      <c r="O2628" s="10">
        <f t="shared" si="560"/>
        <v>0.63317855635289155</v>
      </c>
    </row>
    <row r="2629" spans="2:15" ht="13.5" hidden="1" customHeight="1">
      <c r="B2629" s="33">
        <f t="shared" si="568"/>
        <v>71</v>
      </c>
      <c r="C2629" s="63" t="s">
        <v>940</v>
      </c>
      <c r="D2629" s="63" t="s">
        <v>830</v>
      </c>
      <c r="F2629" s="64" t="s">
        <v>44</v>
      </c>
      <c r="G2629" s="36">
        <f t="shared" si="569"/>
        <v>5994</v>
      </c>
      <c r="H2629" s="36">
        <v>1861</v>
      </c>
      <c r="I2629" s="36">
        <v>3240</v>
      </c>
      <c r="J2629" s="36">
        <v>750</v>
      </c>
      <c r="K2629" s="36">
        <f t="shared" si="558"/>
        <v>11845</v>
      </c>
      <c r="L2629" s="36">
        <v>7500</v>
      </c>
      <c r="M2629" s="9">
        <f t="shared" si="559"/>
        <v>0.63317855635289155</v>
      </c>
      <c r="N2629" s="5">
        <v>1</v>
      </c>
      <c r="O2629" s="10">
        <f t="shared" si="560"/>
        <v>0.63317855635289155</v>
      </c>
    </row>
    <row r="2630" spans="2:15" ht="13.5" hidden="1" customHeight="1">
      <c r="B2630" s="33">
        <f t="shared" si="568"/>
        <v>72</v>
      </c>
      <c r="C2630" s="63" t="s">
        <v>941</v>
      </c>
      <c r="D2630" s="63" t="s">
        <v>838</v>
      </c>
      <c r="F2630" s="64" t="s">
        <v>44</v>
      </c>
      <c r="G2630" s="36">
        <f t="shared" si="569"/>
        <v>5994</v>
      </c>
      <c r="H2630" s="36">
        <v>1861</v>
      </c>
      <c r="I2630" s="36">
        <v>3240</v>
      </c>
      <c r="J2630" s="36">
        <v>750</v>
      </c>
      <c r="K2630" s="36">
        <f t="shared" si="558"/>
        <v>11845</v>
      </c>
      <c r="L2630" s="36">
        <v>7500</v>
      </c>
      <c r="M2630" s="9">
        <f t="shared" si="559"/>
        <v>0.63317855635289155</v>
      </c>
      <c r="N2630" s="5">
        <v>1</v>
      </c>
      <c r="O2630" s="10">
        <f t="shared" si="560"/>
        <v>0.63317855635289155</v>
      </c>
    </row>
    <row r="2631" spans="2:15" ht="13.5" hidden="1" customHeight="1">
      <c r="B2631" s="33">
        <f t="shared" si="568"/>
        <v>73</v>
      </c>
      <c r="C2631" s="63" t="s">
        <v>116</v>
      </c>
      <c r="D2631" s="63" t="s">
        <v>865</v>
      </c>
      <c r="F2631" s="64" t="s">
        <v>44</v>
      </c>
      <c r="G2631" s="36">
        <f t="shared" si="569"/>
        <v>5994</v>
      </c>
      <c r="H2631" s="36">
        <v>1861</v>
      </c>
      <c r="I2631" s="36">
        <v>3240</v>
      </c>
      <c r="J2631" s="36">
        <v>750</v>
      </c>
      <c r="K2631" s="36">
        <f t="shared" si="558"/>
        <v>11845</v>
      </c>
      <c r="L2631" s="36">
        <v>7500</v>
      </c>
      <c r="M2631" s="9">
        <f t="shared" si="559"/>
        <v>0.63317855635289155</v>
      </c>
      <c r="N2631" s="5">
        <v>1</v>
      </c>
      <c r="O2631" s="10">
        <f t="shared" si="560"/>
        <v>0.63317855635289155</v>
      </c>
    </row>
    <row r="2632" spans="2:15" ht="13.5" hidden="1" customHeight="1">
      <c r="B2632" s="33">
        <f t="shared" si="568"/>
        <v>74</v>
      </c>
      <c r="C2632" s="63" t="s">
        <v>942</v>
      </c>
      <c r="D2632" s="63" t="s">
        <v>876</v>
      </c>
      <c r="F2632" s="64" t="s">
        <v>44</v>
      </c>
      <c r="G2632" s="36">
        <f t="shared" si="569"/>
        <v>5994</v>
      </c>
      <c r="H2632" s="36">
        <v>1861</v>
      </c>
      <c r="I2632" s="36">
        <v>3240</v>
      </c>
      <c r="J2632" s="36">
        <v>750</v>
      </c>
      <c r="K2632" s="36">
        <f t="shared" si="558"/>
        <v>11845</v>
      </c>
      <c r="L2632" s="36">
        <v>7500</v>
      </c>
      <c r="M2632" s="9">
        <f t="shared" si="559"/>
        <v>0.63317855635289155</v>
      </c>
      <c r="N2632" s="5">
        <v>1</v>
      </c>
      <c r="O2632" s="10">
        <f t="shared" si="560"/>
        <v>0.63317855635289155</v>
      </c>
    </row>
    <row r="2633" spans="2:15" ht="13.5" hidden="1" customHeight="1">
      <c r="B2633" s="33">
        <f t="shared" si="568"/>
        <v>75</v>
      </c>
      <c r="C2633" s="63" t="s">
        <v>113</v>
      </c>
      <c r="D2633" s="63" t="s">
        <v>883</v>
      </c>
      <c r="F2633" s="64" t="s">
        <v>44</v>
      </c>
      <c r="G2633" s="36">
        <f t="shared" si="569"/>
        <v>5994</v>
      </c>
      <c r="H2633" s="36">
        <v>1861</v>
      </c>
      <c r="I2633" s="36">
        <v>3240</v>
      </c>
      <c r="J2633" s="36">
        <v>750</v>
      </c>
      <c r="K2633" s="36">
        <f t="shared" ref="K2633:K2696" si="570">SUM(G2633:J2633)</f>
        <v>11845</v>
      </c>
      <c r="L2633" s="36">
        <v>7500</v>
      </c>
      <c r="M2633" s="9">
        <f t="shared" ref="M2633:M2696" si="571">L2633/K2633</f>
        <v>0.63317855635289155</v>
      </c>
      <c r="N2633" s="5">
        <v>1</v>
      </c>
      <c r="O2633" s="10">
        <f t="shared" ref="O2633:O2696" si="572">N2633*M2633</f>
        <v>0.63317855635289155</v>
      </c>
    </row>
    <row r="2634" spans="2:15" ht="13.5" hidden="1" customHeight="1">
      <c r="B2634" s="33">
        <f t="shared" si="568"/>
        <v>76</v>
      </c>
      <c r="C2634" s="63" t="s">
        <v>943</v>
      </c>
      <c r="D2634" s="63" t="s">
        <v>891</v>
      </c>
      <c r="F2634" s="64" t="s">
        <v>44</v>
      </c>
      <c r="G2634" s="36">
        <f t="shared" si="569"/>
        <v>5994</v>
      </c>
      <c r="H2634" s="36">
        <v>1861</v>
      </c>
      <c r="I2634" s="36">
        <v>3240</v>
      </c>
      <c r="J2634" s="36">
        <v>750</v>
      </c>
      <c r="K2634" s="36">
        <f t="shared" si="570"/>
        <v>11845</v>
      </c>
      <c r="L2634" s="36">
        <v>7500</v>
      </c>
      <c r="M2634" s="9">
        <f t="shared" si="571"/>
        <v>0.63317855635289155</v>
      </c>
      <c r="N2634" s="5">
        <v>1</v>
      </c>
      <c r="O2634" s="10">
        <f t="shared" si="572"/>
        <v>0.63317855635289155</v>
      </c>
    </row>
    <row r="2635" spans="2:15" ht="13.5" hidden="1" customHeight="1">
      <c r="B2635" s="33">
        <f t="shared" si="568"/>
        <v>77</v>
      </c>
      <c r="C2635" s="62" t="s">
        <v>48</v>
      </c>
      <c r="D2635" s="62" t="s">
        <v>724</v>
      </c>
      <c r="F2635" s="61" t="s">
        <v>28</v>
      </c>
      <c r="G2635" s="36">
        <f>300*21</f>
        <v>6300</v>
      </c>
      <c r="H2635" s="36">
        <v>1861</v>
      </c>
      <c r="I2635" s="36">
        <v>3240</v>
      </c>
      <c r="J2635" s="36">
        <v>750</v>
      </c>
      <c r="K2635" s="36">
        <f t="shared" si="570"/>
        <v>12151</v>
      </c>
      <c r="L2635" s="36">
        <v>7500</v>
      </c>
      <c r="M2635" s="9">
        <f t="shared" si="571"/>
        <v>0.61723314953501773</v>
      </c>
      <c r="N2635" s="5">
        <v>1</v>
      </c>
      <c r="O2635" s="10">
        <f t="shared" si="572"/>
        <v>0.61723314953501773</v>
      </c>
    </row>
    <row r="2636" spans="2:15" ht="13.5" hidden="1" customHeight="1">
      <c r="B2636" s="33">
        <f t="shared" si="568"/>
        <v>78</v>
      </c>
      <c r="C2636" s="62" t="s">
        <v>944</v>
      </c>
      <c r="D2636" s="62" t="s">
        <v>744</v>
      </c>
      <c r="F2636" s="61" t="s">
        <v>28</v>
      </c>
      <c r="G2636" s="36">
        <f>300*21</f>
        <v>6300</v>
      </c>
      <c r="H2636" s="36">
        <v>1861</v>
      </c>
      <c r="I2636" s="36">
        <v>3240</v>
      </c>
      <c r="J2636" s="36">
        <v>750</v>
      </c>
      <c r="K2636" s="36">
        <f t="shared" si="570"/>
        <v>12151</v>
      </c>
      <c r="L2636" s="36">
        <v>7500</v>
      </c>
      <c r="M2636" s="9">
        <f t="shared" si="571"/>
        <v>0.61723314953501773</v>
      </c>
      <c r="N2636" s="5">
        <v>1</v>
      </c>
      <c r="O2636" s="10">
        <f t="shared" si="572"/>
        <v>0.61723314953501773</v>
      </c>
    </row>
    <row r="2637" spans="2:15" ht="13.5" hidden="1" customHeight="1">
      <c r="B2637" s="33">
        <f t="shared" si="568"/>
        <v>79</v>
      </c>
      <c r="C2637" s="62" t="s">
        <v>80</v>
      </c>
      <c r="D2637" s="62" t="s">
        <v>784</v>
      </c>
      <c r="F2637" s="61" t="s">
        <v>28</v>
      </c>
      <c r="G2637" s="36">
        <f>300*18</f>
        <v>5400</v>
      </c>
      <c r="H2637" s="36">
        <v>1861</v>
      </c>
      <c r="I2637" s="36">
        <v>3240</v>
      </c>
      <c r="J2637" s="36">
        <v>750</v>
      </c>
      <c r="K2637" s="36">
        <f t="shared" si="570"/>
        <v>11251</v>
      </c>
      <c r="L2637" s="36">
        <v>7500</v>
      </c>
      <c r="M2637" s="9">
        <f t="shared" si="571"/>
        <v>0.66660741267442891</v>
      </c>
      <c r="N2637" s="5">
        <v>1</v>
      </c>
      <c r="O2637" s="10">
        <f t="shared" si="572"/>
        <v>0.66660741267442891</v>
      </c>
    </row>
    <row r="2638" spans="2:15" ht="13.5" hidden="1" customHeight="1">
      <c r="B2638" s="33">
        <f t="shared" si="568"/>
        <v>80</v>
      </c>
      <c r="C2638" s="63" t="s">
        <v>82</v>
      </c>
      <c r="D2638" s="63" t="s">
        <v>799</v>
      </c>
      <c r="F2638" s="64" t="s">
        <v>28</v>
      </c>
      <c r="G2638" s="36">
        <f>300*21</f>
        <v>6300</v>
      </c>
      <c r="H2638" s="36">
        <v>1861</v>
      </c>
      <c r="I2638" s="36">
        <v>3240</v>
      </c>
      <c r="J2638" s="36">
        <v>750</v>
      </c>
      <c r="K2638" s="36">
        <f t="shared" si="570"/>
        <v>12151</v>
      </c>
      <c r="L2638" s="36">
        <v>7500</v>
      </c>
      <c r="M2638" s="9">
        <f t="shared" si="571"/>
        <v>0.61723314953501773</v>
      </c>
      <c r="N2638" s="5">
        <v>1</v>
      </c>
      <c r="O2638" s="10">
        <f t="shared" si="572"/>
        <v>0.61723314953501773</v>
      </c>
    </row>
    <row r="2639" spans="2:15" ht="13.5" hidden="1" customHeight="1">
      <c r="B2639" s="33">
        <f t="shared" si="568"/>
        <v>81</v>
      </c>
      <c r="C2639" s="63" t="s">
        <v>71</v>
      </c>
      <c r="D2639" s="63" t="s">
        <v>879</v>
      </c>
      <c r="F2639" s="64" t="s">
        <v>28</v>
      </c>
      <c r="G2639" s="36">
        <f>300*21</f>
        <v>6300</v>
      </c>
      <c r="H2639" s="36">
        <v>1861</v>
      </c>
      <c r="I2639" s="36">
        <v>3240</v>
      </c>
      <c r="J2639" s="36">
        <v>750</v>
      </c>
      <c r="K2639" s="36">
        <f t="shared" si="570"/>
        <v>12151</v>
      </c>
      <c r="L2639" s="36">
        <v>7500</v>
      </c>
      <c r="M2639" s="9">
        <f t="shared" si="571"/>
        <v>0.61723314953501773</v>
      </c>
      <c r="N2639" s="5">
        <v>1</v>
      </c>
      <c r="O2639" s="10">
        <f t="shared" si="572"/>
        <v>0.61723314953501773</v>
      </c>
    </row>
    <row r="2640" spans="2:15" ht="13.5" hidden="1" customHeight="1">
      <c r="B2640" s="33">
        <f t="shared" si="568"/>
        <v>82</v>
      </c>
      <c r="C2640" s="63" t="s">
        <v>945</v>
      </c>
      <c r="D2640" s="63" t="s">
        <v>802</v>
      </c>
      <c r="F2640" s="64" t="s">
        <v>693</v>
      </c>
      <c r="G2640" s="36">
        <v>0</v>
      </c>
      <c r="H2640" s="36">
        <v>0</v>
      </c>
      <c r="I2640" s="36">
        <v>0</v>
      </c>
      <c r="J2640" s="36">
        <v>0</v>
      </c>
      <c r="K2640" s="36">
        <f t="shared" si="570"/>
        <v>0</v>
      </c>
      <c r="L2640" s="36">
        <v>7500</v>
      </c>
      <c r="M2640" s="9" t="e">
        <f t="shared" si="571"/>
        <v>#DIV/0!</v>
      </c>
      <c r="N2640" s="5">
        <v>1</v>
      </c>
      <c r="O2640" s="10" t="e">
        <f t="shared" si="572"/>
        <v>#DIV/0!</v>
      </c>
    </row>
    <row r="2641" spans="2:15" ht="13.5" hidden="1" customHeight="1">
      <c r="B2641" s="33">
        <f t="shared" si="568"/>
        <v>83</v>
      </c>
      <c r="C2641" s="63" t="s">
        <v>946</v>
      </c>
      <c r="D2641" s="63" t="s">
        <v>808</v>
      </c>
      <c r="F2641" s="64" t="s">
        <v>214</v>
      </c>
      <c r="G2641" s="36">
        <f>333*18.5</f>
        <v>6160.5</v>
      </c>
      <c r="H2641" s="36">
        <v>1861</v>
      </c>
      <c r="I2641" s="36">
        <v>3790</v>
      </c>
      <c r="J2641" s="36">
        <v>750</v>
      </c>
      <c r="K2641" s="36">
        <f t="shared" si="570"/>
        <v>12561.5</v>
      </c>
      <c r="L2641" s="36">
        <v>7500</v>
      </c>
      <c r="M2641" s="9">
        <f t="shared" si="571"/>
        <v>0.59706245273255587</v>
      </c>
      <c r="N2641" s="5">
        <v>1</v>
      </c>
      <c r="O2641" s="10">
        <f t="shared" si="572"/>
        <v>0.59706245273255587</v>
      </c>
    </row>
    <row r="2642" spans="2:15" ht="13.5" hidden="1" customHeight="1">
      <c r="B2642" s="33">
        <f t="shared" si="568"/>
        <v>84</v>
      </c>
      <c r="C2642" s="63" t="s">
        <v>947</v>
      </c>
      <c r="D2642" s="63" t="s">
        <v>811</v>
      </c>
      <c r="F2642" s="64" t="s">
        <v>214</v>
      </c>
      <c r="G2642" s="36">
        <f t="shared" ref="G2642:G2644" si="573">333*18.5</f>
        <v>6160.5</v>
      </c>
      <c r="H2642" s="36">
        <v>1861</v>
      </c>
      <c r="I2642" s="36">
        <v>3790</v>
      </c>
      <c r="J2642" s="36">
        <v>750</v>
      </c>
      <c r="K2642" s="36">
        <f t="shared" si="570"/>
        <v>12561.5</v>
      </c>
      <c r="L2642" s="36">
        <v>7500</v>
      </c>
      <c r="M2642" s="9">
        <f t="shared" si="571"/>
        <v>0.59706245273255587</v>
      </c>
      <c r="N2642" s="5">
        <v>1</v>
      </c>
      <c r="O2642" s="10">
        <f t="shared" si="572"/>
        <v>0.59706245273255587</v>
      </c>
    </row>
    <row r="2643" spans="2:15" ht="13.5" hidden="1" customHeight="1">
      <c r="B2643" s="33">
        <f t="shared" si="568"/>
        <v>85</v>
      </c>
      <c r="C2643" s="63" t="s">
        <v>948</v>
      </c>
      <c r="D2643" s="63" t="s">
        <v>819</v>
      </c>
      <c r="F2643" s="64" t="s">
        <v>214</v>
      </c>
      <c r="G2643" s="36">
        <f t="shared" si="573"/>
        <v>6160.5</v>
      </c>
      <c r="H2643" s="36">
        <v>1861</v>
      </c>
      <c r="I2643" s="36">
        <v>3790</v>
      </c>
      <c r="J2643" s="36">
        <v>750</v>
      </c>
      <c r="K2643" s="36">
        <f t="shared" si="570"/>
        <v>12561.5</v>
      </c>
      <c r="L2643" s="36">
        <v>7500</v>
      </c>
      <c r="M2643" s="9">
        <f t="shared" si="571"/>
        <v>0.59706245273255587</v>
      </c>
      <c r="N2643" s="5">
        <v>1</v>
      </c>
      <c r="O2643" s="10">
        <f t="shared" si="572"/>
        <v>0.59706245273255587</v>
      </c>
    </row>
    <row r="2644" spans="2:15" ht="13.5" hidden="1" customHeight="1">
      <c r="B2644" s="33">
        <f t="shared" si="568"/>
        <v>86</v>
      </c>
      <c r="C2644" s="63" t="s">
        <v>86</v>
      </c>
      <c r="D2644" s="63" t="s">
        <v>833</v>
      </c>
      <c r="F2644" s="64" t="s">
        <v>214</v>
      </c>
      <c r="G2644" s="36">
        <f t="shared" si="573"/>
        <v>6160.5</v>
      </c>
      <c r="H2644" s="36">
        <v>1861</v>
      </c>
      <c r="I2644" s="36">
        <v>3790</v>
      </c>
      <c r="J2644" s="36">
        <v>750</v>
      </c>
      <c r="K2644" s="36">
        <f t="shared" si="570"/>
        <v>12561.5</v>
      </c>
      <c r="L2644" s="36">
        <v>7500</v>
      </c>
      <c r="M2644" s="9">
        <f t="shared" si="571"/>
        <v>0.59706245273255587</v>
      </c>
      <c r="N2644" s="5">
        <v>1</v>
      </c>
      <c r="O2644" s="10">
        <f t="shared" si="572"/>
        <v>0.59706245273255587</v>
      </c>
    </row>
    <row r="2645" spans="2:15" ht="13.5" hidden="1" customHeight="1">
      <c r="B2645" s="33">
        <f t="shared" si="568"/>
        <v>87</v>
      </c>
      <c r="C2645" s="62" t="s">
        <v>949</v>
      </c>
      <c r="D2645" s="62" t="s">
        <v>773</v>
      </c>
      <c r="F2645" s="61" t="s">
        <v>327</v>
      </c>
      <c r="G2645" s="36">
        <f>333*18</f>
        <v>5994</v>
      </c>
      <c r="H2645" s="36">
        <v>1861</v>
      </c>
      <c r="I2645" s="36">
        <v>3240</v>
      </c>
      <c r="J2645" s="36">
        <v>750</v>
      </c>
      <c r="K2645" s="36">
        <f t="shared" si="570"/>
        <v>11845</v>
      </c>
      <c r="L2645" s="36">
        <v>7500</v>
      </c>
      <c r="M2645" s="9">
        <f t="shared" si="571"/>
        <v>0.63317855635289155</v>
      </c>
      <c r="N2645" s="5">
        <v>1</v>
      </c>
      <c r="O2645" s="10">
        <f t="shared" si="572"/>
        <v>0.63317855635289155</v>
      </c>
    </row>
    <row r="2646" spans="2:15" ht="13.5" hidden="1" customHeight="1">
      <c r="B2646" s="33">
        <f t="shared" si="568"/>
        <v>88</v>
      </c>
      <c r="C2646" s="62" t="s">
        <v>950</v>
      </c>
      <c r="D2646" s="62" t="s">
        <v>777</v>
      </c>
      <c r="F2646" s="61" t="s">
        <v>327</v>
      </c>
      <c r="G2646" s="36">
        <f>333*15</f>
        <v>4995</v>
      </c>
      <c r="H2646" s="36">
        <v>1861</v>
      </c>
      <c r="I2646" s="36">
        <v>3240</v>
      </c>
      <c r="J2646" s="36">
        <v>750</v>
      </c>
      <c r="K2646" s="36">
        <f t="shared" si="570"/>
        <v>10846</v>
      </c>
      <c r="L2646" s="36">
        <v>7500</v>
      </c>
      <c r="M2646" s="9">
        <f t="shared" si="571"/>
        <v>0.69149917020099572</v>
      </c>
      <c r="N2646" s="5">
        <v>1</v>
      </c>
      <c r="O2646" s="10">
        <f t="shared" si="572"/>
        <v>0.69149917020099572</v>
      </c>
    </row>
    <row r="2647" spans="2:15" ht="13.5" hidden="1" customHeight="1">
      <c r="B2647" s="33">
        <f t="shared" si="568"/>
        <v>89</v>
      </c>
      <c r="C2647" s="62" t="s">
        <v>108</v>
      </c>
      <c r="D2647" s="62" t="s">
        <v>782</v>
      </c>
      <c r="F2647" s="61" t="s">
        <v>327</v>
      </c>
      <c r="G2647" s="36">
        <f>333*18</f>
        <v>5994</v>
      </c>
      <c r="H2647" s="36">
        <v>1861</v>
      </c>
      <c r="I2647" s="36">
        <v>3240</v>
      </c>
      <c r="J2647" s="36">
        <v>750</v>
      </c>
      <c r="K2647" s="36">
        <f t="shared" si="570"/>
        <v>11845</v>
      </c>
      <c r="L2647" s="36">
        <v>7500</v>
      </c>
      <c r="M2647" s="9">
        <f t="shared" si="571"/>
        <v>0.63317855635289155</v>
      </c>
      <c r="N2647" s="5">
        <v>1</v>
      </c>
      <c r="O2647" s="10">
        <f t="shared" si="572"/>
        <v>0.63317855635289155</v>
      </c>
    </row>
    <row r="2648" spans="2:15" ht="13.5" hidden="1" customHeight="1">
      <c r="B2648" s="33">
        <f t="shared" si="568"/>
        <v>90</v>
      </c>
      <c r="C2648" s="62" t="s">
        <v>106</v>
      </c>
      <c r="D2648" s="62" t="s">
        <v>728</v>
      </c>
      <c r="F2648" s="61" t="s">
        <v>31</v>
      </c>
      <c r="G2648" s="36">
        <f>333*20.5</f>
        <v>6826.5</v>
      </c>
      <c r="H2648" s="36">
        <v>1861</v>
      </c>
      <c r="I2648" s="36">
        <v>3790</v>
      </c>
      <c r="J2648" s="36">
        <v>900</v>
      </c>
      <c r="K2648" s="36">
        <f t="shared" si="570"/>
        <v>13377.5</v>
      </c>
      <c r="L2648" s="36">
        <v>7500</v>
      </c>
      <c r="M2648" s="9">
        <f t="shared" si="571"/>
        <v>0.56064287049149697</v>
      </c>
      <c r="N2648" s="5">
        <v>1</v>
      </c>
      <c r="O2648" s="10">
        <f t="shared" si="572"/>
        <v>0.56064287049149697</v>
      </c>
    </row>
    <row r="2649" spans="2:15" ht="13.5" hidden="1" customHeight="1">
      <c r="B2649" s="33">
        <f t="shared" si="568"/>
        <v>91</v>
      </c>
      <c r="C2649" s="62" t="s">
        <v>219</v>
      </c>
      <c r="D2649" s="62" t="s">
        <v>729</v>
      </c>
      <c r="F2649" s="61" t="s">
        <v>31</v>
      </c>
      <c r="G2649" s="36">
        <f t="shared" ref="G2649:G2653" si="574">333*20.5</f>
        <v>6826.5</v>
      </c>
      <c r="H2649" s="36">
        <v>1861</v>
      </c>
      <c r="I2649" s="36">
        <v>3790</v>
      </c>
      <c r="J2649" s="36">
        <v>900</v>
      </c>
      <c r="K2649" s="36">
        <f t="shared" si="570"/>
        <v>13377.5</v>
      </c>
      <c r="L2649" s="36">
        <v>7500</v>
      </c>
      <c r="M2649" s="9">
        <f t="shared" si="571"/>
        <v>0.56064287049149697</v>
      </c>
      <c r="N2649" s="5">
        <v>1</v>
      </c>
      <c r="O2649" s="10">
        <f t="shared" si="572"/>
        <v>0.56064287049149697</v>
      </c>
    </row>
    <row r="2650" spans="2:15" ht="13.5" hidden="1" customHeight="1">
      <c r="B2650" s="33">
        <f t="shared" si="568"/>
        <v>92</v>
      </c>
      <c r="C2650" s="62" t="s">
        <v>223</v>
      </c>
      <c r="D2650" s="62" t="s">
        <v>735</v>
      </c>
      <c r="F2650" s="61" t="s">
        <v>31</v>
      </c>
      <c r="G2650" s="36">
        <f t="shared" si="574"/>
        <v>6826.5</v>
      </c>
      <c r="H2650" s="36">
        <v>1861</v>
      </c>
      <c r="I2650" s="36">
        <v>3790</v>
      </c>
      <c r="J2650" s="36">
        <v>900</v>
      </c>
      <c r="K2650" s="36">
        <f t="shared" si="570"/>
        <v>13377.5</v>
      </c>
      <c r="L2650" s="36">
        <v>7500</v>
      </c>
      <c r="M2650" s="9">
        <f t="shared" si="571"/>
        <v>0.56064287049149697</v>
      </c>
      <c r="N2650" s="5">
        <v>1</v>
      </c>
      <c r="O2650" s="10">
        <f t="shared" si="572"/>
        <v>0.56064287049149697</v>
      </c>
    </row>
    <row r="2651" spans="2:15" ht="13.5" hidden="1" customHeight="1">
      <c r="B2651" s="33">
        <f t="shared" si="568"/>
        <v>93</v>
      </c>
      <c r="C2651" s="62" t="s">
        <v>49</v>
      </c>
      <c r="D2651" s="62" t="s">
        <v>736</v>
      </c>
      <c r="F2651" s="61" t="s">
        <v>31</v>
      </c>
      <c r="G2651" s="36">
        <f t="shared" si="574"/>
        <v>6826.5</v>
      </c>
      <c r="H2651" s="36">
        <v>1861</v>
      </c>
      <c r="I2651" s="36">
        <v>3790</v>
      </c>
      <c r="J2651" s="36">
        <v>900</v>
      </c>
      <c r="K2651" s="36">
        <f t="shared" si="570"/>
        <v>13377.5</v>
      </c>
      <c r="L2651" s="36">
        <v>7500</v>
      </c>
      <c r="M2651" s="9">
        <f t="shared" si="571"/>
        <v>0.56064287049149697</v>
      </c>
      <c r="N2651" s="5">
        <v>1</v>
      </c>
      <c r="O2651" s="10">
        <f t="shared" si="572"/>
        <v>0.56064287049149697</v>
      </c>
    </row>
    <row r="2652" spans="2:15" ht="13.5" hidden="1" customHeight="1">
      <c r="B2652" s="33">
        <f t="shared" si="568"/>
        <v>94</v>
      </c>
      <c r="C2652" s="62" t="s">
        <v>226</v>
      </c>
      <c r="D2652" s="62" t="s">
        <v>743</v>
      </c>
      <c r="F2652" s="61" t="s">
        <v>31</v>
      </c>
      <c r="G2652" s="36">
        <f t="shared" si="574"/>
        <v>6826.5</v>
      </c>
      <c r="H2652" s="36">
        <v>1861</v>
      </c>
      <c r="I2652" s="36">
        <v>3790</v>
      </c>
      <c r="J2652" s="36">
        <v>900</v>
      </c>
      <c r="K2652" s="36">
        <f t="shared" si="570"/>
        <v>13377.5</v>
      </c>
      <c r="L2652" s="36">
        <v>7500</v>
      </c>
      <c r="M2652" s="9">
        <f t="shared" si="571"/>
        <v>0.56064287049149697</v>
      </c>
      <c r="N2652" s="5">
        <v>1</v>
      </c>
      <c r="O2652" s="10">
        <f t="shared" si="572"/>
        <v>0.56064287049149697</v>
      </c>
    </row>
    <row r="2653" spans="2:15" ht="13.5" hidden="1" customHeight="1">
      <c r="B2653" s="33">
        <f t="shared" si="568"/>
        <v>95</v>
      </c>
      <c r="C2653" s="62" t="s">
        <v>951</v>
      </c>
      <c r="D2653" s="62" t="s">
        <v>746</v>
      </c>
      <c r="F2653" s="61" t="s">
        <v>31</v>
      </c>
      <c r="G2653" s="36">
        <f t="shared" si="574"/>
        <v>6826.5</v>
      </c>
      <c r="H2653" s="36">
        <v>1861</v>
      </c>
      <c r="I2653" s="36">
        <v>3790</v>
      </c>
      <c r="J2653" s="36">
        <v>900</v>
      </c>
      <c r="K2653" s="36">
        <f t="shared" si="570"/>
        <v>13377.5</v>
      </c>
      <c r="L2653" s="36">
        <v>7500</v>
      </c>
      <c r="M2653" s="9">
        <f t="shared" si="571"/>
        <v>0.56064287049149697</v>
      </c>
      <c r="N2653" s="5">
        <v>1</v>
      </c>
      <c r="O2653" s="10">
        <f t="shared" si="572"/>
        <v>0.56064287049149697</v>
      </c>
    </row>
    <row r="2654" spans="2:15" ht="13.5" hidden="1" customHeight="1">
      <c r="B2654" s="33">
        <f t="shared" si="568"/>
        <v>96</v>
      </c>
      <c r="C2654" s="62" t="s">
        <v>952</v>
      </c>
      <c r="D2654" s="62" t="s">
        <v>760</v>
      </c>
      <c r="F2654" s="61" t="s">
        <v>31</v>
      </c>
      <c r="G2654" s="36">
        <f>333*17</f>
        <v>5661</v>
      </c>
      <c r="H2654" s="36">
        <v>1861</v>
      </c>
      <c r="I2654" s="36">
        <v>3790</v>
      </c>
      <c r="J2654" s="36">
        <v>900</v>
      </c>
      <c r="K2654" s="36">
        <f t="shared" si="570"/>
        <v>12212</v>
      </c>
      <c r="L2654" s="36">
        <v>7500</v>
      </c>
      <c r="M2654" s="9">
        <f t="shared" si="571"/>
        <v>0.6141500163773338</v>
      </c>
      <c r="N2654" s="5">
        <v>1</v>
      </c>
      <c r="O2654" s="10">
        <f t="shared" si="572"/>
        <v>0.6141500163773338</v>
      </c>
    </row>
    <row r="2655" spans="2:15" ht="13.5" hidden="1" customHeight="1">
      <c r="B2655" s="33">
        <f t="shared" si="568"/>
        <v>97</v>
      </c>
      <c r="C2655" s="62" t="s">
        <v>953</v>
      </c>
      <c r="D2655" s="62" t="s">
        <v>776</v>
      </c>
      <c r="F2655" s="61" t="s">
        <v>31</v>
      </c>
      <c r="G2655" s="36">
        <f>333*16</f>
        <v>5328</v>
      </c>
      <c r="H2655" s="36">
        <v>1861</v>
      </c>
      <c r="I2655" s="36">
        <v>3790</v>
      </c>
      <c r="J2655" s="36">
        <v>900</v>
      </c>
      <c r="K2655" s="36">
        <f t="shared" si="570"/>
        <v>11879</v>
      </c>
      <c r="L2655" s="36">
        <v>7500</v>
      </c>
      <c r="M2655" s="9">
        <f t="shared" si="571"/>
        <v>0.63136627662261136</v>
      </c>
      <c r="N2655" s="5">
        <v>1</v>
      </c>
      <c r="O2655" s="10">
        <f t="shared" si="572"/>
        <v>0.63136627662261136</v>
      </c>
    </row>
    <row r="2656" spans="2:15" ht="13.5" hidden="1" customHeight="1">
      <c r="B2656" s="33">
        <f t="shared" si="568"/>
        <v>98</v>
      </c>
      <c r="C2656" s="62" t="s">
        <v>954</v>
      </c>
      <c r="D2656" s="62" t="s">
        <v>785</v>
      </c>
      <c r="F2656" s="61" t="s">
        <v>31</v>
      </c>
      <c r="G2656" s="36">
        <f>333*20.5</f>
        <v>6826.5</v>
      </c>
      <c r="H2656" s="36">
        <v>1861</v>
      </c>
      <c r="I2656" s="36">
        <v>3790</v>
      </c>
      <c r="J2656" s="36">
        <v>900</v>
      </c>
      <c r="K2656" s="36">
        <f t="shared" si="570"/>
        <v>13377.5</v>
      </c>
      <c r="L2656" s="36">
        <v>7500</v>
      </c>
      <c r="M2656" s="9">
        <f t="shared" si="571"/>
        <v>0.56064287049149697</v>
      </c>
      <c r="N2656" s="5">
        <v>1</v>
      </c>
      <c r="O2656" s="10">
        <f t="shared" si="572"/>
        <v>0.56064287049149697</v>
      </c>
    </row>
    <row r="2657" spans="2:15" ht="13.5" hidden="1" customHeight="1">
      <c r="B2657" s="33">
        <f t="shared" si="568"/>
        <v>99</v>
      </c>
      <c r="C2657" s="62" t="s">
        <v>955</v>
      </c>
      <c r="D2657" s="62" t="s">
        <v>786</v>
      </c>
      <c r="F2657" s="61" t="s">
        <v>31</v>
      </c>
      <c r="G2657" s="36">
        <f t="shared" ref="G2657:G2659" si="575">333*20.5</f>
        <v>6826.5</v>
      </c>
      <c r="H2657" s="36">
        <v>1861</v>
      </c>
      <c r="I2657" s="36">
        <v>3790</v>
      </c>
      <c r="J2657" s="36">
        <v>900</v>
      </c>
      <c r="K2657" s="36">
        <f t="shared" si="570"/>
        <v>13377.5</v>
      </c>
      <c r="L2657" s="36">
        <v>7500</v>
      </c>
      <c r="M2657" s="9">
        <f t="shared" si="571"/>
        <v>0.56064287049149697</v>
      </c>
      <c r="N2657" s="5">
        <v>1</v>
      </c>
      <c r="O2657" s="10">
        <f t="shared" si="572"/>
        <v>0.56064287049149697</v>
      </c>
    </row>
    <row r="2658" spans="2:15" ht="13.5" hidden="1" customHeight="1">
      <c r="B2658" s="33">
        <f t="shared" si="568"/>
        <v>100</v>
      </c>
      <c r="C2658" s="63" t="s">
        <v>956</v>
      </c>
      <c r="D2658" s="63" t="s">
        <v>789</v>
      </c>
      <c r="F2658" s="64" t="s">
        <v>31</v>
      </c>
      <c r="G2658" s="36">
        <f t="shared" si="575"/>
        <v>6826.5</v>
      </c>
      <c r="H2658" s="36">
        <v>1861</v>
      </c>
      <c r="I2658" s="36">
        <v>3790</v>
      </c>
      <c r="J2658" s="36">
        <v>900</v>
      </c>
      <c r="K2658" s="36">
        <f t="shared" si="570"/>
        <v>13377.5</v>
      </c>
      <c r="L2658" s="36">
        <v>7500</v>
      </c>
      <c r="M2658" s="9">
        <f t="shared" si="571"/>
        <v>0.56064287049149697</v>
      </c>
      <c r="N2658" s="5">
        <v>1</v>
      </c>
      <c r="O2658" s="10">
        <f t="shared" si="572"/>
        <v>0.56064287049149697</v>
      </c>
    </row>
    <row r="2659" spans="2:15" ht="13.5" hidden="1" customHeight="1">
      <c r="B2659" s="33">
        <f t="shared" si="568"/>
        <v>101</v>
      </c>
      <c r="C2659" s="63" t="s">
        <v>957</v>
      </c>
      <c r="D2659" s="63" t="s">
        <v>809</v>
      </c>
      <c r="F2659" s="64" t="s">
        <v>31</v>
      </c>
      <c r="G2659" s="36">
        <f t="shared" si="575"/>
        <v>6826.5</v>
      </c>
      <c r="H2659" s="36">
        <v>1861</v>
      </c>
      <c r="I2659" s="36">
        <v>3790</v>
      </c>
      <c r="J2659" s="36">
        <v>900</v>
      </c>
      <c r="K2659" s="36">
        <f t="shared" si="570"/>
        <v>13377.5</v>
      </c>
      <c r="L2659" s="36">
        <v>7500</v>
      </c>
      <c r="M2659" s="9">
        <f t="shared" si="571"/>
        <v>0.56064287049149697</v>
      </c>
      <c r="N2659" s="5">
        <v>1</v>
      </c>
      <c r="O2659" s="10">
        <f t="shared" si="572"/>
        <v>0.56064287049149697</v>
      </c>
    </row>
    <row r="2660" spans="2:15" ht="13.5" hidden="1" customHeight="1">
      <c r="B2660" s="33">
        <f t="shared" si="568"/>
        <v>102</v>
      </c>
      <c r="C2660" s="63" t="s">
        <v>958</v>
      </c>
      <c r="D2660" s="63" t="s">
        <v>816</v>
      </c>
      <c r="F2660" s="64" t="s">
        <v>31</v>
      </c>
      <c r="G2660" s="36">
        <f>333*18</f>
        <v>5994</v>
      </c>
      <c r="H2660" s="36">
        <v>1861</v>
      </c>
      <c r="I2660" s="36">
        <v>3790</v>
      </c>
      <c r="J2660" s="36">
        <v>900</v>
      </c>
      <c r="K2660" s="36">
        <f t="shared" si="570"/>
        <v>12545</v>
      </c>
      <c r="L2660" s="36">
        <v>7500</v>
      </c>
      <c r="M2660" s="9">
        <f t="shared" si="571"/>
        <v>0.59784774810681551</v>
      </c>
      <c r="N2660" s="5">
        <v>1</v>
      </c>
      <c r="O2660" s="10">
        <f t="shared" si="572"/>
        <v>0.59784774810681551</v>
      </c>
    </row>
    <row r="2661" spans="2:15" ht="13.5" hidden="1" customHeight="1">
      <c r="B2661" s="33">
        <f t="shared" si="568"/>
        <v>103</v>
      </c>
      <c r="C2661" s="63" t="s">
        <v>959</v>
      </c>
      <c r="D2661" s="63" t="s">
        <v>111</v>
      </c>
      <c r="F2661" s="64" t="s">
        <v>31</v>
      </c>
      <c r="G2661" s="36">
        <f>333*20.5</f>
        <v>6826.5</v>
      </c>
      <c r="H2661" s="36">
        <v>1861</v>
      </c>
      <c r="I2661" s="36">
        <v>3790</v>
      </c>
      <c r="J2661" s="36">
        <v>900</v>
      </c>
      <c r="K2661" s="36">
        <f t="shared" si="570"/>
        <v>13377.5</v>
      </c>
      <c r="L2661" s="36">
        <v>7500</v>
      </c>
      <c r="M2661" s="9">
        <f t="shared" si="571"/>
        <v>0.56064287049149697</v>
      </c>
      <c r="N2661" s="5">
        <v>1</v>
      </c>
      <c r="O2661" s="10">
        <f t="shared" si="572"/>
        <v>0.56064287049149697</v>
      </c>
    </row>
    <row r="2662" spans="2:15" ht="13.5" hidden="1" customHeight="1">
      <c r="B2662" s="33">
        <f t="shared" si="568"/>
        <v>104</v>
      </c>
      <c r="C2662" s="63" t="s">
        <v>84</v>
      </c>
      <c r="D2662" s="63" t="s">
        <v>822</v>
      </c>
      <c r="F2662" s="64" t="s">
        <v>31</v>
      </c>
      <c r="G2662" s="36">
        <f t="shared" ref="G2662:G2670" si="576">333*20.5</f>
        <v>6826.5</v>
      </c>
      <c r="H2662" s="36">
        <v>1861</v>
      </c>
      <c r="I2662" s="36">
        <v>3790</v>
      </c>
      <c r="J2662" s="36">
        <v>900</v>
      </c>
      <c r="K2662" s="36">
        <f t="shared" si="570"/>
        <v>13377.5</v>
      </c>
      <c r="L2662" s="36">
        <v>7500</v>
      </c>
      <c r="M2662" s="9">
        <f t="shared" si="571"/>
        <v>0.56064287049149697</v>
      </c>
      <c r="N2662" s="5">
        <v>1</v>
      </c>
      <c r="O2662" s="10">
        <f t="shared" si="572"/>
        <v>0.56064287049149697</v>
      </c>
    </row>
    <row r="2663" spans="2:15" ht="13.5" hidden="1" customHeight="1">
      <c r="B2663" s="33">
        <f t="shared" si="568"/>
        <v>105</v>
      </c>
      <c r="C2663" s="63" t="s">
        <v>245</v>
      </c>
      <c r="D2663" s="63" t="s">
        <v>827</v>
      </c>
      <c r="F2663" s="64" t="s">
        <v>31</v>
      </c>
      <c r="G2663" s="36">
        <f t="shared" si="576"/>
        <v>6826.5</v>
      </c>
      <c r="H2663" s="36">
        <v>1861</v>
      </c>
      <c r="I2663" s="36">
        <v>3790</v>
      </c>
      <c r="J2663" s="36">
        <v>900</v>
      </c>
      <c r="K2663" s="36">
        <f t="shared" si="570"/>
        <v>13377.5</v>
      </c>
      <c r="L2663" s="36">
        <v>7500</v>
      </c>
      <c r="M2663" s="9">
        <f t="shared" si="571"/>
        <v>0.56064287049149697</v>
      </c>
      <c r="N2663" s="5">
        <v>1</v>
      </c>
      <c r="O2663" s="10">
        <f t="shared" si="572"/>
        <v>0.56064287049149697</v>
      </c>
    </row>
    <row r="2664" spans="2:15" ht="13.5" hidden="1" customHeight="1">
      <c r="B2664" s="33">
        <f t="shared" si="568"/>
        <v>106</v>
      </c>
      <c r="C2664" s="63" t="s">
        <v>105</v>
      </c>
      <c r="D2664" s="63" t="s">
        <v>828</v>
      </c>
      <c r="F2664" s="64" t="s">
        <v>31</v>
      </c>
      <c r="G2664" s="36">
        <f t="shared" si="576"/>
        <v>6826.5</v>
      </c>
      <c r="H2664" s="36">
        <v>1861</v>
      </c>
      <c r="I2664" s="36">
        <v>3790</v>
      </c>
      <c r="J2664" s="36">
        <v>900</v>
      </c>
      <c r="K2664" s="36">
        <f t="shared" si="570"/>
        <v>13377.5</v>
      </c>
      <c r="L2664" s="36">
        <v>7500</v>
      </c>
      <c r="M2664" s="9">
        <f t="shared" si="571"/>
        <v>0.56064287049149697</v>
      </c>
      <c r="N2664" s="5">
        <v>1</v>
      </c>
      <c r="O2664" s="10">
        <f t="shared" si="572"/>
        <v>0.56064287049149697</v>
      </c>
    </row>
    <row r="2665" spans="2:15" ht="13.5" hidden="1" customHeight="1">
      <c r="B2665" s="33">
        <f t="shared" si="568"/>
        <v>107</v>
      </c>
      <c r="C2665" s="63" t="s">
        <v>960</v>
      </c>
      <c r="D2665" s="63" t="s">
        <v>844</v>
      </c>
      <c r="F2665" s="64" t="s">
        <v>31</v>
      </c>
      <c r="G2665" s="36">
        <f t="shared" si="576"/>
        <v>6826.5</v>
      </c>
      <c r="H2665" s="36">
        <v>1861</v>
      </c>
      <c r="I2665" s="36">
        <v>3790</v>
      </c>
      <c r="J2665" s="36">
        <v>900</v>
      </c>
      <c r="K2665" s="36">
        <f t="shared" si="570"/>
        <v>13377.5</v>
      </c>
      <c r="L2665" s="36">
        <v>7500</v>
      </c>
      <c r="M2665" s="9">
        <f t="shared" si="571"/>
        <v>0.56064287049149697</v>
      </c>
      <c r="N2665" s="5">
        <v>1</v>
      </c>
      <c r="O2665" s="10">
        <f t="shared" si="572"/>
        <v>0.56064287049149697</v>
      </c>
    </row>
    <row r="2666" spans="2:15" ht="13.5" hidden="1" customHeight="1">
      <c r="B2666" s="33">
        <f t="shared" si="568"/>
        <v>108</v>
      </c>
      <c r="C2666" s="63" t="s">
        <v>961</v>
      </c>
      <c r="D2666" s="63" t="s">
        <v>853</v>
      </c>
      <c r="F2666" s="64" t="s">
        <v>31</v>
      </c>
      <c r="G2666" s="36">
        <f t="shared" si="576"/>
        <v>6826.5</v>
      </c>
      <c r="H2666" s="36">
        <v>1861</v>
      </c>
      <c r="I2666" s="36">
        <v>3790</v>
      </c>
      <c r="J2666" s="36">
        <v>900</v>
      </c>
      <c r="K2666" s="36">
        <f t="shared" si="570"/>
        <v>13377.5</v>
      </c>
      <c r="L2666" s="36">
        <v>7500</v>
      </c>
      <c r="M2666" s="9">
        <f t="shared" si="571"/>
        <v>0.56064287049149697</v>
      </c>
      <c r="N2666" s="5">
        <v>1</v>
      </c>
      <c r="O2666" s="10">
        <f t="shared" si="572"/>
        <v>0.56064287049149697</v>
      </c>
    </row>
    <row r="2667" spans="2:15" ht="13.5" hidden="1" customHeight="1">
      <c r="B2667" s="33">
        <f t="shared" si="568"/>
        <v>109</v>
      </c>
      <c r="C2667" s="63" t="s">
        <v>962</v>
      </c>
      <c r="D2667" s="63" t="s">
        <v>855</v>
      </c>
      <c r="F2667" s="64" t="s">
        <v>31</v>
      </c>
      <c r="G2667" s="36">
        <f t="shared" si="576"/>
        <v>6826.5</v>
      </c>
      <c r="H2667" s="36">
        <v>1861</v>
      </c>
      <c r="I2667" s="36">
        <v>3790</v>
      </c>
      <c r="J2667" s="36">
        <v>900</v>
      </c>
      <c r="K2667" s="36">
        <f t="shared" si="570"/>
        <v>13377.5</v>
      </c>
      <c r="L2667" s="36">
        <v>7500</v>
      </c>
      <c r="M2667" s="9">
        <f t="shared" si="571"/>
        <v>0.56064287049149697</v>
      </c>
      <c r="N2667" s="5">
        <v>1</v>
      </c>
      <c r="O2667" s="10">
        <f t="shared" si="572"/>
        <v>0.56064287049149697</v>
      </c>
    </row>
    <row r="2668" spans="2:15" ht="13.5" hidden="1" customHeight="1">
      <c r="B2668" s="33">
        <f t="shared" si="568"/>
        <v>110</v>
      </c>
      <c r="C2668" s="63" t="s">
        <v>87</v>
      </c>
      <c r="D2668" s="63" t="s">
        <v>861</v>
      </c>
      <c r="F2668" s="64" t="s">
        <v>31</v>
      </c>
      <c r="G2668" s="36">
        <f t="shared" si="576"/>
        <v>6826.5</v>
      </c>
      <c r="H2668" s="36">
        <v>1861</v>
      </c>
      <c r="I2668" s="36">
        <v>3790</v>
      </c>
      <c r="J2668" s="36">
        <v>900</v>
      </c>
      <c r="K2668" s="36">
        <f t="shared" si="570"/>
        <v>13377.5</v>
      </c>
      <c r="L2668" s="36">
        <v>7500</v>
      </c>
      <c r="M2668" s="9">
        <f t="shared" si="571"/>
        <v>0.56064287049149697</v>
      </c>
      <c r="N2668" s="5">
        <v>1</v>
      </c>
      <c r="O2668" s="10">
        <f t="shared" si="572"/>
        <v>0.56064287049149697</v>
      </c>
    </row>
    <row r="2669" spans="2:15" ht="13.5" hidden="1" customHeight="1">
      <c r="B2669" s="33">
        <f t="shared" si="568"/>
        <v>111</v>
      </c>
      <c r="C2669" s="63" t="s">
        <v>963</v>
      </c>
      <c r="D2669" s="63" t="s">
        <v>868</v>
      </c>
      <c r="F2669" s="64" t="s">
        <v>31</v>
      </c>
      <c r="G2669" s="36">
        <f t="shared" si="576"/>
        <v>6826.5</v>
      </c>
      <c r="H2669" s="36">
        <v>1861</v>
      </c>
      <c r="I2669" s="36">
        <v>3790</v>
      </c>
      <c r="J2669" s="36">
        <v>900</v>
      </c>
      <c r="K2669" s="36">
        <f t="shared" si="570"/>
        <v>13377.5</v>
      </c>
      <c r="L2669" s="36">
        <v>7500</v>
      </c>
      <c r="M2669" s="9">
        <f t="shared" si="571"/>
        <v>0.56064287049149697</v>
      </c>
      <c r="N2669" s="5">
        <v>1</v>
      </c>
      <c r="O2669" s="10">
        <f t="shared" si="572"/>
        <v>0.56064287049149697</v>
      </c>
    </row>
    <row r="2670" spans="2:15" ht="13.5" hidden="1" customHeight="1">
      <c r="B2670" s="33">
        <f t="shared" si="568"/>
        <v>112</v>
      </c>
      <c r="C2670" s="63" t="s">
        <v>252</v>
      </c>
      <c r="D2670" s="63" t="s">
        <v>870</v>
      </c>
      <c r="F2670" s="64" t="s">
        <v>31</v>
      </c>
      <c r="G2670" s="36">
        <f t="shared" si="576"/>
        <v>6826.5</v>
      </c>
      <c r="H2670" s="36">
        <v>1861</v>
      </c>
      <c r="I2670" s="36">
        <v>3790</v>
      </c>
      <c r="J2670" s="36">
        <v>900</v>
      </c>
      <c r="K2670" s="36">
        <f t="shared" si="570"/>
        <v>13377.5</v>
      </c>
      <c r="L2670" s="36">
        <v>7500</v>
      </c>
      <c r="M2670" s="9">
        <f t="shared" si="571"/>
        <v>0.56064287049149697</v>
      </c>
      <c r="N2670" s="5">
        <v>1</v>
      </c>
      <c r="O2670" s="10">
        <f t="shared" si="572"/>
        <v>0.56064287049149697</v>
      </c>
    </row>
    <row r="2671" spans="2:15" ht="13.5" hidden="1" customHeight="1">
      <c r="B2671" s="33">
        <f t="shared" si="568"/>
        <v>113</v>
      </c>
      <c r="C2671" s="63" t="s">
        <v>964</v>
      </c>
      <c r="D2671" s="63" t="s">
        <v>881</v>
      </c>
      <c r="F2671" s="64" t="s">
        <v>31</v>
      </c>
      <c r="G2671" s="36">
        <f>333*17</f>
        <v>5661</v>
      </c>
      <c r="H2671" s="36">
        <v>1861</v>
      </c>
      <c r="I2671" s="36">
        <v>3790</v>
      </c>
      <c r="J2671" s="36">
        <v>900</v>
      </c>
      <c r="K2671" s="36">
        <f t="shared" si="570"/>
        <v>12212</v>
      </c>
      <c r="L2671" s="36">
        <v>7500</v>
      </c>
      <c r="M2671" s="9">
        <f t="shared" si="571"/>
        <v>0.6141500163773338</v>
      </c>
      <c r="N2671" s="5">
        <v>1</v>
      </c>
      <c r="O2671" s="10">
        <f t="shared" si="572"/>
        <v>0.6141500163773338</v>
      </c>
    </row>
    <row r="2672" spans="2:15" ht="13.5" hidden="1" customHeight="1">
      <c r="B2672" s="33">
        <f t="shared" si="568"/>
        <v>114</v>
      </c>
      <c r="C2672" s="63" t="s">
        <v>965</v>
      </c>
      <c r="D2672" s="63" t="s">
        <v>884</v>
      </c>
      <c r="F2672" s="64" t="s">
        <v>31</v>
      </c>
      <c r="G2672" s="36">
        <f>333*20.5</f>
        <v>6826.5</v>
      </c>
      <c r="H2672" s="36">
        <v>1861</v>
      </c>
      <c r="I2672" s="36">
        <v>3790</v>
      </c>
      <c r="J2672" s="36">
        <v>900</v>
      </c>
      <c r="K2672" s="36">
        <f t="shared" si="570"/>
        <v>13377.5</v>
      </c>
      <c r="L2672" s="36">
        <v>7500</v>
      </c>
      <c r="M2672" s="9">
        <f t="shared" si="571"/>
        <v>0.56064287049149697</v>
      </c>
      <c r="N2672" s="5">
        <v>1</v>
      </c>
      <c r="O2672" s="10">
        <f t="shared" si="572"/>
        <v>0.56064287049149697</v>
      </c>
    </row>
    <row r="2673" spans="2:15" ht="13.5" hidden="1" customHeight="1">
      <c r="B2673" s="33">
        <f t="shared" si="568"/>
        <v>115</v>
      </c>
      <c r="C2673" s="63" t="s">
        <v>966</v>
      </c>
      <c r="D2673" s="63" t="s">
        <v>885</v>
      </c>
      <c r="F2673" s="64" t="s">
        <v>31</v>
      </c>
      <c r="G2673" s="36">
        <f>333*16.5</f>
        <v>5494.5</v>
      </c>
      <c r="H2673" s="36">
        <v>1861</v>
      </c>
      <c r="I2673" s="36">
        <v>3790</v>
      </c>
      <c r="J2673" s="36">
        <v>900</v>
      </c>
      <c r="K2673" s="36">
        <f t="shared" si="570"/>
        <v>12045.5</v>
      </c>
      <c r="L2673" s="36">
        <v>7500</v>
      </c>
      <c r="M2673" s="9">
        <f t="shared" si="571"/>
        <v>0.62263915985222695</v>
      </c>
      <c r="N2673" s="5">
        <v>1</v>
      </c>
      <c r="O2673" s="10">
        <f t="shared" si="572"/>
        <v>0.62263915985222695</v>
      </c>
    </row>
    <row r="2674" spans="2:15" ht="13.5" hidden="1" customHeight="1">
      <c r="B2674" s="33">
        <f t="shared" si="568"/>
        <v>116</v>
      </c>
      <c r="C2674" s="63" t="s">
        <v>967</v>
      </c>
      <c r="D2674" s="63" t="s">
        <v>888</v>
      </c>
      <c r="F2674" s="64" t="s">
        <v>31</v>
      </c>
      <c r="G2674" s="36">
        <f>333*20.5</f>
        <v>6826.5</v>
      </c>
      <c r="H2674" s="36">
        <v>1861</v>
      </c>
      <c r="I2674" s="36">
        <v>3790</v>
      </c>
      <c r="J2674" s="36">
        <v>900</v>
      </c>
      <c r="K2674" s="36">
        <f t="shared" si="570"/>
        <v>13377.5</v>
      </c>
      <c r="L2674" s="36">
        <v>7500</v>
      </c>
      <c r="M2674" s="9">
        <f t="shared" si="571"/>
        <v>0.56064287049149697</v>
      </c>
      <c r="N2674" s="5">
        <v>1</v>
      </c>
      <c r="O2674" s="10">
        <f t="shared" si="572"/>
        <v>0.56064287049149697</v>
      </c>
    </row>
    <row r="2675" spans="2:15" ht="13.5" hidden="1" customHeight="1">
      <c r="B2675" s="33">
        <f t="shared" si="568"/>
        <v>117</v>
      </c>
      <c r="C2675" s="63" t="s">
        <v>968</v>
      </c>
      <c r="D2675" s="63" t="s">
        <v>890</v>
      </c>
      <c r="F2675" s="64" t="s">
        <v>31</v>
      </c>
      <c r="G2675" s="36">
        <f t="shared" ref="G2675:G2676" si="577">333*20.5</f>
        <v>6826.5</v>
      </c>
      <c r="H2675" s="36">
        <v>1861</v>
      </c>
      <c r="I2675" s="36">
        <v>3790</v>
      </c>
      <c r="J2675" s="36">
        <v>900</v>
      </c>
      <c r="K2675" s="36">
        <f t="shared" si="570"/>
        <v>13377.5</v>
      </c>
      <c r="L2675" s="36">
        <v>7500</v>
      </c>
      <c r="M2675" s="9">
        <f t="shared" si="571"/>
        <v>0.56064287049149697</v>
      </c>
      <c r="N2675" s="5">
        <v>1</v>
      </c>
      <c r="O2675" s="10">
        <f t="shared" si="572"/>
        <v>0.56064287049149697</v>
      </c>
    </row>
    <row r="2676" spans="2:15" ht="13.5" hidden="1" customHeight="1">
      <c r="B2676" s="33">
        <f t="shared" si="568"/>
        <v>118</v>
      </c>
      <c r="C2676" s="63" t="s">
        <v>361</v>
      </c>
      <c r="D2676" s="63" t="s">
        <v>892</v>
      </c>
      <c r="F2676" s="64" t="s">
        <v>31</v>
      </c>
      <c r="G2676" s="36">
        <f t="shared" si="577"/>
        <v>6826.5</v>
      </c>
      <c r="H2676" s="36">
        <v>1861</v>
      </c>
      <c r="I2676" s="36">
        <v>3790</v>
      </c>
      <c r="J2676" s="36">
        <v>900</v>
      </c>
      <c r="K2676" s="36">
        <f t="shared" si="570"/>
        <v>13377.5</v>
      </c>
      <c r="L2676" s="36">
        <v>7500</v>
      </c>
      <c r="M2676" s="9">
        <f t="shared" si="571"/>
        <v>0.56064287049149697</v>
      </c>
      <c r="N2676" s="5">
        <v>1</v>
      </c>
      <c r="O2676" s="10">
        <f t="shared" si="572"/>
        <v>0.56064287049149697</v>
      </c>
    </row>
    <row r="2677" spans="2:15" ht="13.5" hidden="1" customHeight="1">
      <c r="B2677" s="33">
        <f t="shared" si="568"/>
        <v>119</v>
      </c>
      <c r="C2677" s="63" t="s">
        <v>969</v>
      </c>
      <c r="D2677" s="63" t="s">
        <v>901</v>
      </c>
      <c r="F2677" s="64" t="s">
        <v>31</v>
      </c>
      <c r="G2677" s="36">
        <f>333*16</f>
        <v>5328</v>
      </c>
      <c r="H2677" s="36">
        <v>1861</v>
      </c>
      <c r="I2677" s="36">
        <v>3790</v>
      </c>
      <c r="J2677" s="36">
        <v>900</v>
      </c>
      <c r="K2677" s="36">
        <f t="shared" si="570"/>
        <v>11879</v>
      </c>
      <c r="L2677" s="36">
        <v>7500</v>
      </c>
      <c r="M2677" s="9">
        <f t="shared" si="571"/>
        <v>0.63136627662261136</v>
      </c>
      <c r="N2677" s="5">
        <v>1</v>
      </c>
      <c r="O2677" s="10">
        <f t="shared" si="572"/>
        <v>0.63136627662261136</v>
      </c>
    </row>
    <row r="2678" spans="2:15" ht="13.5" hidden="1" customHeight="1">
      <c r="B2678" s="33">
        <f t="shared" si="568"/>
        <v>120</v>
      </c>
      <c r="C2678" s="63" t="s">
        <v>969</v>
      </c>
      <c r="D2678" s="63" t="s">
        <v>902</v>
      </c>
      <c r="F2678" s="64" t="s">
        <v>31</v>
      </c>
      <c r="G2678" s="36">
        <f>333*20.5</f>
        <v>6826.5</v>
      </c>
      <c r="H2678" s="36">
        <v>1861</v>
      </c>
      <c r="I2678" s="36">
        <v>3790</v>
      </c>
      <c r="J2678" s="36">
        <v>900</v>
      </c>
      <c r="K2678" s="36">
        <f t="shared" si="570"/>
        <v>13377.5</v>
      </c>
      <c r="L2678" s="36">
        <v>7500</v>
      </c>
      <c r="M2678" s="9">
        <f t="shared" si="571"/>
        <v>0.56064287049149697</v>
      </c>
      <c r="N2678" s="5">
        <v>1</v>
      </c>
      <c r="O2678" s="10">
        <f t="shared" si="572"/>
        <v>0.56064287049149697</v>
      </c>
    </row>
    <row r="2679" spans="2:15" ht="13.5" hidden="1" customHeight="1">
      <c r="B2679" s="33">
        <f t="shared" si="568"/>
        <v>121</v>
      </c>
      <c r="C2679" s="62" t="s">
        <v>970</v>
      </c>
      <c r="D2679" s="62" t="s">
        <v>722</v>
      </c>
      <c r="F2679" s="61" t="s">
        <v>26</v>
      </c>
      <c r="G2679" s="36">
        <f>333*19</f>
        <v>6327</v>
      </c>
      <c r="H2679" s="36">
        <v>1861</v>
      </c>
      <c r="I2679" s="36">
        <v>3240</v>
      </c>
      <c r="J2679" s="36">
        <v>1800</v>
      </c>
      <c r="K2679" s="36">
        <f t="shared" si="570"/>
        <v>13228</v>
      </c>
      <c r="L2679" s="36">
        <v>7500</v>
      </c>
      <c r="M2679" s="9">
        <f t="shared" si="571"/>
        <v>0.56697913516782583</v>
      </c>
      <c r="N2679" s="5">
        <v>1</v>
      </c>
      <c r="O2679" s="10">
        <f t="shared" si="572"/>
        <v>0.56697913516782583</v>
      </c>
    </row>
    <row r="2680" spans="2:15" ht="13.5" hidden="1" customHeight="1">
      <c r="B2680" s="33">
        <f t="shared" si="568"/>
        <v>122</v>
      </c>
      <c r="C2680" s="62" t="s">
        <v>971</v>
      </c>
      <c r="D2680" s="62" t="s">
        <v>739</v>
      </c>
      <c r="F2680" s="61" t="s">
        <v>26</v>
      </c>
      <c r="G2680" s="36">
        <f>333*8</f>
        <v>2664</v>
      </c>
      <c r="H2680" s="36">
        <v>1861</v>
      </c>
      <c r="I2680" s="36">
        <v>3240</v>
      </c>
      <c r="J2680" s="36">
        <v>1800</v>
      </c>
      <c r="K2680" s="36">
        <f t="shared" si="570"/>
        <v>9565</v>
      </c>
      <c r="L2680" s="36">
        <v>7500</v>
      </c>
      <c r="M2680" s="9">
        <f t="shared" si="571"/>
        <v>0.78410872974385781</v>
      </c>
      <c r="N2680" s="5">
        <v>1</v>
      </c>
      <c r="O2680" s="10">
        <f t="shared" si="572"/>
        <v>0.78410872974385781</v>
      </c>
    </row>
    <row r="2681" spans="2:15" ht="13.5" hidden="1" customHeight="1">
      <c r="B2681" s="33">
        <f t="shared" si="568"/>
        <v>123</v>
      </c>
      <c r="C2681" s="62" t="s">
        <v>711</v>
      </c>
      <c r="D2681" s="62" t="s">
        <v>754</v>
      </c>
      <c r="F2681" s="61" t="s">
        <v>26</v>
      </c>
      <c r="G2681" s="36">
        <f>333*19</f>
        <v>6327</v>
      </c>
      <c r="H2681" s="36">
        <v>1861</v>
      </c>
      <c r="I2681" s="36">
        <v>3240</v>
      </c>
      <c r="J2681" s="36">
        <v>1800</v>
      </c>
      <c r="K2681" s="36">
        <f t="shared" si="570"/>
        <v>13228</v>
      </c>
      <c r="L2681" s="36">
        <v>7500</v>
      </c>
      <c r="M2681" s="9">
        <f t="shared" si="571"/>
        <v>0.56697913516782583</v>
      </c>
      <c r="N2681" s="5">
        <v>1</v>
      </c>
      <c r="O2681" s="10">
        <f t="shared" si="572"/>
        <v>0.56697913516782583</v>
      </c>
    </row>
    <row r="2682" spans="2:15" ht="13.5" hidden="1" customHeight="1">
      <c r="B2682" s="33">
        <f t="shared" si="568"/>
        <v>124</v>
      </c>
      <c r="C2682" s="62" t="s">
        <v>972</v>
      </c>
      <c r="D2682" s="62" t="s">
        <v>758</v>
      </c>
      <c r="F2682" s="61" t="s">
        <v>26</v>
      </c>
      <c r="G2682" s="36">
        <f t="shared" ref="G2682:G2701" si="578">333*19</f>
        <v>6327</v>
      </c>
      <c r="H2682" s="36">
        <v>1861</v>
      </c>
      <c r="I2682" s="36">
        <v>3240</v>
      </c>
      <c r="J2682" s="36">
        <v>1800</v>
      </c>
      <c r="K2682" s="36">
        <f t="shared" si="570"/>
        <v>13228</v>
      </c>
      <c r="L2682" s="36">
        <v>7500</v>
      </c>
      <c r="M2682" s="9">
        <f t="shared" si="571"/>
        <v>0.56697913516782583</v>
      </c>
      <c r="N2682" s="5">
        <v>1</v>
      </c>
      <c r="O2682" s="10">
        <f t="shared" si="572"/>
        <v>0.56697913516782583</v>
      </c>
    </row>
    <row r="2683" spans="2:15" ht="13.5" hidden="1" customHeight="1">
      <c r="B2683" s="33">
        <f t="shared" si="568"/>
        <v>125</v>
      </c>
      <c r="C2683" s="62" t="s">
        <v>982</v>
      </c>
      <c r="D2683" s="62" t="s">
        <v>765</v>
      </c>
      <c r="F2683" s="61" t="s">
        <v>26</v>
      </c>
      <c r="G2683" s="36">
        <f t="shared" si="578"/>
        <v>6327</v>
      </c>
      <c r="H2683" s="36">
        <v>1861</v>
      </c>
      <c r="I2683" s="36">
        <v>3240</v>
      </c>
      <c r="J2683" s="36">
        <v>1800</v>
      </c>
      <c r="K2683" s="36">
        <f t="shared" si="570"/>
        <v>13228</v>
      </c>
      <c r="L2683" s="36">
        <v>7500</v>
      </c>
      <c r="M2683" s="9">
        <f t="shared" si="571"/>
        <v>0.56697913516782583</v>
      </c>
      <c r="N2683" s="5">
        <v>1</v>
      </c>
      <c r="O2683" s="10">
        <f t="shared" si="572"/>
        <v>0.56697913516782583</v>
      </c>
    </row>
    <row r="2684" spans="2:15" ht="13.5" hidden="1" customHeight="1">
      <c r="B2684" s="33">
        <f t="shared" si="568"/>
        <v>126</v>
      </c>
      <c r="C2684" s="62" t="s">
        <v>108</v>
      </c>
      <c r="D2684" s="62" t="s">
        <v>781</v>
      </c>
      <c r="F2684" s="61" t="s">
        <v>26</v>
      </c>
      <c r="G2684" s="36">
        <f t="shared" si="578"/>
        <v>6327</v>
      </c>
      <c r="H2684" s="36">
        <v>1861</v>
      </c>
      <c r="I2684" s="36">
        <v>3240</v>
      </c>
      <c r="J2684" s="36">
        <v>1800</v>
      </c>
      <c r="K2684" s="36">
        <f t="shared" si="570"/>
        <v>13228</v>
      </c>
      <c r="L2684" s="36">
        <v>7500</v>
      </c>
      <c r="M2684" s="9">
        <f t="shared" si="571"/>
        <v>0.56697913516782583</v>
      </c>
      <c r="N2684" s="5">
        <v>1</v>
      </c>
      <c r="O2684" s="10">
        <f t="shared" si="572"/>
        <v>0.56697913516782583</v>
      </c>
    </row>
    <row r="2685" spans="2:15" ht="13.5" hidden="1" customHeight="1">
      <c r="B2685" s="33">
        <f t="shared" si="568"/>
        <v>127</v>
      </c>
      <c r="C2685" s="63" t="s">
        <v>346</v>
      </c>
      <c r="D2685" s="63" t="s">
        <v>790</v>
      </c>
      <c r="F2685" s="64" t="s">
        <v>26</v>
      </c>
      <c r="G2685" s="36">
        <f t="shared" si="578"/>
        <v>6327</v>
      </c>
      <c r="H2685" s="36">
        <v>1861</v>
      </c>
      <c r="I2685" s="36">
        <v>3240</v>
      </c>
      <c r="J2685" s="36">
        <v>1800</v>
      </c>
      <c r="K2685" s="36">
        <f t="shared" si="570"/>
        <v>13228</v>
      </c>
      <c r="L2685" s="36">
        <v>7500</v>
      </c>
      <c r="M2685" s="9">
        <f t="shared" si="571"/>
        <v>0.56697913516782583</v>
      </c>
      <c r="N2685" s="5">
        <v>1</v>
      </c>
      <c r="O2685" s="10">
        <f t="shared" si="572"/>
        <v>0.56697913516782583</v>
      </c>
    </row>
    <row r="2686" spans="2:15" ht="13.5" hidden="1" customHeight="1">
      <c r="B2686" s="33">
        <f t="shared" si="568"/>
        <v>128</v>
      </c>
      <c r="C2686" s="63" t="s">
        <v>110</v>
      </c>
      <c r="D2686" s="63" t="s">
        <v>797</v>
      </c>
      <c r="F2686" s="64" t="s">
        <v>26</v>
      </c>
      <c r="G2686" s="36">
        <f t="shared" si="578"/>
        <v>6327</v>
      </c>
      <c r="H2686" s="36">
        <v>1861</v>
      </c>
      <c r="I2686" s="36">
        <v>3240</v>
      </c>
      <c r="J2686" s="36">
        <v>1800</v>
      </c>
      <c r="K2686" s="36">
        <f t="shared" si="570"/>
        <v>13228</v>
      </c>
      <c r="L2686" s="36">
        <v>7500</v>
      </c>
      <c r="M2686" s="9">
        <f t="shared" si="571"/>
        <v>0.56697913516782583</v>
      </c>
      <c r="N2686" s="5">
        <v>1</v>
      </c>
      <c r="O2686" s="10">
        <f t="shared" si="572"/>
        <v>0.56697913516782583</v>
      </c>
    </row>
    <row r="2687" spans="2:15" ht="13.5" hidden="1" customHeight="1">
      <c r="B2687" s="33">
        <f t="shared" si="568"/>
        <v>129</v>
      </c>
      <c r="C2687" s="63" t="s">
        <v>242</v>
      </c>
      <c r="D2687" s="63" t="s">
        <v>817</v>
      </c>
      <c r="F2687" s="64" t="s">
        <v>26</v>
      </c>
      <c r="G2687" s="36">
        <f t="shared" si="578"/>
        <v>6327</v>
      </c>
      <c r="H2687" s="36">
        <v>1861</v>
      </c>
      <c r="I2687" s="36">
        <v>3240</v>
      </c>
      <c r="J2687" s="36">
        <v>1800</v>
      </c>
      <c r="K2687" s="36">
        <f t="shared" si="570"/>
        <v>13228</v>
      </c>
      <c r="L2687" s="36">
        <v>7500</v>
      </c>
      <c r="M2687" s="9">
        <f t="shared" si="571"/>
        <v>0.56697913516782583</v>
      </c>
      <c r="N2687" s="5">
        <v>1</v>
      </c>
      <c r="O2687" s="10">
        <f t="shared" si="572"/>
        <v>0.56697913516782583</v>
      </c>
    </row>
    <row r="2688" spans="2:15" ht="13.5" hidden="1" customHeight="1">
      <c r="B2688" s="33">
        <f t="shared" si="568"/>
        <v>130</v>
      </c>
      <c r="C2688" s="63" t="s">
        <v>973</v>
      </c>
      <c r="D2688" s="63" t="s">
        <v>840</v>
      </c>
      <c r="F2688" s="64" t="s">
        <v>26</v>
      </c>
      <c r="G2688" s="36">
        <f t="shared" si="578"/>
        <v>6327</v>
      </c>
      <c r="H2688" s="36">
        <v>1861</v>
      </c>
      <c r="I2688" s="36">
        <v>3240</v>
      </c>
      <c r="J2688" s="36">
        <v>1800</v>
      </c>
      <c r="K2688" s="36">
        <f t="shared" si="570"/>
        <v>13228</v>
      </c>
      <c r="L2688" s="36">
        <v>7500</v>
      </c>
      <c r="M2688" s="9">
        <f t="shared" si="571"/>
        <v>0.56697913516782583</v>
      </c>
      <c r="N2688" s="5">
        <v>1</v>
      </c>
      <c r="O2688" s="10">
        <f t="shared" si="572"/>
        <v>0.56697913516782583</v>
      </c>
    </row>
    <row r="2689" spans="2:15" ht="13.5" hidden="1" customHeight="1">
      <c r="B2689" s="33">
        <f t="shared" ref="B2689:B2747" si="579">+B2688+1</f>
        <v>131</v>
      </c>
      <c r="C2689" s="63" t="s">
        <v>64</v>
      </c>
      <c r="D2689" s="63" t="s">
        <v>842</v>
      </c>
      <c r="F2689" s="64" t="s">
        <v>26</v>
      </c>
      <c r="G2689" s="36">
        <f t="shared" si="578"/>
        <v>6327</v>
      </c>
      <c r="H2689" s="36">
        <v>1861</v>
      </c>
      <c r="I2689" s="36">
        <v>3240</v>
      </c>
      <c r="J2689" s="36">
        <v>1800</v>
      </c>
      <c r="K2689" s="36">
        <f t="shared" si="570"/>
        <v>13228</v>
      </c>
      <c r="L2689" s="36">
        <v>7500</v>
      </c>
      <c r="M2689" s="9">
        <f t="shared" si="571"/>
        <v>0.56697913516782583</v>
      </c>
      <c r="N2689" s="5">
        <v>1</v>
      </c>
      <c r="O2689" s="10">
        <f t="shared" si="572"/>
        <v>0.56697913516782583</v>
      </c>
    </row>
    <row r="2690" spans="2:15" ht="13.5" hidden="1" customHeight="1">
      <c r="B2690" s="33">
        <f t="shared" si="579"/>
        <v>132</v>
      </c>
      <c r="C2690" s="63" t="s">
        <v>974</v>
      </c>
      <c r="D2690" s="63" t="s">
        <v>845</v>
      </c>
      <c r="F2690" s="64" t="s">
        <v>26</v>
      </c>
      <c r="G2690" s="36">
        <f t="shared" si="578"/>
        <v>6327</v>
      </c>
      <c r="H2690" s="36">
        <v>1861</v>
      </c>
      <c r="I2690" s="36">
        <v>3240</v>
      </c>
      <c r="J2690" s="36">
        <v>1800</v>
      </c>
      <c r="K2690" s="36">
        <f t="shared" si="570"/>
        <v>13228</v>
      </c>
      <c r="L2690" s="36">
        <v>7500</v>
      </c>
      <c r="M2690" s="9">
        <f t="shared" si="571"/>
        <v>0.56697913516782583</v>
      </c>
      <c r="N2690" s="5">
        <v>1</v>
      </c>
      <c r="O2690" s="10">
        <f t="shared" si="572"/>
        <v>0.56697913516782583</v>
      </c>
    </row>
    <row r="2691" spans="2:15" ht="13.5" hidden="1" customHeight="1">
      <c r="B2691" s="33">
        <f t="shared" si="579"/>
        <v>133</v>
      </c>
      <c r="C2691" s="63" t="s">
        <v>975</v>
      </c>
      <c r="D2691" s="63" t="s">
        <v>846</v>
      </c>
      <c r="F2691" s="64" t="s">
        <v>26</v>
      </c>
      <c r="G2691" s="36">
        <f t="shared" si="578"/>
        <v>6327</v>
      </c>
      <c r="H2691" s="36">
        <v>1861</v>
      </c>
      <c r="I2691" s="36">
        <v>3240</v>
      </c>
      <c r="J2691" s="36">
        <v>1800</v>
      </c>
      <c r="K2691" s="36">
        <f t="shared" si="570"/>
        <v>13228</v>
      </c>
      <c r="L2691" s="36">
        <v>7500</v>
      </c>
      <c r="M2691" s="9">
        <f t="shared" si="571"/>
        <v>0.56697913516782583</v>
      </c>
      <c r="N2691" s="5">
        <v>1</v>
      </c>
      <c r="O2691" s="10">
        <f t="shared" si="572"/>
        <v>0.56697913516782583</v>
      </c>
    </row>
    <row r="2692" spans="2:15" ht="13.5" hidden="1" customHeight="1">
      <c r="B2692" s="33">
        <f t="shared" si="579"/>
        <v>134</v>
      </c>
      <c r="C2692" s="63" t="s">
        <v>976</v>
      </c>
      <c r="D2692" s="63" t="s">
        <v>848</v>
      </c>
      <c r="F2692" s="64" t="s">
        <v>26</v>
      </c>
      <c r="G2692" s="36">
        <f>333*14.5</f>
        <v>4828.5</v>
      </c>
      <c r="H2692" s="36">
        <v>1861</v>
      </c>
      <c r="I2692" s="36">
        <v>3240</v>
      </c>
      <c r="J2692" s="36">
        <v>1800</v>
      </c>
      <c r="K2692" s="36">
        <f t="shared" si="570"/>
        <v>11729.5</v>
      </c>
      <c r="L2692" s="36">
        <v>7500</v>
      </c>
      <c r="M2692" s="9">
        <f t="shared" si="571"/>
        <v>0.63941344473336459</v>
      </c>
      <c r="N2692" s="5">
        <v>1</v>
      </c>
      <c r="O2692" s="10">
        <f t="shared" si="572"/>
        <v>0.63941344473336459</v>
      </c>
    </row>
    <row r="2693" spans="2:15" ht="13.5" hidden="1" customHeight="1">
      <c r="B2693" s="33">
        <f t="shared" si="579"/>
        <v>135</v>
      </c>
      <c r="C2693" s="63" t="s">
        <v>170</v>
      </c>
      <c r="D2693" s="63" t="s">
        <v>850</v>
      </c>
      <c r="F2693" s="64" t="s">
        <v>26</v>
      </c>
      <c r="G2693" s="36">
        <f t="shared" si="578"/>
        <v>6327</v>
      </c>
      <c r="H2693" s="36">
        <v>1861</v>
      </c>
      <c r="I2693" s="36">
        <v>3240</v>
      </c>
      <c r="J2693" s="36">
        <v>1800</v>
      </c>
      <c r="K2693" s="36">
        <f t="shared" si="570"/>
        <v>13228</v>
      </c>
      <c r="L2693" s="36">
        <v>7500</v>
      </c>
      <c r="M2693" s="9">
        <f t="shared" si="571"/>
        <v>0.56697913516782583</v>
      </c>
      <c r="N2693" s="5">
        <v>1</v>
      </c>
      <c r="O2693" s="10">
        <f t="shared" si="572"/>
        <v>0.56697913516782583</v>
      </c>
    </row>
    <row r="2694" spans="2:15" ht="13.5" hidden="1" customHeight="1">
      <c r="B2694" s="33">
        <f t="shared" si="579"/>
        <v>136</v>
      </c>
      <c r="C2694" s="63" t="s">
        <v>170</v>
      </c>
      <c r="D2694" s="63" t="s">
        <v>851</v>
      </c>
      <c r="F2694" s="64" t="s">
        <v>26</v>
      </c>
      <c r="G2694" s="36">
        <f t="shared" si="578"/>
        <v>6327</v>
      </c>
      <c r="H2694" s="36">
        <v>1861</v>
      </c>
      <c r="I2694" s="36">
        <v>3240</v>
      </c>
      <c r="J2694" s="36">
        <v>1800</v>
      </c>
      <c r="K2694" s="36">
        <f t="shared" si="570"/>
        <v>13228</v>
      </c>
      <c r="L2694" s="36">
        <v>7500</v>
      </c>
      <c r="M2694" s="9">
        <f t="shared" si="571"/>
        <v>0.56697913516782583</v>
      </c>
      <c r="N2694" s="5">
        <v>1</v>
      </c>
      <c r="O2694" s="10">
        <f t="shared" si="572"/>
        <v>0.56697913516782583</v>
      </c>
    </row>
    <row r="2695" spans="2:15" ht="13.5" hidden="1" customHeight="1">
      <c r="B2695" s="33">
        <f t="shared" si="579"/>
        <v>137</v>
      </c>
      <c r="C2695" s="63" t="s">
        <v>97</v>
      </c>
      <c r="D2695" s="63" t="s">
        <v>852</v>
      </c>
      <c r="F2695" s="64" t="s">
        <v>26</v>
      </c>
      <c r="G2695" s="36">
        <f t="shared" si="578"/>
        <v>6327</v>
      </c>
      <c r="H2695" s="36">
        <v>1861</v>
      </c>
      <c r="I2695" s="36">
        <v>3240</v>
      </c>
      <c r="J2695" s="36">
        <v>1800</v>
      </c>
      <c r="K2695" s="36">
        <f t="shared" si="570"/>
        <v>13228</v>
      </c>
      <c r="L2695" s="36">
        <v>7500</v>
      </c>
      <c r="M2695" s="9">
        <f t="shared" si="571"/>
        <v>0.56697913516782583</v>
      </c>
      <c r="N2695" s="5">
        <v>1</v>
      </c>
      <c r="O2695" s="10">
        <f t="shared" si="572"/>
        <v>0.56697913516782583</v>
      </c>
    </row>
    <row r="2696" spans="2:15" ht="13.5" hidden="1" customHeight="1">
      <c r="B2696" s="33">
        <f t="shared" si="579"/>
        <v>138</v>
      </c>
      <c r="C2696" s="63" t="s">
        <v>171</v>
      </c>
      <c r="D2696" s="63" t="s">
        <v>854</v>
      </c>
      <c r="F2696" s="64" t="s">
        <v>26</v>
      </c>
      <c r="G2696" s="36">
        <f>333*16</f>
        <v>5328</v>
      </c>
      <c r="H2696" s="36">
        <v>1861</v>
      </c>
      <c r="I2696" s="36">
        <v>3240</v>
      </c>
      <c r="J2696" s="36">
        <v>1800</v>
      </c>
      <c r="K2696" s="36">
        <f t="shared" si="570"/>
        <v>12229</v>
      </c>
      <c r="L2696" s="36">
        <v>7500</v>
      </c>
      <c r="M2696" s="9">
        <f t="shared" si="571"/>
        <v>0.61329626298143758</v>
      </c>
      <c r="N2696" s="5">
        <v>1</v>
      </c>
      <c r="O2696" s="10">
        <f t="shared" si="572"/>
        <v>0.61329626298143758</v>
      </c>
    </row>
    <row r="2697" spans="2:15" ht="13.5" hidden="1" customHeight="1">
      <c r="B2697" s="33">
        <f t="shared" si="579"/>
        <v>139</v>
      </c>
      <c r="C2697" s="63" t="s">
        <v>977</v>
      </c>
      <c r="D2697" s="63" t="s">
        <v>859</v>
      </c>
      <c r="F2697" s="64" t="s">
        <v>26</v>
      </c>
      <c r="G2697" s="36">
        <f t="shared" si="578"/>
        <v>6327</v>
      </c>
      <c r="H2697" s="36">
        <v>1861</v>
      </c>
      <c r="I2697" s="36">
        <v>3240</v>
      </c>
      <c r="J2697" s="36">
        <v>1800</v>
      </c>
      <c r="K2697" s="36">
        <f t="shared" ref="K2697:K2747" si="580">SUM(G2697:J2697)</f>
        <v>13228</v>
      </c>
      <c r="L2697" s="36">
        <v>7500</v>
      </c>
      <c r="M2697" s="9">
        <f t="shared" ref="M2697:M2747" si="581">L2697/K2697</f>
        <v>0.56697913516782583</v>
      </c>
      <c r="N2697" s="5">
        <v>1</v>
      </c>
      <c r="O2697" s="10">
        <f t="shared" ref="O2697:O2747" si="582">N2697*M2697</f>
        <v>0.56697913516782583</v>
      </c>
    </row>
    <row r="2698" spans="2:15" ht="13.5" hidden="1" customHeight="1">
      <c r="B2698" s="33">
        <f t="shared" si="579"/>
        <v>140</v>
      </c>
      <c r="C2698" s="63" t="s">
        <v>69</v>
      </c>
      <c r="D2698" s="63" t="s">
        <v>869</v>
      </c>
      <c r="F2698" s="64" t="s">
        <v>26</v>
      </c>
      <c r="G2698" s="36">
        <f t="shared" si="578"/>
        <v>6327</v>
      </c>
      <c r="H2698" s="36">
        <v>1861</v>
      </c>
      <c r="I2698" s="36">
        <v>3240</v>
      </c>
      <c r="J2698" s="36">
        <v>1800</v>
      </c>
      <c r="K2698" s="36">
        <f t="shared" si="580"/>
        <v>13228</v>
      </c>
      <c r="L2698" s="36">
        <v>7500</v>
      </c>
      <c r="M2698" s="9">
        <f t="shared" si="581"/>
        <v>0.56697913516782583</v>
      </c>
      <c r="N2698" s="5">
        <v>1</v>
      </c>
      <c r="O2698" s="10">
        <f t="shared" si="582"/>
        <v>0.56697913516782583</v>
      </c>
    </row>
    <row r="2699" spans="2:15" ht="13.5" hidden="1" customHeight="1">
      <c r="B2699" s="33">
        <f t="shared" si="579"/>
        <v>141</v>
      </c>
      <c r="C2699" s="63" t="s">
        <v>978</v>
      </c>
      <c r="D2699" s="63" t="s">
        <v>877</v>
      </c>
      <c r="F2699" s="64" t="s">
        <v>26</v>
      </c>
      <c r="G2699" s="36">
        <f t="shared" si="578"/>
        <v>6327</v>
      </c>
      <c r="H2699" s="36">
        <v>1861</v>
      </c>
      <c r="I2699" s="36">
        <v>3240</v>
      </c>
      <c r="J2699" s="36">
        <v>1800</v>
      </c>
      <c r="K2699" s="36">
        <f t="shared" si="580"/>
        <v>13228</v>
      </c>
      <c r="L2699" s="36">
        <v>7500</v>
      </c>
      <c r="M2699" s="9">
        <f t="shared" si="581"/>
        <v>0.56697913516782583</v>
      </c>
      <c r="N2699" s="5">
        <v>1</v>
      </c>
      <c r="O2699" s="10">
        <f t="shared" si="582"/>
        <v>0.56697913516782583</v>
      </c>
    </row>
    <row r="2700" spans="2:15" ht="13.5" hidden="1" customHeight="1">
      <c r="B2700" s="33">
        <f t="shared" si="579"/>
        <v>142</v>
      </c>
      <c r="C2700" s="63" t="s">
        <v>979</v>
      </c>
      <c r="D2700" s="63" t="s">
        <v>882</v>
      </c>
      <c r="F2700" s="64" t="s">
        <v>26</v>
      </c>
      <c r="G2700" s="36">
        <f t="shared" si="578"/>
        <v>6327</v>
      </c>
      <c r="H2700" s="36">
        <v>1861</v>
      </c>
      <c r="I2700" s="36">
        <v>3240</v>
      </c>
      <c r="J2700" s="36">
        <v>1800</v>
      </c>
      <c r="K2700" s="36">
        <f t="shared" si="580"/>
        <v>13228</v>
      </c>
      <c r="L2700" s="36">
        <v>7500</v>
      </c>
      <c r="M2700" s="9">
        <f t="shared" si="581"/>
        <v>0.56697913516782583</v>
      </c>
      <c r="N2700" s="5">
        <v>1</v>
      </c>
      <c r="O2700" s="10">
        <f t="shared" si="582"/>
        <v>0.56697913516782583</v>
      </c>
    </row>
    <row r="2701" spans="2:15" ht="13.5" hidden="1" customHeight="1">
      <c r="B2701" s="33">
        <f t="shared" si="579"/>
        <v>143</v>
      </c>
      <c r="C2701" s="63" t="s">
        <v>980</v>
      </c>
      <c r="D2701" s="63" t="s">
        <v>893</v>
      </c>
      <c r="F2701" s="64" t="s">
        <v>26</v>
      </c>
      <c r="G2701" s="36">
        <f t="shared" si="578"/>
        <v>6327</v>
      </c>
      <c r="H2701" s="36">
        <v>1861</v>
      </c>
      <c r="I2701" s="36">
        <v>3240</v>
      </c>
      <c r="J2701" s="36">
        <v>1800</v>
      </c>
      <c r="K2701" s="36">
        <f t="shared" si="580"/>
        <v>13228</v>
      </c>
      <c r="L2701" s="36">
        <v>7500</v>
      </c>
      <c r="M2701" s="9">
        <f t="shared" si="581"/>
        <v>0.56697913516782583</v>
      </c>
      <c r="N2701" s="5">
        <v>1</v>
      </c>
      <c r="O2701" s="10">
        <f t="shared" si="582"/>
        <v>0.56697913516782583</v>
      </c>
    </row>
    <row r="2702" spans="2:15" ht="13.5" hidden="1" customHeight="1">
      <c r="B2702" s="33">
        <f t="shared" si="579"/>
        <v>144</v>
      </c>
      <c r="C2702" s="63" t="s">
        <v>981</v>
      </c>
      <c r="D2702" s="63" t="s">
        <v>895</v>
      </c>
      <c r="F2702" s="64" t="s">
        <v>26</v>
      </c>
      <c r="G2702" s="36">
        <f>333*11.5</f>
        <v>3829.5</v>
      </c>
      <c r="H2702" s="36">
        <v>1861</v>
      </c>
      <c r="I2702" s="36">
        <v>3240</v>
      </c>
      <c r="J2702" s="36">
        <v>1800</v>
      </c>
      <c r="K2702" s="36">
        <f t="shared" si="580"/>
        <v>10730.5</v>
      </c>
      <c r="L2702" s="36">
        <v>7500</v>
      </c>
      <c r="M2702" s="9">
        <f t="shared" si="581"/>
        <v>0.69894226736871534</v>
      </c>
      <c r="N2702" s="5">
        <v>1</v>
      </c>
      <c r="O2702" s="10">
        <f t="shared" si="582"/>
        <v>0.69894226736871534</v>
      </c>
    </row>
    <row r="2703" spans="2:15" ht="13.5" hidden="1" customHeight="1">
      <c r="B2703" s="33">
        <f t="shared" si="579"/>
        <v>145</v>
      </c>
      <c r="C2703" s="62" t="s">
        <v>983</v>
      </c>
      <c r="D2703" s="62" t="s">
        <v>737</v>
      </c>
      <c r="F2703" s="61" t="s">
        <v>32</v>
      </c>
      <c r="G2703" s="36">
        <f>300*17</f>
        <v>5100</v>
      </c>
      <c r="H2703" s="36">
        <v>1861</v>
      </c>
      <c r="I2703" s="36">
        <v>3240</v>
      </c>
      <c r="J2703" s="36">
        <v>900</v>
      </c>
      <c r="K2703" s="36">
        <f t="shared" si="580"/>
        <v>11101</v>
      </c>
      <c r="L2703" s="36">
        <v>7500</v>
      </c>
      <c r="M2703" s="9">
        <f t="shared" si="581"/>
        <v>0.67561480947662378</v>
      </c>
      <c r="N2703" s="5">
        <v>1</v>
      </c>
      <c r="O2703" s="10">
        <f t="shared" si="582"/>
        <v>0.67561480947662378</v>
      </c>
    </row>
    <row r="2704" spans="2:15" ht="13.5" hidden="1" customHeight="1">
      <c r="B2704" s="33">
        <f t="shared" si="579"/>
        <v>146</v>
      </c>
      <c r="C2704" s="62" t="s">
        <v>983</v>
      </c>
      <c r="D2704" s="62" t="s">
        <v>738</v>
      </c>
      <c r="F2704" s="61" t="s">
        <v>32</v>
      </c>
      <c r="G2704" s="36">
        <f t="shared" ref="G2704:G2718" si="583">300*17</f>
        <v>5100</v>
      </c>
      <c r="H2704" s="36">
        <v>1861</v>
      </c>
      <c r="I2704" s="36">
        <v>3240</v>
      </c>
      <c r="J2704" s="36">
        <v>900</v>
      </c>
      <c r="K2704" s="36">
        <f t="shared" si="580"/>
        <v>11101</v>
      </c>
      <c r="L2704" s="36">
        <v>7500</v>
      </c>
      <c r="M2704" s="9">
        <f t="shared" si="581"/>
        <v>0.67561480947662378</v>
      </c>
      <c r="N2704" s="5">
        <v>1</v>
      </c>
      <c r="O2704" s="10">
        <f t="shared" si="582"/>
        <v>0.67561480947662378</v>
      </c>
    </row>
    <row r="2705" spans="2:15" ht="13.5" hidden="1" customHeight="1">
      <c r="B2705" s="33">
        <f t="shared" si="579"/>
        <v>147</v>
      </c>
      <c r="C2705" s="62" t="s">
        <v>226</v>
      </c>
      <c r="D2705" s="62" t="s">
        <v>742</v>
      </c>
      <c r="F2705" s="61" t="s">
        <v>32</v>
      </c>
      <c r="G2705" s="36">
        <f t="shared" si="583"/>
        <v>5100</v>
      </c>
      <c r="H2705" s="36">
        <v>1861</v>
      </c>
      <c r="I2705" s="36">
        <v>3240</v>
      </c>
      <c r="J2705" s="36">
        <v>900</v>
      </c>
      <c r="K2705" s="36">
        <f t="shared" si="580"/>
        <v>11101</v>
      </c>
      <c r="L2705" s="36">
        <v>7500</v>
      </c>
      <c r="M2705" s="9">
        <f t="shared" si="581"/>
        <v>0.67561480947662378</v>
      </c>
      <c r="N2705" s="5">
        <v>1</v>
      </c>
      <c r="O2705" s="10">
        <f t="shared" si="582"/>
        <v>0.67561480947662378</v>
      </c>
    </row>
    <row r="2706" spans="2:15" ht="13.5" hidden="1" customHeight="1">
      <c r="B2706" s="33">
        <f t="shared" si="579"/>
        <v>148</v>
      </c>
      <c r="C2706" s="62" t="s">
        <v>50</v>
      </c>
      <c r="D2706" s="62" t="s">
        <v>748</v>
      </c>
      <c r="F2706" s="61" t="s">
        <v>32</v>
      </c>
      <c r="G2706" s="36">
        <f t="shared" si="583"/>
        <v>5100</v>
      </c>
      <c r="H2706" s="36">
        <v>1861</v>
      </c>
      <c r="I2706" s="36">
        <v>3240</v>
      </c>
      <c r="J2706" s="36">
        <v>900</v>
      </c>
      <c r="K2706" s="36">
        <f t="shared" si="580"/>
        <v>11101</v>
      </c>
      <c r="L2706" s="36">
        <v>7500</v>
      </c>
      <c r="M2706" s="9">
        <f t="shared" si="581"/>
        <v>0.67561480947662378</v>
      </c>
      <c r="N2706" s="5">
        <v>1</v>
      </c>
      <c r="O2706" s="10">
        <f t="shared" si="582"/>
        <v>0.67561480947662378</v>
      </c>
    </row>
    <row r="2707" spans="2:15" ht="13.5" hidden="1" customHeight="1">
      <c r="B2707" s="33">
        <f t="shared" si="579"/>
        <v>149</v>
      </c>
      <c r="C2707" s="62" t="s">
        <v>934</v>
      </c>
      <c r="D2707" s="62" t="s">
        <v>749</v>
      </c>
      <c r="F2707" s="61" t="s">
        <v>32</v>
      </c>
      <c r="G2707" s="36">
        <f t="shared" si="583"/>
        <v>5100</v>
      </c>
      <c r="H2707" s="36">
        <v>1861</v>
      </c>
      <c r="I2707" s="36">
        <v>3240</v>
      </c>
      <c r="J2707" s="36">
        <v>900</v>
      </c>
      <c r="K2707" s="36">
        <f t="shared" si="580"/>
        <v>11101</v>
      </c>
      <c r="L2707" s="36">
        <v>7500</v>
      </c>
      <c r="M2707" s="9">
        <f t="shared" si="581"/>
        <v>0.67561480947662378</v>
      </c>
      <c r="N2707" s="5">
        <v>1</v>
      </c>
      <c r="O2707" s="10">
        <f t="shared" si="582"/>
        <v>0.67561480947662378</v>
      </c>
    </row>
    <row r="2708" spans="2:15" ht="13.5" hidden="1" customHeight="1">
      <c r="B2708" s="33">
        <f t="shared" si="579"/>
        <v>150</v>
      </c>
      <c r="C2708" s="62" t="s">
        <v>133</v>
      </c>
      <c r="D2708" s="62" t="s">
        <v>499</v>
      </c>
      <c r="F2708" s="61" t="s">
        <v>32</v>
      </c>
      <c r="G2708" s="36">
        <f t="shared" si="583"/>
        <v>5100</v>
      </c>
      <c r="H2708" s="36">
        <v>1861</v>
      </c>
      <c r="I2708" s="36">
        <v>3240</v>
      </c>
      <c r="J2708" s="36">
        <v>900</v>
      </c>
      <c r="K2708" s="36">
        <f t="shared" si="580"/>
        <v>11101</v>
      </c>
      <c r="L2708" s="36">
        <v>7500</v>
      </c>
      <c r="M2708" s="9">
        <f t="shared" si="581"/>
        <v>0.67561480947662378</v>
      </c>
      <c r="N2708" s="5">
        <v>1</v>
      </c>
      <c r="O2708" s="10">
        <f t="shared" si="582"/>
        <v>0.67561480947662378</v>
      </c>
    </row>
    <row r="2709" spans="2:15" ht="13.5" hidden="1" customHeight="1">
      <c r="B2709" s="33">
        <f t="shared" si="579"/>
        <v>151</v>
      </c>
      <c r="C2709" s="62" t="s">
        <v>77</v>
      </c>
      <c r="D2709" s="62" t="s">
        <v>764</v>
      </c>
      <c r="F2709" s="61" t="s">
        <v>32</v>
      </c>
      <c r="G2709" s="36">
        <f t="shared" si="583"/>
        <v>5100</v>
      </c>
      <c r="H2709" s="36">
        <v>1861</v>
      </c>
      <c r="I2709" s="36">
        <v>3240</v>
      </c>
      <c r="J2709" s="36">
        <v>900</v>
      </c>
      <c r="K2709" s="36">
        <f t="shared" si="580"/>
        <v>11101</v>
      </c>
      <c r="L2709" s="36">
        <v>7500</v>
      </c>
      <c r="M2709" s="9">
        <f t="shared" si="581"/>
        <v>0.67561480947662378</v>
      </c>
      <c r="N2709" s="5">
        <v>1</v>
      </c>
      <c r="O2709" s="10">
        <f t="shared" si="582"/>
        <v>0.67561480947662378</v>
      </c>
    </row>
    <row r="2710" spans="2:15" ht="13.5" hidden="1" customHeight="1">
      <c r="B2710" s="33">
        <f t="shared" si="579"/>
        <v>152</v>
      </c>
      <c r="C2710" s="62" t="s">
        <v>984</v>
      </c>
      <c r="D2710" s="62" t="s">
        <v>767</v>
      </c>
      <c r="F2710" s="61" t="s">
        <v>32</v>
      </c>
      <c r="G2710" s="36">
        <f t="shared" si="583"/>
        <v>5100</v>
      </c>
      <c r="H2710" s="36">
        <v>1861</v>
      </c>
      <c r="I2710" s="36">
        <v>3240</v>
      </c>
      <c r="J2710" s="36">
        <v>900</v>
      </c>
      <c r="K2710" s="36">
        <f t="shared" si="580"/>
        <v>11101</v>
      </c>
      <c r="L2710" s="36">
        <v>7500</v>
      </c>
      <c r="M2710" s="9">
        <f t="shared" si="581"/>
        <v>0.67561480947662378</v>
      </c>
      <c r="N2710" s="5">
        <v>1</v>
      </c>
      <c r="O2710" s="10">
        <f t="shared" si="582"/>
        <v>0.67561480947662378</v>
      </c>
    </row>
    <row r="2711" spans="2:15" ht="13.5" hidden="1" customHeight="1">
      <c r="B2711" s="33">
        <f t="shared" si="579"/>
        <v>153</v>
      </c>
      <c r="C2711" s="62" t="s">
        <v>103</v>
      </c>
      <c r="D2711" s="62" t="s">
        <v>769</v>
      </c>
      <c r="F2711" s="61" t="s">
        <v>32</v>
      </c>
      <c r="G2711" s="36">
        <f t="shared" si="583"/>
        <v>5100</v>
      </c>
      <c r="H2711" s="36">
        <v>1861</v>
      </c>
      <c r="I2711" s="36">
        <v>3240</v>
      </c>
      <c r="J2711" s="36">
        <v>900</v>
      </c>
      <c r="K2711" s="36">
        <f t="shared" si="580"/>
        <v>11101</v>
      </c>
      <c r="L2711" s="36">
        <v>7500</v>
      </c>
      <c r="M2711" s="9">
        <f t="shared" si="581"/>
        <v>0.67561480947662378</v>
      </c>
      <c r="N2711" s="5">
        <v>1</v>
      </c>
      <c r="O2711" s="10">
        <f t="shared" si="582"/>
        <v>0.67561480947662378</v>
      </c>
    </row>
    <row r="2712" spans="2:15" ht="13.5" hidden="1" customHeight="1">
      <c r="B2712" s="33">
        <f t="shared" si="579"/>
        <v>154</v>
      </c>
      <c r="C2712" s="62" t="s">
        <v>985</v>
      </c>
      <c r="D2712" s="62" t="s">
        <v>779</v>
      </c>
      <c r="F2712" s="61" t="s">
        <v>32</v>
      </c>
      <c r="G2712" s="36">
        <f t="shared" si="583"/>
        <v>5100</v>
      </c>
      <c r="H2712" s="36">
        <v>1861</v>
      </c>
      <c r="I2712" s="36">
        <v>3240</v>
      </c>
      <c r="J2712" s="36">
        <v>900</v>
      </c>
      <c r="K2712" s="36">
        <f t="shared" si="580"/>
        <v>11101</v>
      </c>
      <c r="L2712" s="36">
        <v>7500</v>
      </c>
      <c r="M2712" s="9">
        <f t="shared" si="581"/>
        <v>0.67561480947662378</v>
      </c>
      <c r="N2712" s="5">
        <v>1</v>
      </c>
      <c r="O2712" s="10">
        <f t="shared" si="582"/>
        <v>0.67561480947662378</v>
      </c>
    </row>
    <row r="2713" spans="2:15" ht="13.5" hidden="1" customHeight="1">
      <c r="B2713" s="33">
        <f t="shared" si="579"/>
        <v>155</v>
      </c>
      <c r="C2713" s="63" t="s">
        <v>83</v>
      </c>
      <c r="D2713" s="63" t="s">
        <v>814</v>
      </c>
      <c r="F2713" s="64" t="s">
        <v>32</v>
      </c>
      <c r="G2713" s="36">
        <f t="shared" si="583"/>
        <v>5100</v>
      </c>
      <c r="H2713" s="36">
        <v>1861</v>
      </c>
      <c r="I2713" s="36">
        <v>3240</v>
      </c>
      <c r="J2713" s="36">
        <v>900</v>
      </c>
      <c r="K2713" s="36">
        <f t="shared" si="580"/>
        <v>11101</v>
      </c>
      <c r="L2713" s="36">
        <v>7500</v>
      </c>
      <c r="M2713" s="9">
        <f t="shared" si="581"/>
        <v>0.67561480947662378</v>
      </c>
      <c r="N2713" s="5">
        <v>1</v>
      </c>
      <c r="O2713" s="10">
        <f t="shared" si="582"/>
        <v>0.67561480947662378</v>
      </c>
    </row>
    <row r="2714" spans="2:15" ht="13.5" hidden="1" customHeight="1">
      <c r="B2714" s="33">
        <f t="shared" si="579"/>
        <v>156</v>
      </c>
      <c r="C2714" s="63" t="s">
        <v>986</v>
      </c>
      <c r="D2714" s="63" t="s">
        <v>831</v>
      </c>
      <c r="F2714" s="64" t="s">
        <v>32</v>
      </c>
      <c r="G2714" s="36">
        <f t="shared" si="583"/>
        <v>5100</v>
      </c>
      <c r="H2714" s="36">
        <v>1861</v>
      </c>
      <c r="I2714" s="36">
        <v>3240</v>
      </c>
      <c r="J2714" s="36">
        <v>900</v>
      </c>
      <c r="K2714" s="36">
        <f t="shared" si="580"/>
        <v>11101</v>
      </c>
      <c r="L2714" s="36">
        <v>7500</v>
      </c>
      <c r="M2714" s="9">
        <f t="shared" si="581"/>
        <v>0.67561480947662378</v>
      </c>
      <c r="N2714" s="5">
        <v>1</v>
      </c>
      <c r="O2714" s="10">
        <f t="shared" si="582"/>
        <v>0.67561480947662378</v>
      </c>
    </row>
    <row r="2715" spans="2:15" ht="13.5" hidden="1" customHeight="1">
      <c r="B2715" s="33">
        <f t="shared" si="579"/>
        <v>157</v>
      </c>
      <c r="C2715" s="63" t="s">
        <v>86</v>
      </c>
      <c r="D2715" s="63" t="s">
        <v>834</v>
      </c>
      <c r="F2715" s="64" t="s">
        <v>32</v>
      </c>
      <c r="G2715" s="36">
        <f t="shared" si="583"/>
        <v>5100</v>
      </c>
      <c r="H2715" s="36">
        <v>1861</v>
      </c>
      <c r="I2715" s="36">
        <v>3240</v>
      </c>
      <c r="J2715" s="36">
        <v>900</v>
      </c>
      <c r="K2715" s="36">
        <f t="shared" si="580"/>
        <v>11101</v>
      </c>
      <c r="L2715" s="36">
        <v>7500</v>
      </c>
      <c r="M2715" s="9">
        <f t="shared" si="581"/>
        <v>0.67561480947662378</v>
      </c>
      <c r="N2715" s="5">
        <v>1</v>
      </c>
      <c r="O2715" s="10">
        <f t="shared" si="582"/>
        <v>0.67561480947662378</v>
      </c>
    </row>
    <row r="2716" spans="2:15" ht="13.5" hidden="1" customHeight="1">
      <c r="B2716" s="33">
        <f t="shared" si="579"/>
        <v>158</v>
      </c>
      <c r="C2716" s="63" t="s">
        <v>115</v>
      </c>
      <c r="D2716" s="63" t="s">
        <v>839</v>
      </c>
      <c r="F2716" s="64" t="s">
        <v>32</v>
      </c>
      <c r="G2716" s="36">
        <f t="shared" si="583"/>
        <v>5100</v>
      </c>
      <c r="H2716" s="36">
        <v>1861</v>
      </c>
      <c r="I2716" s="36">
        <v>3240</v>
      </c>
      <c r="J2716" s="36">
        <v>900</v>
      </c>
      <c r="K2716" s="36">
        <f t="shared" si="580"/>
        <v>11101</v>
      </c>
      <c r="L2716" s="36">
        <v>7500</v>
      </c>
      <c r="M2716" s="9">
        <f t="shared" si="581"/>
        <v>0.67561480947662378</v>
      </c>
      <c r="N2716" s="5">
        <v>1</v>
      </c>
      <c r="O2716" s="10">
        <f t="shared" si="582"/>
        <v>0.67561480947662378</v>
      </c>
    </row>
    <row r="2717" spans="2:15" ht="13.5" hidden="1" customHeight="1">
      <c r="B2717" s="33">
        <f t="shared" si="579"/>
        <v>159</v>
      </c>
      <c r="C2717" s="63" t="s">
        <v>987</v>
      </c>
      <c r="D2717" s="63" t="s">
        <v>866</v>
      </c>
      <c r="F2717" s="64" t="s">
        <v>32</v>
      </c>
      <c r="G2717" s="36">
        <f t="shared" si="583"/>
        <v>5100</v>
      </c>
      <c r="H2717" s="36">
        <v>1861</v>
      </c>
      <c r="I2717" s="36">
        <v>3240</v>
      </c>
      <c r="J2717" s="36">
        <v>900</v>
      </c>
      <c r="K2717" s="36">
        <f t="shared" si="580"/>
        <v>11101</v>
      </c>
      <c r="L2717" s="36">
        <v>7500</v>
      </c>
      <c r="M2717" s="9">
        <f t="shared" si="581"/>
        <v>0.67561480947662378</v>
      </c>
      <c r="N2717" s="5">
        <v>1</v>
      </c>
      <c r="O2717" s="10">
        <f t="shared" si="582"/>
        <v>0.67561480947662378</v>
      </c>
    </row>
    <row r="2718" spans="2:15" ht="13.5" hidden="1" customHeight="1">
      <c r="B2718" s="33">
        <f t="shared" si="579"/>
        <v>160</v>
      </c>
      <c r="C2718" s="63" t="s">
        <v>362</v>
      </c>
      <c r="D2718" s="63" t="s">
        <v>894</v>
      </c>
      <c r="F2718" s="64" t="s">
        <v>32</v>
      </c>
      <c r="G2718" s="36">
        <f t="shared" si="583"/>
        <v>5100</v>
      </c>
      <c r="H2718" s="36">
        <v>1861</v>
      </c>
      <c r="I2718" s="36">
        <v>3240</v>
      </c>
      <c r="J2718" s="36">
        <v>900</v>
      </c>
      <c r="K2718" s="36">
        <f t="shared" si="580"/>
        <v>11101</v>
      </c>
      <c r="L2718" s="36">
        <v>7500</v>
      </c>
      <c r="M2718" s="9">
        <f t="shared" si="581"/>
        <v>0.67561480947662378</v>
      </c>
      <c r="N2718" s="5">
        <v>1</v>
      </c>
      <c r="O2718" s="10">
        <f t="shared" si="582"/>
        <v>0.67561480947662378</v>
      </c>
    </row>
    <row r="2719" spans="2:15" ht="13.5" hidden="1" customHeight="1">
      <c r="B2719" s="33">
        <f t="shared" si="579"/>
        <v>161</v>
      </c>
      <c r="C2719" s="62" t="s">
        <v>988</v>
      </c>
      <c r="D2719" s="62" t="s">
        <v>787</v>
      </c>
      <c r="F2719" s="61" t="s">
        <v>24</v>
      </c>
      <c r="G2719" s="36">
        <v>0</v>
      </c>
      <c r="H2719" s="36">
        <v>0</v>
      </c>
      <c r="I2719" s="36">
        <v>0</v>
      </c>
      <c r="J2719" s="36">
        <v>0</v>
      </c>
      <c r="K2719" s="36">
        <f t="shared" si="580"/>
        <v>0</v>
      </c>
      <c r="L2719" s="36">
        <v>7500</v>
      </c>
      <c r="M2719" s="9" t="e">
        <f t="shared" si="581"/>
        <v>#DIV/0!</v>
      </c>
      <c r="N2719" s="5">
        <v>1</v>
      </c>
      <c r="O2719" s="10" t="e">
        <f t="shared" si="582"/>
        <v>#DIV/0!</v>
      </c>
    </row>
    <row r="2720" spans="2:15" ht="13.5" hidden="1" customHeight="1">
      <c r="B2720" s="33">
        <f t="shared" si="579"/>
        <v>162</v>
      </c>
      <c r="C2720" s="63" t="s">
        <v>114</v>
      </c>
      <c r="D2720" s="63" t="s">
        <v>801</v>
      </c>
      <c r="F2720" s="64" t="s">
        <v>24</v>
      </c>
      <c r="G2720" s="36">
        <v>0</v>
      </c>
      <c r="H2720" s="36">
        <v>0</v>
      </c>
      <c r="I2720" s="36">
        <v>0</v>
      </c>
      <c r="J2720" s="36">
        <v>0</v>
      </c>
      <c r="K2720" s="36">
        <f t="shared" si="580"/>
        <v>0</v>
      </c>
      <c r="L2720" s="36">
        <v>7500</v>
      </c>
      <c r="M2720" s="9" t="e">
        <f t="shared" si="581"/>
        <v>#DIV/0!</v>
      </c>
      <c r="N2720" s="5">
        <v>1</v>
      </c>
      <c r="O2720" s="10" t="e">
        <f t="shared" si="582"/>
        <v>#DIV/0!</v>
      </c>
    </row>
    <row r="2721" spans="2:15" ht="13.5" hidden="1" customHeight="1">
      <c r="B2721" s="33">
        <f t="shared" si="579"/>
        <v>163</v>
      </c>
      <c r="C2721" s="63" t="s">
        <v>989</v>
      </c>
      <c r="D2721" s="63" t="s">
        <v>812</v>
      </c>
      <c r="F2721" s="64" t="s">
        <v>24</v>
      </c>
      <c r="G2721" s="36">
        <v>0</v>
      </c>
      <c r="H2721" s="36">
        <v>0</v>
      </c>
      <c r="I2721" s="36">
        <v>0</v>
      </c>
      <c r="J2721" s="36">
        <v>0</v>
      </c>
      <c r="K2721" s="36">
        <f t="shared" si="580"/>
        <v>0</v>
      </c>
      <c r="L2721" s="36">
        <v>7500</v>
      </c>
      <c r="M2721" s="9" t="e">
        <f t="shared" si="581"/>
        <v>#DIV/0!</v>
      </c>
      <c r="N2721" s="5">
        <v>1</v>
      </c>
      <c r="O2721" s="10" t="e">
        <f t="shared" si="582"/>
        <v>#DIV/0!</v>
      </c>
    </row>
    <row r="2722" spans="2:15" ht="13.5" hidden="1" customHeight="1">
      <c r="B2722" s="33">
        <f t="shared" si="579"/>
        <v>164</v>
      </c>
      <c r="C2722" s="63" t="s">
        <v>990</v>
      </c>
      <c r="D2722" s="63" t="s">
        <v>818</v>
      </c>
      <c r="F2722" s="64" t="s">
        <v>24</v>
      </c>
      <c r="G2722" s="36">
        <v>0</v>
      </c>
      <c r="H2722" s="36">
        <v>0</v>
      </c>
      <c r="I2722" s="36">
        <v>0</v>
      </c>
      <c r="J2722" s="36">
        <v>0</v>
      </c>
      <c r="K2722" s="36">
        <f t="shared" si="580"/>
        <v>0</v>
      </c>
      <c r="L2722" s="36">
        <v>7500</v>
      </c>
      <c r="M2722" s="9" t="e">
        <f t="shared" si="581"/>
        <v>#DIV/0!</v>
      </c>
      <c r="N2722" s="5">
        <v>1</v>
      </c>
      <c r="O2722" s="10" t="e">
        <f t="shared" si="582"/>
        <v>#DIV/0!</v>
      </c>
    </row>
    <row r="2723" spans="2:15" ht="13.5" hidden="1" customHeight="1">
      <c r="B2723" s="33">
        <f t="shared" si="579"/>
        <v>165</v>
      </c>
      <c r="C2723" s="63" t="s">
        <v>65</v>
      </c>
      <c r="D2723" s="63" t="s">
        <v>843</v>
      </c>
      <c r="F2723" s="64" t="s">
        <v>24</v>
      </c>
      <c r="G2723" s="36">
        <v>0</v>
      </c>
      <c r="H2723" s="36">
        <v>0</v>
      </c>
      <c r="I2723" s="36">
        <v>0</v>
      </c>
      <c r="J2723" s="36">
        <v>0</v>
      </c>
      <c r="K2723" s="36">
        <f t="shared" si="580"/>
        <v>0</v>
      </c>
      <c r="L2723" s="36">
        <v>7500</v>
      </c>
      <c r="M2723" s="9" t="e">
        <f t="shared" si="581"/>
        <v>#DIV/0!</v>
      </c>
      <c r="N2723" s="5">
        <v>1</v>
      </c>
      <c r="O2723" s="10" t="e">
        <f t="shared" si="582"/>
        <v>#DIV/0!</v>
      </c>
    </row>
    <row r="2724" spans="2:15" ht="13.5" hidden="1" customHeight="1">
      <c r="B2724" s="33">
        <f t="shared" si="579"/>
        <v>166</v>
      </c>
      <c r="C2724" s="63" t="s">
        <v>991</v>
      </c>
      <c r="D2724" s="63" t="s">
        <v>872</v>
      </c>
      <c r="F2724" s="64" t="s">
        <v>24</v>
      </c>
      <c r="G2724" s="36">
        <v>0</v>
      </c>
      <c r="H2724" s="36">
        <v>0</v>
      </c>
      <c r="I2724" s="36">
        <v>0</v>
      </c>
      <c r="J2724" s="36">
        <v>0</v>
      </c>
      <c r="K2724" s="36">
        <f t="shared" si="580"/>
        <v>0</v>
      </c>
      <c r="L2724" s="36">
        <v>7500</v>
      </c>
      <c r="M2724" s="9" t="e">
        <f t="shared" si="581"/>
        <v>#DIV/0!</v>
      </c>
      <c r="N2724" s="5">
        <v>1</v>
      </c>
      <c r="O2724" s="10" t="e">
        <f t="shared" si="582"/>
        <v>#DIV/0!</v>
      </c>
    </row>
    <row r="2725" spans="2:15" ht="13.5" hidden="1" customHeight="1">
      <c r="B2725" s="33">
        <f t="shared" si="579"/>
        <v>167</v>
      </c>
      <c r="C2725" s="62" t="s">
        <v>992</v>
      </c>
      <c r="D2725" s="62" t="s">
        <v>732</v>
      </c>
      <c r="F2725" s="61" t="s">
        <v>43</v>
      </c>
      <c r="G2725" s="36">
        <f>333*18.5</f>
        <v>6160.5</v>
      </c>
      <c r="H2725" s="36">
        <v>1861</v>
      </c>
      <c r="I2725" s="36">
        <v>3790</v>
      </c>
      <c r="J2725" s="36">
        <v>500</v>
      </c>
      <c r="K2725" s="36">
        <f t="shared" si="580"/>
        <v>12311.5</v>
      </c>
      <c r="L2725" s="36">
        <v>7500</v>
      </c>
      <c r="M2725" s="9">
        <f t="shared" si="581"/>
        <v>0.60918653291637903</v>
      </c>
      <c r="N2725" s="5">
        <v>1</v>
      </c>
      <c r="O2725" s="10">
        <f t="shared" si="582"/>
        <v>0.60918653291637903</v>
      </c>
    </row>
    <row r="2726" spans="2:15" ht="13.5" hidden="1" customHeight="1">
      <c r="B2726" s="33">
        <f t="shared" si="579"/>
        <v>168</v>
      </c>
      <c r="C2726" s="62" t="s">
        <v>993</v>
      </c>
      <c r="D2726" s="62" t="s">
        <v>734</v>
      </c>
      <c r="F2726" s="61" t="s">
        <v>43</v>
      </c>
      <c r="G2726" s="36">
        <f>333*18.5</f>
        <v>6160.5</v>
      </c>
      <c r="H2726" s="36">
        <v>1861</v>
      </c>
      <c r="I2726" s="36">
        <v>3790</v>
      </c>
      <c r="J2726" s="36">
        <v>500</v>
      </c>
      <c r="K2726" s="36">
        <f t="shared" si="580"/>
        <v>12311.5</v>
      </c>
      <c r="L2726" s="36">
        <v>7500</v>
      </c>
      <c r="M2726" s="9">
        <f t="shared" si="581"/>
        <v>0.60918653291637903</v>
      </c>
      <c r="N2726" s="5">
        <v>1</v>
      </c>
      <c r="O2726" s="10">
        <f t="shared" si="582"/>
        <v>0.60918653291637903</v>
      </c>
    </row>
    <row r="2727" spans="2:15" ht="13.5" hidden="1" customHeight="1">
      <c r="B2727" s="33">
        <f t="shared" si="579"/>
        <v>169</v>
      </c>
      <c r="C2727" s="62" t="s">
        <v>76</v>
      </c>
      <c r="D2727" s="62" t="s">
        <v>759</v>
      </c>
      <c r="F2727" s="61" t="s">
        <v>43</v>
      </c>
      <c r="G2727" s="36">
        <f t="shared" ref="G2727:G2738" si="584">333*18.5</f>
        <v>6160.5</v>
      </c>
      <c r="H2727" s="36">
        <v>1861</v>
      </c>
      <c r="I2727" s="36">
        <v>3790</v>
      </c>
      <c r="J2727" s="36">
        <v>500</v>
      </c>
      <c r="K2727" s="36">
        <f t="shared" si="580"/>
        <v>12311.5</v>
      </c>
      <c r="L2727" s="36">
        <v>7500</v>
      </c>
      <c r="M2727" s="9">
        <f t="shared" si="581"/>
        <v>0.60918653291637903</v>
      </c>
      <c r="N2727" s="5">
        <v>1</v>
      </c>
      <c r="O2727" s="10">
        <f t="shared" si="582"/>
        <v>0.60918653291637903</v>
      </c>
    </row>
    <row r="2728" spans="2:15" ht="13.5" hidden="1" customHeight="1">
      <c r="B2728" s="33">
        <f t="shared" si="579"/>
        <v>170</v>
      </c>
      <c r="C2728" s="63" t="s">
        <v>994</v>
      </c>
      <c r="D2728" s="63" t="s">
        <v>788</v>
      </c>
      <c r="F2728" s="64" t="s">
        <v>43</v>
      </c>
      <c r="G2728" s="36">
        <f t="shared" si="584"/>
        <v>6160.5</v>
      </c>
      <c r="H2728" s="36">
        <v>1861</v>
      </c>
      <c r="I2728" s="36">
        <v>3790</v>
      </c>
      <c r="J2728" s="36">
        <v>500</v>
      </c>
      <c r="K2728" s="36">
        <f t="shared" si="580"/>
        <v>12311.5</v>
      </c>
      <c r="L2728" s="36">
        <v>7500</v>
      </c>
      <c r="M2728" s="9">
        <f t="shared" si="581"/>
        <v>0.60918653291637903</v>
      </c>
      <c r="N2728" s="5">
        <v>1</v>
      </c>
      <c r="O2728" s="10">
        <f t="shared" si="582"/>
        <v>0.60918653291637903</v>
      </c>
    </row>
    <row r="2729" spans="2:15" ht="13.5" hidden="1" customHeight="1">
      <c r="B2729" s="33">
        <f t="shared" si="579"/>
        <v>171</v>
      </c>
      <c r="C2729" s="63" t="s">
        <v>995</v>
      </c>
      <c r="D2729" s="63" t="s">
        <v>794</v>
      </c>
      <c r="F2729" s="64" t="s">
        <v>43</v>
      </c>
      <c r="G2729" s="36">
        <f t="shared" si="584"/>
        <v>6160.5</v>
      </c>
      <c r="H2729" s="36">
        <v>1861</v>
      </c>
      <c r="I2729" s="36">
        <v>3790</v>
      </c>
      <c r="J2729" s="36">
        <v>500</v>
      </c>
      <c r="K2729" s="36">
        <f t="shared" si="580"/>
        <v>12311.5</v>
      </c>
      <c r="L2729" s="36">
        <v>7500</v>
      </c>
      <c r="M2729" s="9">
        <f t="shared" si="581"/>
        <v>0.60918653291637903</v>
      </c>
      <c r="N2729" s="5">
        <v>1</v>
      </c>
      <c r="O2729" s="10">
        <f t="shared" si="582"/>
        <v>0.60918653291637903</v>
      </c>
    </row>
    <row r="2730" spans="2:15" ht="13.5" hidden="1" customHeight="1">
      <c r="B2730" s="33">
        <f t="shared" si="579"/>
        <v>172</v>
      </c>
      <c r="C2730" s="63" t="s">
        <v>996</v>
      </c>
      <c r="D2730" s="63" t="s">
        <v>795</v>
      </c>
      <c r="F2730" s="64" t="s">
        <v>43</v>
      </c>
      <c r="G2730" s="36">
        <f t="shared" si="584"/>
        <v>6160.5</v>
      </c>
      <c r="H2730" s="36">
        <v>1861</v>
      </c>
      <c r="I2730" s="36">
        <v>3790</v>
      </c>
      <c r="J2730" s="36">
        <v>500</v>
      </c>
      <c r="K2730" s="36">
        <f t="shared" si="580"/>
        <v>12311.5</v>
      </c>
      <c r="L2730" s="36">
        <v>7500</v>
      </c>
      <c r="M2730" s="9">
        <f t="shared" si="581"/>
        <v>0.60918653291637903</v>
      </c>
      <c r="N2730" s="5">
        <v>1</v>
      </c>
      <c r="O2730" s="10">
        <f t="shared" si="582"/>
        <v>0.60918653291637903</v>
      </c>
    </row>
    <row r="2731" spans="2:15" ht="13.5" hidden="1" customHeight="1">
      <c r="B2731" s="33">
        <f t="shared" si="579"/>
        <v>173</v>
      </c>
      <c r="C2731" s="63" t="s">
        <v>997</v>
      </c>
      <c r="D2731" s="63" t="s">
        <v>820</v>
      </c>
      <c r="F2731" s="64" t="s">
        <v>43</v>
      </c>
      <c r="G2731" s="36">
        <f t="shared" si="584"/>
        <v>6160.5</v>
      </c>
      <c r="H2731" s="36">
        <v>1861</v>
      </c>
      <c r="I2731" s="36">
        <v>3790</v>
      </c>
      <c r="J2731" s="36">
        <v>500</v>
      </c>
      <c r="K2731" s="36">
        <f t="shared" si="580"/>
        <v>12311.5</v>
      </c>
      <c r="L2731" s="36">
        <v>7500</v>
      </c>
      <c r="M2731" s="9">
        <f t="shared" si="581"/>
        <v>0.60918653291637903</v>
      </c>
      <c r="N2731" s="5">
        <v>1</v>
      </c>
      <c r="O2731" s="10">
        <f t="shared" si="582"/>
        <v>0.60918653291637903</v>
      </c>
    </row>
    <row r="2732" spans="2:15" ht="13.5" hidden="1" customHeight="1">
      <c r="B2732" s="33">
        <f t="shared" si="579"/>
        <v>174</v>
      </c>
      <c r="C2732" s="63" t="s">
        <v>998</v>
      </c>
      <c r="D2732" s="63" t="s">
        <v>825</v>
      </c>
      <c r="F2732" s="64" t="s">
        <v>43</v>
      </c>
      <c r="G2732" s="36">
        <f>333*18</f>
        <v>5994</v>
      </c>
      <c r="H2732" s="36">
        <v>1861</v>
      </c>
      <c r="I2732" s="36">
        <v>3790</v>
      </c>
      <c r="J2732" s="36">
        <v>500</v>
      </c>
      <c r="K2732" s="36">
        <f t="shared" si="580"/>
        <v>12145</v>
      </c>
      <c r="L2732" s="36">
        <v>7500</v>
      </c>
      <c r="M2732" s="9">
        <f t="shared" si="581"/>
        <v>0.61753808151502676</v>
      </c>
      <c r="N2732" s="5">
        <v>1</v>
      </c>
      <c r="O2732" s="10">
        <f t="shared" si="582"/>
        <v>0.61753808151502676</v>
      </c>
    </row>
    <row r="2733" spans="2:15" ht="13.5" hidden="1" customHeight="1">
      <c r="B2733" s="33">
        <f t="shared" si="579"/>
        <v>175</v>
      </c>
      <c r="C2733" s="63" t="s">
        <v>492</v>
      </c>
      <c r="D2733" s="63" t="s">
        <v>837</v>
      </c>
      <c r="F2733" s="64" t="s">
        <v>43</v>
      </c>
      <c r="G2733" s="36">
        <f t="shared" si="584"/>
        <v>6160.5</v>
      </c>
      <c r="H2733" s="36">
        <v>1861</v>
      </c>
      <c r="I2733" s="36">
        <v>3790</v>
      </c>
      <c r="J2733" s="36">
        <v>500</v>
      </c>
      <c r="K2733" s="36">
        <f t="shared" si="580"/>
        <v>12311.5</v>
      </c>
      <c r="L2733" s="36">
        <v>7500</v>
      </c>
      <c r="M2733" s="9">
        <f t="shared" si="581"/>
        <v>0.60918653291637903</v>
      </c>
      <c r="N2733" s="5">
        <v>1</v>
      </c>
      <c r="O2733" s="10">
        <f t="shared" si="582"/>
        <v>0.60918653291637903</v>
      </c>
    </row>
    <row r="2734" spans="2:15" ht="13.5" hidden="1" customHeight="1">
      <c r="B2734" s="33">
        <f t="shared" si="579"/>
        <v>176</v>
      </c>
      <c r="C2734" s="63" t="s">
        <v>247</v>
      </c>
      <c r="D2734" s="63" t="s">
        <v>841</v>
      </c>
      <c r="F2734" s="64" t="s">
        <v>43</v>
      </c>
      <c r="G2734" s="36">
        <f t="shared" si="584"/>
        <v>6160.5</v>
      </c>
      <c r="H2734" s="36">
        <v>1861</v>
      </c>
      <c r="I2734" s="36">
        <v>3790</v>
      </c>
      <c r="J2734" s="36">
        <v>500</v>
      </c>
      <c r="K2734" s="36">
        <f t="shared" si="580"/>
        <v>12311.5</v>
      </c>
      <c r="L2734" s="36">
        <v>7500</v>
      </c>
      <c r="M2734" s="9">
        <f t="shared" si="581"/>
        <v>0.60918653291637903</v>
      </c>
      <c r="N2734" s="5">
        <v>1</v>
      </c>
      <c r="O2734" s="10">
        <f t="shared" si="582"/>
        <v>0.60918653291637903</v>
      </c>
    </row>
    <row r="2735" spans="2:15" ht="13.5" hidden="1" customHeight="1">
      <c r="B2735" s="33">
        <f t="shared" si="579"/>
        <v>177</v>
      </c>
      <c r="C2735" s="63" t="s">
        <v>999</v>
      </c>
      <c r="D2735" s="63" t="s">
        <v>878</v>
      </c>
      <c r="F2735" s="64" t="s">
        <v>43</v>
      </c>
      <c r="G2735" s="36">
        <f t="shared" si="584"/>
        <v>6160.5</v>
      </c>
      <c r="H2735" s="36">
        <v>1861</v>
      </c>
      <c r="I2735" s="36">
        <v>3790</v>
      </c>
      <c r="J2735" s="36">
        <v>500</v>
      </c>
      <c r="K2735" s="36">
        <f t="shared" si="580"/>
        <v>12311.5</v>
      </c>
      <c r="L2735" s="36">
        <v>7500</v>
      </c>
      <c r="M2735" s="9">
        <f t="shared" si="581"/>
        <v>0.60918653291637903</v>
      </c>
      <c r="N2735" s="5">
        <v>1</v>
      </c>
      <c r="O2735" s="10">
        <f t="shared" si="582"/>
        <v>0.60918653291637903</v>
      </c>
    </row>
    <row r="2736" spans="2:15" ht="13.5" hidden="1" customHeight="1">
      <c r="B2736" s="33">
        <f t="shared" si="579"/>
        <v>178</v>
      </c>
      <c r="C2736" s="63" t="s">
        <v>261</v>
      </c>
      <c r="D2736" s="63" t="s">
        <v>889</v>
      </c>
      <c r="F2736" s="64" t="s">
        <v>43</v>
      </c>
      <c r="G2736" s="36">
        <f t="shared" si="584"/>
        <v>6160.5</v>
      </c>
      <c r="H2736" s="36">
        <v>1861</v>
      </c>
      <c r="I2736" s="36">
        <v>3790</v>
      </c>
      <c r="J2736" s="36">
        <v>500</v>
      </c>
      <c r="K2736" s="36">
        <f t="shared" si="580"/>
        <v>12311.5</v>
      </c>
      <c r="L2736" s="36">
        <v>7500</v>
      </c>
      <c r="M2736" s="9">
        <f t="shared" si="581"/>
        <v>0.60918653291637903</v>
      </c>
      <c r="N2736" s="5">
        <v>1</v>
      </c>
      <c r="O2736" s="10">
        <f t="shared" si="582"/>
        <v>0.60918653291637903</v>
      </c>
    </row>
    <row r="2737" spans="1:15" ht="13.5" hidden="1" customHeight="1">
      <c r="B2737" s="33">
        <f t="shared" si="579"/>
        <v>179</v>
      </c>
      <c r="C2737" s="63" t="s">
        <v>73</v>
      </c>
      <c r="D2737" s="63" t="s">
        <v>898</v>
      </c>
      <c r="F2737" s="64" t="s">
        <v>43</v>
      </c>
      <c r="G2737" s="36">
        <f t="shared" si="584"/>
        <v>6160.5</v>
      </c>
      <c r="H2737" s="36">
        <v>1861</v>
      </c>
      <c r="I2737" s="36">
        <v>3790</v>
      </c>
      <c r="J2737" s="36">
        <v>500</v>
      </c>
      <c r="K2737" s="36">
        <f t="shared" si="580"/>
        <v>12311.5</v>
      </c>
      <c r="L2737" s="36">
        <v>7500</v>
      </c>
      <c r="M2737" s="9">
        <f t="shared" si="581"/>
        <v>0.60918653291637903</v>
      </c>
      <c r="N2737" s="5">
        <v>1</v>
      </c>
      <c r="O2737" s="10">
        <f t="shared" si="582"/>
        <v>0.60918653291637903</v>
      </c>
    </row>
    <row r="2738" spans="1:15" ht="13.5" hidden="1" customHeight="1">
      <c r="B2738" s="33">
        <f t="shared" si="579"/>
        <v>180</v>
      </c>
      <c r="C2738" s="63" t="s">
        <v>92</v>
      </c>
      <c r="D2738" s="63" t="s">
        <v>899</v>
      </c>
      <c r="F2738" s="64" t="s">
        <v>43</v>
      </c>
      <c r="G2738" s="36">
        <f t="shared" si="584"/>
        <v>6160.5</v>
      </c>
      <c r="H2738" s="36">
        <v>1861</v>
      </c>
      <c r="I2738" s="36">
        <v>3790</v>
      </c>
      <c r="J2738" s="36">
        <v>500</v>
      </c>
      <c r="K2738" s="36">
        <f t="shared" si="580"/>
        <v>12311.5</v>
      </c>
      <c r="L2738" s="36">
        <v>7500</v>
      </c>
      <c r="M2738" s="9">
        <f t="shared" si="581"/>
        <v>0.60918653291637903</v>
      </c>
      <c r="N2738" s="5">
        <v>1</v>
      </c>
      <c r="O2738" s="10">
        <f t="shared" si="582"/>
        <v>0.60918653291637903</v>
      </c>
    </row>
    <row r="2739" spans="1:15" ht="13.5" hidden="1" customHeight="1">
      <c r="B2739" s="33">
        <f t="shared" si="579"/>
        <v>181</v>
      </c>
      <c r="C2739" s="62" t="s">
        <v>101</v>
      </c>
      <c r="D2739" s="62" t="s">
        <v>745</v>
      </c>
      <c r="F2739" s="61" t="s">
        <v>27</v>
      </c>
      <c r="G2739" s="36">
        <f>333*18</f>
        <v>5994</v>
      </c>
      <c r="H2739" s="36">
        <v>1861</v>
      </c>
      <c r="I2739" s="36">
        <v>3240</v>
      </c>
      <c r="J2739" s="36">
        <v>500</v>
      </c>
      <c r="K2739" s="36">
        <f t="shared" si="580"/>
        <v>11595</v>
      </c>
      <c r="L2739" s="36">
        <v>7500</v>
      </c>
      <c r="M2739" s="9">
        <f t="shared" si="581"/>
        <v>0.64683053040103489</v>
      </c>
      <c r="N2739" s="5">
        <v>1</v>
      </c>
      <c r="O2739" s="10">
        <f t="shared" si="582"/>
        <v>0.64683053040103489</v>
      </c>
    </row>
    <row r="2740" spans="1:15" ht="13.5" hidden="1" customHeight="1">
      <c r="B2740" s="33">
        <f t="shared" si="579"/>
        <v>182</v>
      </c>
      <c r="C2740" s="63" t="s">
        <v>58</v>
      </c>
      <c r="D2740" s="63" t="s">
        <v>815</v>
      </c>
      <c r="F2740" s="64" t="s">
        <v>27</v>
      </c>
      <c r="G2740" s="36">
        <f>333*15</f>
        <v>4995</v>
      </c>
      <c r="H2740" s="36">
        <v>1861</v>
      </c>
      <c r="I2740" s="36">
        <v>3240</v>
      </c>
      <c r="J2740" s="36">
        <v>500</v>
      </c>
      <c r="K2740" s="36">
        <f t="shared" si="580"/>
        <v>10596</v>
      </c>
      <c r="L2740" s="36">
        <v>7500</v>
      </c>
      <c r="M2740" s="9">
        <f t="shared" si="581"/>
        <v>0.70781426953567383</v>
      </c>
      <c r="N2740" s="5">
        <v>1</v>
      </c>
      <c r="O2740" s="10">
        <f t="shared" si="582"/>
        <v>0.70781426953567383</v>
      </c>
    </row>
    <row r="2741" spans="1:15" ht="13.5" hidden="1" customHeight="1">
      <c r="B2741" s="33">
        <f t="shared" si="579"/>
        <v>183</v>
      </c>
      <c r="C2741" s="63" t="s">
        <v>245</v>
      </c>
      <c r="D2741" s="63" t="s">
        <v>826</v>
      </c>
      <c r="F2741" s="64" t="s">
        <v>27</v>
      </c>
      <c r="G2741" s="36">
        <f>333*18</f>
        <v>5994</v>
      </c>
      <c r="H2741" s="36">
        <v>1861</v>
      </c>
      <c r="I2741" s="36">
        <v>3240</v>
      </c>
      <c r="J2741" s="36">
        <v>500</v>
      </c>
      <c r="K2741" s="36">
        <f t="shared" si="580"/>
        <v>11595</v>
      </c>
      <c r="L2741" s="36">
        <v>7500</v>
      </c>
      <c r="M2741" s="9">
        <f t="shared" si="581"/>
        <v>0.64683053040103489</v>
      </c>
      <c r="N2741" s="5">
        <v>1</v>
      </c>
      <c r="O2741" s="10">
        <f t="shared" si="582"/>
        <v>0.64683053040103489</v>
      </c>
    </row>
    <row r="2742" spans="1:15" ht="13.5" hidden="1" customHeight="1">
      <c r="B2742" s="33">
        <f t="shared" si="579"/>
        <v>184</v>
      </c>
      <c r="C2742" s="63" t="s">
        <v>62</v>
      </c>
      <c r="D2742" s="63" t="s">
        <v>835</v>
      </c>
      <c r="F2742" s="64" t="s">
        <v>27</v>
      </c>
      <c r="G2742" s="36">
        <f t="shared" ref="G2742:G2743" si="585">333*18</f>
        <v>5994</v>
      </c>
      <c r="H2742" s="36">
        <v>1861</v>
      </c>
      <c r="I2742" s="36">
        <v>3240</v>
      </c>
      <c r="J2742" s="36">
        <v>500</v>
      </c>
      <c r="K2742" s="36">
        <f t="shared" si="580"/>
        <v>11595</v>
      </c>
      <c r="L2742" s="36">
        <v>7500</v>
      </c>
      <c r="M2742" s="9">
        <f t="shared" si="581"/>
        <v>0.64683053040103489</v>
      </c>
      <c r="N2742" s="5">
        <v>1</v>
      </c>
      <c r="O2742" s="10">
        <f t="shared" si="582"/>
        <v>0.64683053040103489</v>
      </c>
    </row>
    <row r="2743" spans="1:15" ht="13.5" hidden="1" customHeight="1">
      <c r="B2743" s="33">
        <f t="shared" si="579"/>
        <v>185</v>
      </c>
      <c r="C2743" s="63" t="s">
        <v>1000</v>
      </c>
      <c r="D2743" s="63" t="s">
        <v>873</v>
      </c>
      <c r="F2743" s="64" t="s">
        <v>27</v>
      </c>
      <c r="G2743" s="36">
        <f t="shared" si="585"/>
        <v>5994</v>
      </c>
      <c r="H2743" s="36">
        <v>1861</v>
      </c>
      <c r="I2743" s="36">
        <v>3240</v>
      </c>
      <c r="J2743" s="36">
        <v>500</v>
      </c>
      <c r="K2743" s="36">
        <f t="shared" si="580"/>
        <v>11595</v>
      </c>
      <c r="L2743" s="36">
        <v>7500</v>
      </c>
      <c r="M2743" s="9">
        <f t="shared" si="581"/>
        <v>0.64683053040103489</v>
      </c>
      <c r="N2743" s="5">
        <v>1</v>
      </c>
      <c r="O2743" s="10">
        <f t="shared" si="582"/>
        <v>0.64683053040103489</v>
      </c>
    </row>
    <row r="2744" spans="1:15" ht="13.5" hidden="1" customHeight="1">
      <c r="B2744" s="33">
        <f t="shared" si="579"/>
        <v>186</v>
      </c>
      <c r="C2744" s="62" t="s">
        <v>52</v>
      </c>
      <c r="D2744" s="62" t="s">
        <v>762</v>
      </c>
      <c r="F2744" s="61" t="s">
        <v>30</v>
      </c>
      <c r="G2744" s="36">
        <v>0</v>
      </c>
      <c r="H2744" s="36">
        <v>0</v>
      </c>
      <c r="I2744" s="36">
        <v>0</v>
      </c>
      <c r="J2744" s="36">
        <v>0</v>
      </c>
      <c r="K2744" s="36">
        <f t="shared" si="580"/>
        <v>0</v>
      </c>
      <c r="L2744" s="36">
        <v>7500</v>
      </c>
      <c r="M2744" s="9" t="e">
        <f t="shared" si="581"/>
        <v>#DIV/0!</v>
      </c>
      <c r="N2744" s="5">
        <v>1</v>
      </c>
      <c r="O2744" s="10" t="e">
        <f t="shared" si="582"/>
        <v>#DIV/0!</v>
      </c>
    </row>
    <row r="2745" spans="1:15" ht="13.5" hidden="1" customHeight="1">
      <c r="B2745" s="33">
        <f t="shared" si="579"/>
        <v>187</v>
      </c>
      <c r="C2745" s="63" t="s">
        <v>1001</v>
      </c>
      <c r="D2745" s="63" t="s">
        <v>829</v>
      </c>
      <c r="F2745" s="64" t="s">
        <v>30</v>
      </c>
      <c r="G2745" s="36">
        <f>333*18</f>
        <v>5994</v>
      </c>
      <c r="H2745" s="36">
        <v>1861</v>
      </c>
      <c r="I2745" s="36">
        <v>3240</v>
      </c>
      <c r="J2745" s="36">
        <v>500</v>
      </c>
      <c r="K2745" s="36">
        <f t="shared" si="580"/>
        <v>11595</v>
      </c>
      <c r="L2745" s="36">
        <v>7500</v>
      </c>
      <c r="M2745" s="9">
        <f t="shared" si="581"/>
        <v>0.64683053040103489</v>
      </c>
      <c r="N2745" s="5">
        <v>1</v>
      </c>
      <c r="O2745" s="10">
        <f t="shared" si="582"/>
        <v>0.64683053040103489</v>
      </c>
    </row>
    <row r="2746" spans="1:15" ht="13.5" hidden="1" customHeight="1">
      <c r="B2746" s="33">
        <f t="shared" si="579"/>
        <v>188</v>
      </c>
      <c r="C2746" s="63" t="s">
        <v>250</v>
      </c>
      <c r="D2746" s="63" t="s">
        <v>860</v>
      </c>
      <c r="F2746" s="64" t="s">
        <v>30</v>
      </c>
      <c r="G2746" s="36">
        <f>333*21</f>
        <v>6993</v>
      </c>
      <c r="H2746" s="36">
        <v>1861</v>
      </c>
      <c r="I2746" s="36">
        <v>3240</v>
      </c>
      <c r="J2746" s="36">
        <v>500</v>
      </c>
      <c r="K2746" s="36">
        <f t="shared" si="580"/>
        <v>12594</v>
      </c>
      <c r="L2746" s="36">
        <v>7500</v>
      </c>
      <c r="M2746" s="9">
        <f t="shared" si="581"/>
        <v>0.59552167698904235</v>
      </c>
      <c r="N2746" s="5">
        <v>1</v>
      </c>
      <c r="O2746" s="10">
        <f t="shared" si="582"/>
        <v>0.59552167698904235</v>
      </c>
    </row>
    <row r="2747" spans="1:15" ht="13.5" hidden="1" customHeight="1">
      <c r="B2747" s="33">
        <f t="shared" si="579"/>
        <v>189</v>
      </c>
      <c r="C2747" s="63" t="s">
        <v>1002</v>
      </c>
      <c r="D2747" s="63" t="s">
        <v>887</v>
      </c>
      <c r="F2747" s="64" t="s">
        <v>30</v>
      </c>
      <c r="G2747" s="36">
        <f>333*21</f>
        <v>6993</v>
      </c>
      <c r="H2747" s="36">
        <v>1861</v>
      </c>
      <c r="I2747" s="36">
        <v>3240</v>
      </c>
      <c r="J2747" s="36">
        <v>500</v>
      </c>
      <c r="K2747" s="36">
        <f t="shared" si="580"/>
        <v>12594</v>
      </c>
      <c r="L2747" s="36">
        <v>7500</v>
      </c>
      <c r="M2747" s="9">
        <f t="shared" si="581"/>
        <v>0.59552167698904235</v>
      </c>
      <c r="N2747" s="5">
        <v>1</v>
      </c>
      <c r="O2747" s="10">
        <f t="shared" si="582"/>
        <v>0.59552167698904235</v>
      </c>
    </row>
    <row r="2748" spans="1:15" ht="17.25" hidden="1" customHeight="1">
      <c r="A2748" s="66" t="s">
        <v>45</v>
      </c>
      <c r="B2748" s="66"/>
      <c r="C2748" s="66"/>
      <c r="D2748" s="66"/>
      <c r="E2748" s="66"/>
      <c r="F2748" s="66"/>
      <c r="G2748" s="66"/>
      <c r="H2748" s="66"/>
      <c r="I2748" s="66"/>
      <c r="J2748" s="66"/>
      <c r="K2748" s="66"/>
      <c r="L2748" s="66"/>
      <c r="M2748" s="66"/>
      <c r="N2748" s="22">
        <f>SUM(N2559:N2747)</f>
        <v>189</v>
      </c>
      <c r="O2748" s="23" t="e">
        <f>SUM(O2559:O2747)</f>
        <v>#DIV/0!</v>
      </c>
    </row>
    <row r="2749" spans="1:15" ht="13.5" hidden="1" customHeight="1">
      <c r="A2749" s="44" t="s">
        <v>1005</v>
      </c>
      <c r="B2749" s="44"/>
      <c r="C2749" s="44"/>
      <c r="D2749" s="44"/>
      <c r="E2749" s="44"/>
      <c r="F2749" s="44"/>
      <c r="G2749" s="44"/>
      <c r="H2749" s="44"/>
      <c r="I2749" s="44"/>
      <c r="J2749" s="44"/>
      <c r="K2749" s="44"/>
      <c r="L2749" s="44"/>
      <c r="M2749" s="44"/>
      <c r="N2749" s="44"/>
      <c r="O2749" s="44"/>
    </row>
    <row r="2750" spans="1:15" ht="13.5" hidden="1" customHeight="1">
      <c r="B2750" s="33">
        <v>1</v>
      </c>
      <c r="C2750" s="62" t="s">
        <v>904</v>
      </c>
      <c r="D2750" s="62" t="s">
        <v>747</v>
      </c>
      <c r="F2750" s="61" t="s">
        <v>213</v>
      </c>
      <c r="G2750" s="36">
        <f>333*23</f>
        <v>7659</v>
      </c>
      <c r="H2750" s="36">
        <v>1861</v>
      </c>
      <c r="I2750" s="36">
        <v>3790</v>
      </c>
      <c r="J2750" s="36">
        <v>0</v>
      </c>
      <c r="K2750" s="36">
        <f t="shared" ref="K2750:K2823" si="586">SUM(G2750:J2750)</f>
        <v>13310</v>
      </c>
      <c r="L2750" s="36">
        <v>7500</v>
      </c>
      <c r="M2750" s="9">
        <f t="shared" ref="M2750:M2823" si="587">L2750/K2750</f>
        <v>0.56348610067618332</v>
      </c>
      <c r="N2750" s="5">
        <v>1</v>
      </c>
      <c r="O2750" s="10">
        <f t="shared" ref="O2750:O2823" si="588">N2750*M2750</f>
        <v>0.56348610067618332</v>
      </c>
    </row>
    <row r="2751" spans="1:15" ht="13.5" hidden="1" customHeight="1">
      <c r="B2751" s="33">
        <f>+B2750+1</f>
        <v>2</v>
      </c>
      <c r="C2751" s="62" t="s">
        <v>905</v>
      </c>
      <c r="D2751" s="62" t="s">
        <v>756</v>
      </c>
      <c r="F2751" s="61" t="s">
        <v>213</v>
      </c>
      <c r="G2751" s="36">
        <f t="shared" ref="G2751:G2759" si="589">333*23</f>
        <v>7659</v>
      </c>
      <c r="H2751" s="36">
        <v>1861</v>
      </c>
      <c r="I2751" s="36">
        <v>3790</v>
      </c>
      <c r="J2751" s="36">
        <v>0</v>
      </c>
      <c r="K2751" s="36">
        <f t="shared" si="586"/>
        <v>13310</v>
      </c>
      <c r="L2751" s="36">
        <v>7500</v>
      </c>
      <c r="M2751" s="9">
        <f t="shared" si="587"/>
        <v>0.56348610067618332</v>
      </c>
      <c r="N2751" s="5">
        <v>1</v>
      </c>
      <c r="O2751" s="10">
        <f t="shared" si="588"/>
        <v>0.56348610067618332</v>
      </c>
    </row>
    <row r="2752" spans="1:15" ht="13.5" hidden="1" customHeight="1">
      <c r="B2752" s="33">
        <f t="shared" ref="B2752:B2815" si="590">+B2751+1</f>
        <v>3</v>
      </c>
      <c r="C2752" s="62" t="s">
        <v>234</v>
      </c>
      <c r="D2752" s="62" t="s">
        <v>775</v>
      </c>
      <c r="F2752" s="61" t="s">
        <v>213</v>
      </c>
      <c r="G2752" s="36">
        <f t="shared" si="589"/>
        <v>7659</v>
      </c>
      <c r="H2752" s="36">
        <v>1861</v>
      </c>
      <c r="I2752" s="36">
        <v>3790</v>
      </c>
      <c r="J2752" s="36">
        <v>0</v>
      </c>
      <c r="K2752" s="36">
        <f t="shared" si="586"/>
        <v>13310</v>
      </c>
      <c r="L2752" s="36">
        <v>7500</v>
      </c>
      <c r="M2752" s="9">
        <f t="shared" si="587"/>
        <v>0.56348610067618332</v>
      </c>
      <c r="N2752" s="5">
        <v>1</v>
      </c>
      <c r="O2752" s="10">
        <f t="shared" si="588"/>
        <v>0.56348610067618332</v>
      </c>
    </row>
    <row r="2753" spans="2:15" ht="13.5" hidden="1" customHeight="1">
      <c r="B2753" s="33">
        <f t="shared" si="590"/>
        <v>4</v>
      </c>
      <c r="C2753" s="62" t="s">
        <v>906</v>
      </c>
      <c r="D2753" s="62" t="s">
        <v>783</v>
      </c>
      <c r="F2753" s="61" t="s">
        <v>213</v>
      </c>
      <c r="G2753" s="36">
        <f t="shared" si="589"/>
        <v>7659</v>
      </c>
      <c r="H2753" s="36">
        <v>1861</v>
      </c>
      <c r="I2753" s="36">
        <v>3790</v>
      </c>
      <c r="J2753" s="36">
        <v>0</v>
      </c>
      <c r="K2753" s="36">
        <f t="shared" si="586"/>
        <v>13310</v>
      </c>
      <c r="L2753" s="36">
        <v>7500</v>
      </c>
      <c r="M2753" s="9">
        <f t="shared" si="587"/>
        <v>0.56348610067618332</v>
      </c>
      <c r="N2753" s="5">
        <v>1</v>
      </c>
      <c r="O2753" s="10">
        <f t="shared" si="588"/>
        <v>0.56348610067618332</v>
      </c>
    </row>
    <row r="2754" spans="2:15" ht="13.5" hidden="1" customHeight="1">
      <c r="B2754" s="33">
        <f t="shared" si="590"/>
        <v>5</v>
      </c>
      <c r="C2754" s="63" t="s">
        <v>907</v>
      </c>
      <c r="D2754" s="63" t="s">
        <v>805</v>
      </c>
      <c r="F2754" s="64" t="s">
        <v>213</v>
      </c>
      <c r="G2754" s="36">
        <f t="shared" si="589"/>
        <v>7659</v>
      </c>
      <c r="H2754" s="36">
        <v>1861</v>
      </c>
      <c r="I2754" s="36">
        <v>3790</v>
      </c>
      <c r="J2754" s="36">
        <v>0</v>
      </c>
      <c r="K2754" s="36">
        <f t="shared" si="586"/>
        <v>13310</v>
      </c>
      <c r="L2754" s="36">
        <v>7500</v>
      </c>
      <c r="M2754" s="9">
        <f t="shared" si="587"/>
        <v>0.56348610067618332</v>
      </c>
      <c r="N2754" s="5">
        <v>1</v>
      </c>
      <c r="O2754" s="10">
        <f t="shared" si="588"/>
        <v>0.56348610067618332</v>
      </c>
    </row>
    <row r="2755" spans="2:15" ht="13.5" hidden="1" customHeight="1">
      <c r="B2755" s="33">
        <f t="shared" si="590"/>
        <v>6</v>
      </c>
      <c r="C2755" s="63" t="s">
        <v>61</v>
      </c>
      <c r="D2755" s="63" t="s">
        <v>832</v>
      </c>
      <c r="F2755" s="64" t="s">
        <v>213</v>
      </c>
      <c r="G2755" s="36">
        <f t="shared" si="589"/>
        <v>7659</v>
      </c>
      <c r="H2755" s="36">
        <v>1861</v>
      </c>
      <c r="I2755" s="36">
        <v>3790</v>
      </c>
      <c r="J2755" s="36">
        <v>0</v>
      </c>
      <c r="K2755" s="36">
        <f t="shared" si="586"/>
        <v>13310</v>
      </c>
      <c r="L2755" s="36">
        <v>7500</v>
      </c>
      <c r="M2755" s="9">
        <f t="shared" si="587"/>
        <v>0.56348610067618332</v>
      </c>
      <c r="N2755" s="5">
        <v>1</v>
      </c>
      <c r="O2755" s="10">
        <f t="shared" si="588"/>
        <v>0.56348610067618332</v>
      </c>
    </row>
    <row r="2756" spans="2:15" ht="13.5" hidden="1" customHeight="1">
      <c r="B2756" s="33">
        <f t="shared" si="590"/>
        <v>7</v>
      </c>
      <c r="C2756" s="63" t="s">
        <v>98</v>
      </c>
      <c r="D2756" s="63" t="s">
        <v>867</v>
      </c>
      <c r="F2756" s="64" t="s">
        <v>213</v>
      </c>
      <c r="G2756" s="36">
        <f t="shared" si="589"/>
        <v>7659</v>
      </c>
      <c r="H2756" s="36">
        <v>1861</v>
      </c>
      <c r="I2756" s="36">
        <v>3790</v>
      </c>
      <c r="J2756" s="36">
        <v>0</v>
      </c>
      <c r="K2756" s="36">
        <f t="shared" si="586"/>
        <v>13310</v>
      </c>
      <c r="L2756" s="36">
        <v>7500</v>
      </c>
      <c r="M2756" s="9">
        <f t="shared" si="587"/>
        <v>0.56348610067618332</v>
      </c>
      <c r="N2756" s="5">
        <v>1</v>
      </c>
      <c r="O2756" s="10">
        <f t="shared" si="588"/>
        <v>0.56348610067618332</v>
      </c>
    </row>
    <row r="2757" spans="2:15" ht="13.5" hidden="1" customHeight="1">
      <c r="B2757" s="33">
        <f t="shared" si="590"/>
        <v>8</v>
      </c>
      <c r="C2757" s="63" t="s">
        <v>908</v>
      </c>
      <c r="D2757" s="63" t="s">
        <v>871</v>
      </c>
      <c r="F2757" s="64" t="s">
        <v>213</v>
      </c>
      <c r="G2757" s="36">
        <f t="shared" si="589"/>
        <v>7659</v>
      </c>
      <c r="H2757" s="36">
        <v>1861</v>
      </c>
      <c r="I2757" s="36">
        <v>3790</v>
      </c>
      <c r="J2757" s="36">
        <v>0</v>
      </c>
      <c r="K2757" s="36">
        <f t="shared" si="586"/>
        <v>13310</v>
      </c>
      <c r="L2757" s="36">
        <v>7500</v>
      </c>
      <c r="M2757" s="9">
        <f t="shared" si="587"/>
        <v>0.56348610067618332</v>
      </c>
      <c r="N2757" s="5">
        <v>1</v>
      </c>
      <c r="O2757" s="10">
        <f t="shared" si="588"/>
        <v>0.56348610067618332</v>
      </c>
    </row>
    <row r="2758" spans="2:15" ht="13.5" hidden="1" customHeight="1">
      <c r="B2758" s="33">
        <f t="shared" si="590"/>
        <v>9</v>
      </c>
      <c r="C2758" s="63" t="s">
        <v>909</v>
      </c>
      <c r="D2758" s="63" t="s">
        <v>875</v>
      </c>
      <c r="F2758" s="64" t="s">
        <v>213</v>
      </c>
      <c r="G2758" s="36">
        <f t="shared" si="589"/>
        <v>7659</v>
      </c>
      <c r="H2758" s="36">
        <v>1861</v>
      </c>
      <c r="I2758" s="36">
        <v>3790</v>
      </c>
      <c r="J2758" s="36">
        <v>0</v>
      </c>
      <c r="K2758" s="36">
        <f t="shared" si="586"/>
        <v>13310</v>
      </c>
      <c r="L2758" s="36">
        <v>7500</v>
      </c>
      <c r="M2758" s="9">
        <f t="shared" si="587"/>
        <v>0.56348610067618332</v>
      </c>
      <c r="N2758" s="5">
        <v>1</v>
      </c>
      <c r="O2758" s="10">
        <f t="shared" si="588"/>
        <v>0.56348610067618332</v>
      </c>
    </row>
    <row r="2759" spans="2:15" ht="13.5" hidden="1" customHeight="1">
      <c r="B2759" s="33">
        <f t="shared" si="590"/>
        <v>10</v>
      </c>
      <c r="C2759" s="63" t="s">
        <v>910</v>
      </c>
      <c r="D2759" s="63" t="s">
        <v>886</v>
      </c>
      <c r="F2759" s="64" t="s">
        <v>213</v>
      </c>
      <c r="G2759" s="36">
        <f t="shared" si="589"/>
        <v>7659</v>
      </c>
      <c r="H2759" s="36">
        <v>1861</v>
      </c>
      <c r="I2759" s="36">
        <v>3790</v>
      </c>
      <c r="J2759" s="36">
        <v>0</v>
      </c>
      <c r="K2759" s="36">
        <f t="shared" si="586"/>
        <v>13310</v>
      </c>
      <c r="L2759" s="36">
        <v>7500</v>
      </c>
      <c r="M2759" s="9">
        <f t="shared" si="587"/>
        <v>0.56348610067618332</v>
      </c>
      <c r="N2759" s="5">
        <v>1</v>
      </c>
      <c r="O2759" s="10">
        <f t="shared" si="588"/>
        <v>0.56348610067618332</v>
      </c>
    </row>
    <row r="2760" spans="2:15" ht="13.5" hidden="1" customHeight="1">
      <c r="B2760" s="33">
        <f t="shared" si="590"/>
        <v>11</v>
      </c>
      <c r="C2760" s="63" t="s">
        <v>158</v>
      </c>
      <c r="D2760" s="63" t="s">
        <v>862</v>
      </c>
      <c r="F2760" s="64" t="s">
        <v>140</v>
      </c>
      <c r="G2760" s="36">
        <f>300*9</f>
        <v>2700</v>
      </c>
      <c r="H2760" s="36">
        <v>1861</v>
      </c>
      <c r="I2760" s="36">
        <v>3240</v>
      </c>
      <c r="J2760" s="36">
        <v>0</v>
      </c>
      <c r="K2760" s="36">
        <f t="shared" si="586"/>
        <v>7801</v>
      </c>
      <c r="L2760" s="36">
        <v>7500</v>
      </c>
      <c r="M2760" s="9">
        <f t="shared" si="587"/>
        <v>0.96141520317907958</v>
      </c>
      <c r="N2760" s="5">
        <v>1</v>
      </c>
      <c r="O2760" s="10">
        <f t="shared" si="588"/>
        <v>0.96141520317907958</v>
      </c>
    </row>
    <row r="2761" spans="2:15" ht="13.5" hidden="1" customHeight="1">
      <c r="B2761" s="33">
        <f t="shared" si="590"/>
        <v>12</v>
      </c>
      <c r="C2761" s="63" t="s">
        <v>179</v>
      </c>
      <c r="D2761" s="63" t="s">
        <v>903</v>
      </c>
      <c r="F2761" s="64" t="s">
        <v>428</v>
      </c>
      <c r="G2761" s="36">
        <f>277*18</f>
        <v>4986</v>
      </c>
      <c r="H2761" s="36">
        <v>1861</v>
      </c>
      <c r="I2761" s="36">
        <v>7890</v>
      </c>
      <c r="J2761" s="36">
        <v>0</v>
      </c>
      <c r="K2761" s="36">
        <f t="shared" si="586"/>
        <v>14737</v>
      </c>
      <c r="L2761" s="36">
        <v>7500</v>
      </c>
      <c r="M2761" s="9">
        <f t="shared" si="587"/>
        <v>0.50892311868087126</v>
      </c>
      <c r="N2761" s="5">
        <v>1</v>
      </c>
      <c r="O2761" s="10">
        <f t="shared" si="588"/>
        <v>0.50892311868087126</v>
      </c>
    </row>
    <row r="2762" spans="2:15" ht="13.5" hidden="1" customHeight="1">
      <c r="B2762" s="33">
        <f t="shared" si="590"/>
        <v>13</v>
      </c>
      <c r="C2762" s="62" t="s">
        <v>911</v>
      </c>
      <c r="D2762" s="62" t="s">
        <v>774</v>
      </c>
      <c r="F2762" s="61" t="s">
        <v>41</v>
      </c>
      <c r="G2762" s="36">
        <f>333*23</f>
        <v>7659</v>
      </c>
      <c r="H2762" s="36">
        <v>1861</v>
      </c>
      <c r="I2762" s="36">
        <v>3790</v>
      </c>
      <c r="J2762" s="36">
        <v>500</v>
      </c>
      <c r="K2762" s="36">
        <f t="shared" si="586"/>
        <v>13810</v>
      </c>
      <c r="L2762" s="36">
        <v>7500</v>
      </c>
      <c r="M2762" s="9">
        <f t="shared" si="587"/>
        <v>0.54308472121650975</v>
      </c>
      <c r="N2762" s="5">
        <v>1</v>
      </c>
      <c r="O2762" s="10">
        <f t="shared" si="588"/>
        <v>0.54308472121650975</v>
      </c>
    </row>
    <row r="2763" spans="2:15" ht="13.5" hidden="1" customHeight="1">
      <c r="B2763" s="33">
        <f t="shared" si="590"/>
        <v>14</v>
      </c>
      <c r="C2763" s="63" t="s">
        <v>912</v>
      </c>
      <c r="D2763" s="63" t="s">
        <v>897</v>
      </c>
      <c r="F2763" s="61" t="s">
        <v>41</v>
      </c>
      <c r="G2763" s="36">
        <f>333*17</f>
        <v>5661</v>
      </c>
      <c r="H2763" s="36">
        <v>1861</v>
      </c>
      <c r="I2763" s="36">
        <v>3790</v>
      </c>
      <c r="J2763" s="36">
        <v>500</v>
      </c>
      <c r="K2763" s="36">
        <f t="shared" si="586"/>
        <v>11812</v>
      </c>
      <c r="L2763" s="36">
        <v>7500</v>
      </c>
      <c r="M2763" s="9">
        <f t="shared" si="587"/>
        <v>0.63494751100575686</v>
      </c>
      <c r="N2763" s="5">
        <v>1</v>
      </c>
      <c r="O2763" s="10">
        <f t="shared" si="588"/>
        <v>0.63494751100575686</v>
      </c>
    </row>
    <row r="2764" spans="2:15" ht="13.5" hidden="1" customHeight="1">
      <c r="B2764" s="33">
        <f t="shared" si="590"/>
        <v>15</v>
      </c>
      <c r="C2764" s="63" t="s">
        <v>100</v>
      </c>
      <c r="D2764" s="63" t="s">
        <v>900</v>
      </c>
      <c r="F2764" s="61" t="s">
        <v>41</v>
      </c>
      <c r="G2764" s="36">
        <f>333*23</f>
        <v>7659</v>
      </c>
      <c r="H2764" s="36">
        <v>1861</v>
      </c>
      <c r="I2764" s="36">
        <v>3790</v>
      </c>
      <c r="J2764" s="36">
        <v>500</v>
      </c>
      <c r="K2764" s="36">
        <f t="shared" si="586"/>
        <v>13810</v>
      </c>
      <c r="L2764" s="36">
        <v>7500</v>
      </c>
      <c r="M2764" s="9">
        <f t="shared" si="587"/>
        <v>0.54308472121650975</v>
      </c>
      <c r="N2764" s="5">
        <v>1</v>
      </c>
      <c r="O2764" s="10">
        <f t="shared" si="588"/>
        <v>0.54308472121650975</v>
      </c>
    </row>
    <row r="2765" spans="2:15" ht="13.5" hidden="1" customHeight="1">
      <c r="B2765" s="33">
        <f t="shared" si="590"/>
        <v>16</v>
      </c>
      <c r="C2765" s="63" t="s">
        <v>266</v>
      </c>
      <c r="D2765" s="63" t="s">
        <v>88</v>
      </c>
      <c r="F2765" s="61" t="s">
        <v>41</v>
      </c>
      <c r="G2765" s="36">
        <f>333*21</f>
        <v>6993</v>
      </c>
      <c r="H2765" s="36">
        <v>1861</v>
      </c>
      <c r="I2765" s="36">
        <v>3790</v>
      </c>
      <c r="J2765" s="36">
        <v>500</v>
      </c>
      <c r="K2765" s="36">
        <f t="shared" si="586"/>
        <v>13144</v>
      </c>
      <c r="L2765" s="36">
        <v>7500</v>
      </c>
      <c r="M2765" s="9">
        <f t="shared" si="587"/>
        <v>0.57060255629945222</v>
      </c>
      <c r="N2765" s="5">
        <v>1</v>
      </c>
      <c r="O2765" s="10">
        <f t="shared" si="588"/>
        <v>0.57060255629945222</v>
      </c>
    </row>
    <row r="2766" spans="2:15" ht="13.5" hidden="1" customHeight="1">
      <c r="B2766" s="33">
        <f t="shared" si="590"/>
        <v>17</v>
      </c>
      <c r="C2766" s="63" t="s">
        <v>913</v>
      </c>
      <c r="D2766" s="63" t="s">
        <v>798</v>
      </c>
      <c r="F2766" s="64" t="s">
        <v>41</v>
      </c>
      <c r="G2766" s="36">
        <f>333*23</f>
        <v>7659</v>
      </c>
      <c r="H2766" s="36">
        <v>1861</v>
      </c>
      <c r="I2766" s="36">
        <v>3790</v>
      </c>
      <c r="J2766" s="36">
        <v>500</v>
      </c>
      <c r="K2766" s="36">
        <f t="shared" si="586"/>
        <v>13810</v>
      </c>
      <c r="L2766" s="36">
        <v>7500</v>
      </c>
      <c r="M2766" s="9">
        <f t="shared" si="587"/>
        <v>0.54308472121650975</v>
      </c>
      <c r="N2766" s="5">
        <v>1</v>
      </c>
      <c r="O2766" s="10">
        <f t="shared" si="588"/>
        <v>0.54308472121650975</v>
      </c>
    </row>
    <row r="2767" spans="2:15" ht="13.5" hidden="1" customHeight="1">
      <c r="B2767" s="33">
        <f t="shared" si="590"/>
        <v>18</v>
      </c>
      <c r="C2767" s="63" t="s">
        <v>67</v>
      </c>
      <c r="D2767" s="63" t="s">
        <v>856</v>
      </c>
      <c r="F2767" s="64" t="s">
        <v>41</v>
      </c>
      <c r="G2767" s="36">
        <f>333*17</f>
        <v>5661</v>
      </c>
      <c r="H2767" s="36">
        <v>1861</v>
      </c>
      <c r="I2767" s="36">
        <v>3790</v>
      </c>
      <c r="J2767" s="36">
        <v>500</v>
      </c>
      <c r="K2767" s="36">
        <f t="shared" si="586"/>
        <v>11812</v>
      </c>
      <c r="L2767" s="36">
        <v>7500</v>
      </c>
      <c r="M2767" s="9">
        <f t="shared" si="587"/>
        <v>0.63494751100575686</v>
      </c>
      <c r="N2767" s="5">
        <v>1</v>
      </c>
      <c r="O2767" s="10">
        <f t="shared" si="588"/>
        <v>0.63494751100575686</v>
      </c>
    </row>
    <row r="2768" spans="2:15" ht="13.5" hidden="1" customHeight="1">
      <c r="B2768" s="33">
        <f t="shared" si="590"/>
        <v>19</v>
      </c>
      <c r="C2768" s="63" t="s">
        <v>243</v>
      </c>
      <c r="D2768" s="63" t="s">
        <v>823</v>
      </c>
      <c r="F2768" s="64" t="s">
        <v>42</v>
      </c>
      <c r="G2768" s="36">
        <f>333*21</f>
        <v>6993</v>
      </c>
      <c r="H2768" s="36">
        <v>1861</v>
      </c>
      <c r="I2768" s="36">
        <v>3240</v>
      </c>
      <c r="J2768" s="36">
        <v>500</v>
      </c>
      <c r="K2768" s="36">
        <f t="shared" si="586"/>
        <v>12594</v>
      </c>
      <c r="L2768" s="36">
        <v>7500</v>
      </c>
      <c r="M2768" s="9">
        <f t="shared" si="587"/>
        <v>0.59552167698904235</v>
      </c>
      <c r="N2768" s="5">
        <v>1</v>
      </c>
      <c r="O2768" s="10">
        <f t="shared" si="588"/>
        <v>0.59552167698904235</v>
      </c>
    </row>
    <row r="2769" spans="2:15" ht="13.5" hidden="1" customHeight="1">
      <c r="B2769" s="33">
        <f t="shared" si="590"/>
        <v>20</v>
      </c>
      <c r="C2769" s="63" t="s">
        <v>355</v>
      </c>
      <c r="D2769" s="63" t="s">
        <v>863</v>
      </c>
      <c r="F2769" s="64" t="s">
        <v>42</v>
      </c>
      <c r="G2769" s="36">
        <f>333*21</f>
        <v>6993</v>
      </c>
      <c r="H2769" s="36">
        <v>1861</v>
      </c>
      <c r="I2769" s="36">
        <v>3240</v>
      </c>
      <c r="J2769" s="36">
        <v>500</v>
      </c>
      <c r="K2769" s="36">
        <f t="shared" si="586"/>
        <v>12594</v>
      </c>
      <c r="L2769" s="36">
        <v>7500</v>
      </c>
      <c r="M2769" s="9">
        <f t="shared" si="587"/>
        <v>0.59552167698904235</v>
      </c>
      <c r="N2769" s="5">
        <v>1</v>
      </c>
      <c r="O2769" s="10">
        <f t="shared" si="588"/>
        <v>0.59552167698904235</v>
      </c>
    </row>
    <row r="2770" spans="2:15" ht="13.5" hidden="1" customHeight="1">
      <c r="B2770" s="33">
        <f t="shared" si="590"/>
        <v>21</v>
      </c>
      <c r="C2770" s="63" t="s">
        <v>914</v>
      </c>
      <c r="D2770" s="63" t="s">
        <v>880</v>
      </c>
      <c r="F2770" s="64" t="s">
        <v>42</v>
      </c>
      <c r="G2770" s="36">
        <f>333*20</f>
        <v>6660</v>
      </c>
      <c r="H2770" s="36">
        <v>1861</v>
      </c>
      <c r="I2770" s="36">
        <v>3240</v>
      </c>
      <c r="J2770" s="36">
        <v>500</v>
      </c>
      <c r="K2770" s="36">
        <f t="shared" si="586"/>
        <v>12261</v>
      </c>
      <c r="L2770" s="36">
        <v>7500</v>
      </c>
      <c r="M2770" s="9">
        <f t="shared" si="587"/>
        <v>0.61169562025935897</v>
      </c>
      <c r="N2770" s="5">
        <v>1</v>
      </c>
      <c r="O2770" s="10">
        <f t="shared" si="588"/>
        <v>0.61169562025935897</v>
      </c>
    </row>
    <row r="2771" spans="2:15" ht="13.5" hidden="1" customHeight="1">
      <c r="B2771" s="33">
        <f t="shared" si="590"/>
        <v>22</v>
      </c>
      <c r="C2771" s="62" t="s">
        <v>915</v>
      </c>
      <c r="D2771" s="62" t="s">
        <v>757</v>
      </c>
      <c r="F2771" s="61" t="s">
        <v>25</v>
      </c>
      <c r="G2771" s="36">
        <f>300*6</f>
        <v>1800</v>
      </c>
      <c r="H2771" s="36">
        <v>1861</v>
      </c>
      <c r="I2771" s="36">
        <v>3240</v>
      </c>
      <c r="J2771" s="36">
        <v>500</v>
      </c>
      <c r="K2771" s="36">
        <f t="shared" si="586"/>
        <v>7401</v>
      </c>
      <c r="L2771" s="36">
        <v>7500</v>
      </c>
      <c r="M2771" s="9">
        <f t="shared" si="587"/>
        <v>1.0133765707336846</v>
      </c>
      <c r="N2771" s="5">
        <v>1</v>
      </c>
      <c r="O2771" s="10">
        <f t="shared" si="588"/>
        <v>1.0133765707336846</v>
      </c>
    </row>
    <row r="2772" spans="2:15" ht="13.5" hidden="1" customHeight="1">
      <c r="B2772" s="33">
        <f t="shared" si="590"/>
        <v>23</v>
      </c>
      <c r="C2772" s="62" t="s">
        <v>103</v>
      </c>
      <c r="D2772" s="62" t="s">
        <v>768</v>
      </c>
      <c r="F2772" s="61" t="s">
        <v>25</v>
      </c>
      <c r="G2772" s="36">
        <f>300*4</f>
        <v>1200</v>
      </c>
      <c r="H2772" s="36">
        <v>1861</v>
      </c>
      <c r="I2772" s="36">
        <v>3240</v>
      </c>
      <c r="J2772" s="36">
        <v>500</v>
      </c>
      <c r="K2772" s="36">
        <f t="shared" si="586"/>
        <v>6801</v>
      </c>
      <c r="L2772" s="36">
        <v>7500</v>
      </c>
      <c r="M2772" s="9">
        <f t="shared" si="587"/>
        <v>1.1027790030877813</v>
      </c>
      <c r="N2772" s="5">
        <v>1</v>
      </c>
      <c r="O2772" s="10">
        <f t="shared" si="588"/>
        <v>1.1027790030877813</v>
      </c>
    </row>
    <row r="2773" spans="2:15" ht="13.5" hidden="1" customHeight="1">
      <c r="B2773" s="33">
        <f t="shared" si="590"/>
        <v>24</v>
      </c>
      <c r="C2773" s="63" t="s">
        <v>916</v>
      </c>
      <c r="D2773" s="63" t="s">
        <v>836</v>
      </c>
      <c r="F2773" s="64" t="s">
        <v>417</v>
      </c>
      <c r="G2773" s="36">
        <v>0</v>
      </c>
      <c r="H2773" s="36">
        <v>0</v>
      </c>
      <c r="I2773" s="36">
        <v>0</v>
      </c>
      <c r="J2773" s="36">
        <v>0</v>
      </c>
      <c r="K2773" s="36">
        <f t="shared" si="586"/>
        <v>0</v>
      </c>
      <c r="L2773" s="36">
        <v>7500</v>
      </c>
      <c r="M2773" s="9" t="e">
        <f t="shared" si="587"/>
        <v>#DIV/0!</v>
      </c>
      <c r="N2773" s="5">
        <v>1</v>
      </c>
      <c r="O2773" s="10" t="e">
        <f t="shared" si="588"/>
        <v>#DIV/0!</v>
      </c>
    </row>
    <row r="2774" spans="2:15" ht="13.5" hidden="1" customHeight="1">
      <c r="B2774" s="33">
        <f t="shared" si="590"/>
        <v>25</v>
      </c>
      <c r="C2774" s="63" t="s">
        <v>66</v>
      </c>
      <c r="D2774" s="63" t="s">
        <v>847</v>
      </c>
      <c r="F2774" s="64" t="s">
        <v>417</v>
      </c>
      <c r="G2774" s="36">
        <v>0</v>
      </c>
      <c r="H2774" s="36">
        <v>0</v>
      </c>
      <c r="I2774" s="36">
        <v>0</v>
      </c>
      <c r="J2774" s="36">
        <v>0</v>
      </c>
      <c r="K2774" s="36">
        <f t="shared" si="586"/>
        <v>0</v>
      </c>
      <c r="L2774" s="36">
        <v>7500</v>
      </c>
      <c r="M2774" s="9" t="e">
        <f t="shared" si="587"/>
        <v>#DIV/0!</v>
      </c>
      <c r="N2774" s="5">
        <v>1</v>
      </c>
      <c r="O2774" s="10" t="e">
        <f t="shared" si="588"/>
        <v>#DIV/0!</v>
      </c>
    </row>
    <row r="2775" spans="2:15" ht="13.5" hidden="1" customHeight="1">
      <c r="B2775" s="33">
        <f t="shared" si="590"/>
        <v>26</v>
      </c>
      <c r="C2775" s="63" t="s">
        <v>917</v>
      </c>
      <c r="D2775" s="63" t="s">
        <v>874</v>
      </c>
      <c r="F2775" s="64" t="s">
        <v>417</v>
      </c>
      <c r="G2775" s="36">
        <v>0</v>
      </c>
      <c r="H2775" s="36">
        <v>0</v>
      </c>
      <c r="I2775" s="36">
        <v>0</v>
      </c>
      <c r="J2775" s="36">
        <v>0</v>
      </c>
      <c r="K2775" s="36">
        <f t="shared" si="586"/>
        <v>0</v>
      </c>
      <c r="L2775" s="36">
        <v>7500</v>
      </c>
      <c r="M2775" s="9" t="e">
        <f t="shared" si="587"/>
        <v>#DIV/0!</v>
      </c>
      <c r="N2775" s="5">
        <v>1</v>
      </c>
      <c r="O2775" s="10" t="e">
        <f t="shared" si="588"/>
        <v>#DIV/0!</v>
      </c>
    </row>
    <row r="2776" spans="2:15" ht="13.5" hidden="1" customHeight="1">
      <c r="B2776" s="33">
        <f t="shared" si="590"/>
        <v>27</v>
      </c>
      <c r="C2776" s="62" t="s">
        <v>163</v>
      </c>
      <c r="D2776" s="62" t="s">
        <v>751</v>
      </c>
      <c r="F2776" s="61" t="s">
        <v>159</v>
      </c>
      <c r="G2776" s="36">
        <f>333*22</f>
        <v>7326</v>
      </c>
      <c r="H2776" s="36">
        <v>1861</v>
      </c>
      <c r="I2776" s="36">
        <v>3240</v>
      </c>
      <c r="J2776" s="36">
        <v>900</v>
      </c>
      <c r="K2776" s="36">
        <f t="shared" si="586"/>
        <v>13327</v>
      </c>
      <c r="L2776" s="36">
        <v>7500</v>
      </c>
      <c r="M2776" s="9">
        <f t="shared" si="587"/>
        <v>0.56276731447437534</v>
      </c>
      <c r="N2776" s="5">
        <v>1</v>
      </c>
      <c r="O2776" s="10">
        <f t="shared" si="588"/>
        <v>0.56276731447437534</v>
      </c>
    </row>
    <row r="2777" spans="2:15" ht="13.5" hidden="1" customHeight="1">
      <c r="B2777" s="33">
        <f t="shared" si="590"/>
        <v>28</v>
      </c>
      <c r="C2777" s="62" t="s">
        <v>918</v>
      </c>
      <c r="D2777" s="62" t="s">
        <v>770</v>
      </c>
      <c r="F2777" s="61" t="s">
        <v>159</v>
      </c>
      <c r="G2777" s="36">
        <f t="shared" ref="G2777:G2781" si="591">333*22</f>
        <v>7326</v>
      </c>
      <c r="H2777" s="36">
        <v>1861</v>
      </c>
      <c r="I2777" s="36">
        <v>3240</v>
      </c>
      <c r="J2777" s="36">
        <v>900</v>
      </c>
      <c r="K2777" s="36">
        <f t="shared" si="586"/>
        <v>13327</v>
      </c>
      <c r="L2777" s="36">
        <v>7500</v>
      </c>
      <c r="M2777" s="9">
        <f t="shared" si="587"/>
        <v>0.56276731447437534</v>
      </c>
      <c r="N2777" s="5">
        <v>1</v>
      </c>
      <c r="O2777" s="10">
        <f t="shared" si="588"/>
        <v>0.56276731447437534</v>
      </c>
    </row>
    <row r="2778" spans="2:15" ht="13.5" hidden="1" customHeight="1">
      <c r="B2778" s="33">
        <f t="shared" si="590"/>
        <v>29</v>
      </c>
      <c r="C2778" s="62" t="s">
        <v>164</v>
      </c>
      <c r="D2778" s="62" t="s">
        <v>778</v>
      </c>
      <c r="F2778" s="61" t="s">
        <v>159</v>
      </c>
      <c r="G2778" s="36">
        <f t="shared" si="591"/>
        <v>7326</v>
      </c>
      <c r="H2778" s="36">
        <v>1861</v>
      </c>
      <c r="I2778" s="36">
        <v>3240</v>
      </c>
      <c r="J2778" s="36">
        <v>900</v>
      </c>
      <c r="K2778" s="36">
        <f t="shared" si="586"/>
        <v>13327</v>
      </c>
      <c r="L2778" s="36">
        <v>7500</v>
      </c>
      <c r="M2778" s="9">
        <f t="shared" si="587"/>
        <v>0.56276731447437534</v>
      </c>
      <c r="N2778" s="5">
        <v>1</v>
      </c>
      <c r="O2778" s="10">
        <f t="shared" si="588"/>
        <v>0.56276731447437534</v>
      </c>
    </row>
    <row r="2779" spans="2:15" ht="13.5" hidden="1" customHeight="1">
      <c r="B2779" s="33">
        <f t="shared" si="590"/>
        <v>30</v>
      </c>
      <c r="C2779" s="63" t="s">
        <v>919</v>
      </c>
      <c r="D2779" s="63" t="s">
        <v>810</v>
      </c>
      <c r="F2779" s="64" t="s">
        <v>159</v>
      </c>
      <c r="G2779" s="36">
        <f t="shared" si="591"/>
        <v>7326</v>
      </c>
      <c r="H2779" s="36">
        <v>1861</v>
      </c>
      <c r="I2779" s="36">
        <v>3240</v>
      </c>
      <c r="J2779" s="36">
        <v>900</v>
      </c>
      <c r="K2779" s="36">
        <f t="shared" si="586"/>
        <v>13327</v>
      </c>
      <c r="L2779" s="36">
        <v>7500</v>
      </c>
      <c r="M2779" s="9">
        <f t="shared" si="587"/>
        <v>0.56276731447437534</v>
      </c>
      <c r="N2779" s="5">
        <v>1</v>
      </c>
      <c r="O2779" s="10">
        <f t="shared" si="588"/>
        <v>0.56276731447437534</v>
      </c>
    </row>
    <row r="2780" spans="2:15" ht="13.5" hidden="1" customHeight="1">
      <c r="B2780" s="33">
        <f t="shared" si="590"/>
        <v>31</v>
      </c>
      <c r="C2780" s="63" t="s">
        <v>249</v>
      </c>
      <c r="D2780" s="63" t="s">
        <v>857</v>
      </c>
      <c r="F2780" s="64" t="s">
        <v>159</v>
      </c>
      <c r="G2780" s="36">
        <f t="shared" si="591"/>
        <v>7326</v>
      </c>
      <c r="H2780" s="36">
        <v>1861</v>
      </c>
      <c r="I2780" s="36">
        <v>3240</v>
      </c>
      <c r="J2780" s="36">
        <v>900</v>
      </c>
      <c r="K2780" s="36">
        <f t="shared" si="586"/>
        <v>13327</v>
      </c>
      <c r="L2780" s="36">
        <v>7500</v>
      </c>
      <c r="M2780" s="9">
        <f t="shared" si="587"/>
        <v>0.56276731447437534</v>
      </c>
      <c r="N2780" s="5">
        <v>1</v>
      </c>
      <c r="O2780" s="10">
        <f t="shared" si="588"/>
        <v>0.56276731447437534</v>
      </c>
    </row>
    <row r="2781" spans="2:15" ht="13.5" hidden="1" customHeight="1">
      <c r="B2781" s="33">
        <f t="shared" si="590"/>
        <v>32</v>
      </c>
      <c r="C2781" s="63" t="s">
        <v>175</v>
      </c>
      <c r="D2781" s="63" t="s">
        <v>85</v>
      </c>
      <c r="F2781" s="64" t="s">
        <v>159</v>
      </c>
      <c r="G2781" s="36">
        <f t="shared" si="591"/>
        <v>7326</v>
      </c>
      <c r="H2781" s="36">
        <v>1861</v>
      </c>
      <c r="I2781" s="36">
        <v>3240</v>
      </c>
      <c r="J2781" s="36">
        <v>900</v>
      </c>
      <c r="K2781" s="36">
        <f t="shared" si="586"/>
        <v>13327</v>
      </c>
      <c r="L2781" s="36">
        <v>7500</v>
      </c>
      <c r="M2781" s="9">
        <f t="shared" si="587"/>
        <v>0.56276731447437534</v>
      </c>
      <c r="N2781" s="5">
        <v>1</v>
      </c>
      <c r="O2781" s="10">
        <f t="shared" si="588"/>
        <v>0.56276731447437534</v>
      </c>
    </row>
    <row r="2782" spans="2:15" ht="13.5" hidden="1" customHeight="1">
      <c r="B2782" s="33">
        <f t="shared" si="590"/>
        <v>33</v>
      </c>
      <c r="C2782" s="62" t="s">
        <v>920</v>
      </c>
      <c r="D2782" s="62" t="s">
        <v>725</v>
      </c>
      <c r="F2782" s="61" t="s">
        <v>37</v>
      </c>
      <c r="G2782" s="36">
        <f>333*20</f>
        <v>6660</v>
      </c>
      <c r="H2782" s="36">
        <v>1861</v>
      </c>
      <c r="I2782" s="36">
        <v>3240</v>
      </c>
      <c r="J2782" s="36">
        <v>500</v>
      </c>
      <c r="K2782" s="36">
        <f t="shared" si="586"/>
        <v>12261</v>
      </c>
      <c r="L2782" s="36">
        <v>7500</v>
      </c>
      <c r="M2782" s="9">
        <f t="shared" si="587"/>
        <v>0.61169562025935897</v>
      </c>
      <c r="N2782" s="5">
        <v>1</v>
      </c>
      <c r="O2782" s="10">
        <f t="shared" si="588"/>
        <v>0.61169562025935897</v>
      </c>
    </row>
    <row r="2783" spans="2:15" ht="13.5" hidden="1" customHeight="1">
      <c r="B2783" s="33">
        <f t="shared" si="590"/>
        <v>34</v>
      </c>
      <c r="C2783" s="62" t="s">
        <v>161</v>
      </c>
      <c r="D2783" s="62" t="s">
        <v>102</v>
      </c>
      <c r="F2783" s="61" t="s">
        <v>37</v>
      </c>
      <c r="G2783" s="36">
        <f>333*15</f>
        <v>4995</v>
      </c>
      <c r="H2783" s="36">
        <v>1861</v>
      </c>
      <c r="I2783" s="36">
        <v>3240</v>
      </c>
      <c r="J2783" s="36">
        <v>0</v>
      </c>
      <c r="K2783" s="36">
        <f t="shared" si="586"/>
        <v>10096</v>
      </c>
      <c r="L2783" s="36">
        <v>7500</v>
      </c>
      <c r="M2783" s="9">
        <f t="shared" si="587"/>
        <v>0.74286846275752771</v>
      </c>
      <c r="N2783" s="5">
        <v>1</v>
      </c>
      <c r="O2783" s="10">
        <f t="shared" si="588"/>
        <v>0.74286846275752771</v>
      </c>
    </row>
    <row r="2784" spans="2:15" ht="13.5" hidden="1" customHeight="1">
      <c r="B2784" s="33">
        <f t="shared" si="590"/>
        <v>35</v>
      </c>
      <c r="C2784" s="62" t="s">
        <v>54</v>
      </c>
      <c r="D2784" s="62" t="s">
        <v>63</v>
      </c>
      <c r="F2784" s="61" t="s">
        <v>37</v>
      </c>
      <c r="G2784" s="36">
        <f>333*21</f>
        <v>6993</v>
      </c>
      <c r="H2784" s="36">
        <v>1861</v>
      </c>
      <c r="I2784" s="36">
        <v>3240</v>
      </c>
      <c r="J2784" s="36">
        <v>0</v>
      </c>
      <c r="K2784" s="36">
        <f t="shared" si="586"/>
        <v>12094</v>
      </c>
      <c r="L2784" s="36">
        <v>7500</v>
      </c>
      <c r="M2784" s="9">
        <f t="shared" si="587"/>
        <v>0.62014221928228874</v>
      </c>
      <c r="N2784" s="5">
        <v>1</v>
      </c>
      <c r="O2784" s="10">
        <f t="shared" si="588"/>
        <v>0.62014221928228874</v>
      </c>
    </row>
    <row r="2785" spans="2:15" ht="13.5" hidden="1" customHeight="1">
      <c r="B2785" s="33">
        <f t="shared" si="590"/>
        <v>36</v>
      </c>
      <c r="C2785" s="63" t="s">
        <v>921</v>
      </c>
      <c r="D2785" s="63" t="s">
        <v>849</v>
      </c>
      <c r="F2785" s="64" t="s">
        <v>37</v>
      </c>
      <c r="G2785" s="36">
        <f>333*21</f>
        <v>6993</v>
      </c>
      <c r="H2785" s="36">
        <v>1861</v>
      </c>
      <c r="I2785" s="36">
        <v>3240</v>
      </c>
      <c r="J2785" s="36">
        <v>0</v>
      </c>
      <c r="K2785" s="36">
        <f t="shared" si="586"/>
        <v>12094</v>
      </c>
      <c r="L2785" s="36">
        <v>7500</v>
      </c>
      <c r="M2785" s="9">
        <f t="shared" si="587"/>
        <v>0.62014221928228874</v>
      </c>
      <c r="N2785" s="5">
        <v>1</v>
      </c>
      <c r="O2785" s="10">
        <f t="shared" si="588"/>
        <v>0.62014221928228874</v>
      </c>
    </row>
    <row r="2786" spans="2:15" ht="13.5" hidden="1" customHeight="1">
      <c r="B2786" s="33">
        <f t="shared" si="590"/>
        <v>37</v>
      </c>
      <c r="C2786" s="63" t="s">
        <v>168</v>
      </c>
      <c r="D2786" s="63" t="s">
        <v>824</v>
      </c>
      <c r="F2786" s="64" t="s">
        <v>216</v>
      </c>
      <c r="G2786" s="36">
        <f>300*9</f>
        <v>2700</v>
      </c>
      <c r="H2786" s="36">
        <v>1861</v>
      </c>
      <c r="I2786" s="36">
        <v>3240</v>
      </c>
      <c r="J2786" s="36">
        <v>0</v>
      </c>
      <c r="K2786" s="36">
        <f t="shared" si="586"/>
        <v>7801</v>
      </c>
      <c r="L2786" s="36">
        <v>7500</v>
      </c>
      <c r="M2786" s="9">
        <f t="shared" si="587"/>
        <v>0.96141520317907958</v>
      </c>
      <c r="N2786" s="5">
        <v>1</v>
      </c>
      <c r="O2786" s="10">
        <f t="shared" si="588"/>
        <v>0.96141520317907958</v>
      </c>
    </row>
    <row r="2787" spans="2:15" ht="13.5" hidden="1" customHeight="1">
      <c r="B2787" s="33">
        <f t="shared" si="590"/>
        <v>38</v>
      </c>
      <c r="C2787" s="63" t="s">
        <v>116</v>
      </c>
      <c r="D2787" s="63" t="s">
        <v>864</v>
      </c>
      <c r="F2787" s="64" t="s">
        <v>216</v>
      </c>
      <c r="G2787" s="36">
        <f>300*9</f>
        <v>2700</v>
      </c>
      <c r="H2787" s="36">
        <v>1861</v>
      </c>
      <c r="I2787" s="36">
        <v>3240</v>
      </c>
      <c r="J2787" s="36">
        <v>0</v>
      </c>
      <c r="K2787" s="36">
        <f t="shared" si="586"/>
        <v>7801</v>
      </c>
      <c r="L2787" s="36">
        <v>7500</v>
      </c>
      <c r="M2787" s="9">
        <f t="shared" si="587"/>
        <v>0.96141520317907958</v>
      </c>
      <c r="N2787" s="5">
        <v>1</v>
      </c>
      <c r="O2787" s="10">
        <f t="shared" si="588"/>
        <v>0.96141520317907958</v>
      </c>
    </row>
    <row r="2788" spans="2:15" ht="13.5" hidden="1" customHeight="1">
      <c r="B2788" s="33">
        <f t="shared" si="590"/>
        <v>39</v>
      </c>
      <c r="C2788" s="62" t="s">
        <v>922</v>
      </c>
      <c r="D2788" s="62" t="s">
        <v>726</v>
      </c>
      <c r="F2788" s="61" t="s">
        <v>33</v>
      </c>
      <c r="G2788" s="36">
        <f>333*20</f>
        <v>6660</v>
      </c>
      <c r="H2788" s="36">
        <v>1861</v>
      </c>
      <c r="I2788" s="36">
        <v>3790</v>
      </c>
      <c r="J2788" s="36">
        <v>750</v>
      </c>
      <c r="K2788" s="36">
        <f t="shared" si="586"/>
        <v>13061</v>
      </c>
      <c r="L2788" s="36">
        <v>7500</v>
      </c>
      <c r="M2788" s="9">
        <f t="shared" si="587"/>
        <v>0.57422861955439863</v>
      </c>
      <c r="N2788" s="5">
        <v>1</v>
      </c>
      <c r="O2788" s="10">
        <f t="shared" si="588"/>
        <v>0.57422861955439863</v>
      </c>
    </row>
    <row r="2789" spans="2:15" ht="13.5" hidden="1" customHeight="1">
      <c r="B2789" s="33">
        <f t="shared" si="590"/>
        <v>40</v>
      </c>
      <c r="C2789" s="62" t="s">
        <v>479</v>
      </c>
      <c r="D2789" s="62" t="s">
        <v>731</v>
      </c>
      <c r="F2789" s="61" t="s">
        <v>33</v>
      </c>
      <c r="G2789" s="36">
        <f>300*5</f>
        <v>1500</v>
      </c>
      <c r="H2789" s="36">
        <v>1861</v>
      </c>
      <c r="I2789" s="36">
        <v>3790</v>
      </c>
      <c r="J2789" s="36">
        <v>750</v>
      </c>
      <c r="K2789" s="36">
        <f t="shared" si="586"/>
        <v>7901</v>
      </c>
      <c r="L2789" s="36">
        <v>7500</v>
      </c>
      <c r="M2789" s="9">
        <f t="shared" si="587"/>
        <v>0.94924693076825717</v>
      </c>
      <c r="N2789" s="5">
        <v>1</v>
      </c>
      <c r="O2789" s="10">
        <f t="shared" si="588"/>
        <v>0.94924693076825717</v>
      </c>
    </row>
    <row r="2790" spans="2:15" ht="13.5" hidden="1" customHeight="1">
      <c r="B2790" s="33">
        <f t="shared" si="590"/>
        <v>41</v>
      </c>
      <c r="C2790" s="62" t="s">
        <v>923</v>
      </c>
      <c r="D2790" s="62" t="s">
        <v>741</v>
      </c>
      <c r="F2790" s="61" t="s">
        <v>33</v>
      </c>
      <c r="G2790" s="36">
        <f>333*20</f>
        <v>6660</v>
      </c>
      <c r="H2790" s="36">
        <v>1861</v>
      </c>
      <c r="I2790" s="36">
        <v>3790</v>
      </c>
      <c r="J2790" s="36">
        <v>750</v>
      </c>
      <c r="K2790" s="36">
        <f t="shared" si="586"/>
        <v>13061</v>
      </c>
      <c r="L2790" s="36">
        <v>7500</v>
      </c>
      <c r="M2790" s="9">
        <f t="shared" si="587"/>
        <v>0.57422861955439863</v>
      </c>
      <c r="N2790" s="5">
        <v>1</v>
      </c>
      <c r="O2790" s="10">
        <f t="shared" si="588"/>
        <v>0.57422861955439863</v>
      </c>
    </row>
    <row r="2791" spans="2:15" ht="13.5" hidden="1" customHeight="1">
      <c r="B2791" s="33">
        <f t="shared" si="590"/>
        <v>42</v>
      </c>
      <c r="C2791" s="62" t="s">
        <v>924</v>
      </c>
      <c r="D2791" s="62" t="s">
        <v>753</v>
      </c>
      <c r="F2791" s="61" t="s">
        <v>33</v>
      </c>
      <c r="G2791" s="36">
        <f t="shared" ref="G2791:G2801" si="592">333*20</f>
        <v>6660</v>
      </c>
      <c r="H2791" s="36">
        <v>1861</v>
      </c>
      <c r="I2791" s="36">
        <v>3790</v>
      </c>
      <c r="J2791" s="36">
        <v>750</v>
      </c>
      <c r="K2791" s="36">
        <f t="shared" si="586"/>
        <v>13061</v>
      </c>
      <c r="L2791" s="36">
        <v>7500</v>
      </c>
      <c r="M2791" s="9">
        <f t="shared" si="587"/>
        <v>0.57422861955439863</v>
      </c>
      <c r="N2791" s="5">
        <v>1</v>
      </c>
      <c r="O2791" s="10">
        <f t="shared" si="588"/>
        <v>0.57422861955439863</v>
      </c>
    </row>
    <row r="2792" spans="2:15" ht="13.5" hidden="1" customHeight="1">
      <c r="B2792" s="33">
        <f t="shared" si="590"/>
        <v>43</v>
      </c>
      <c r="C2792" s="62" t="s">
        <v>925</v>
      </c>
      <c r="D2792" s="62" t="s">
        <v>755</v>
      </c>
      <c r="F2792" s="61" t="s">
        <v>33</v>
      </c>
      <c r="G2792" s="36">
        <f t="shared" si="592"/>
        <v>6660</v>
      </c>
      <c r="H2792" s="36">
        <v>1861</v>
      </c>
      <c r="I2792" s="36">
        <v>3790</v>
      </c>
      <c r="J2792" s="36">
        <v>750</v>
      </c>
      <c r="K2792" s="36">
        <f t="shared" si="586"/>
        <v>13061</v>
      </c>
      <c r="L2792" s="36">
        <v>7500</v>
      </c>
      <c r="M2792" s="9">
        <f t="shared" si="587"/>
        <v>0.57422861955439863</v>
      </c>
      <c r="N2792" s="5">
        <v>1</v>
      </c>
      <c r="O2792" s="10">
        <f t="shared" si="588"/>
        <v>0.57422861955439863</v>
      </c>
    </row>
    <row r="2793" spans="2:15" ht="13.5" hidden="1" customHeight="1">
      <c r="B2793" s="33">
        <f t="shared" si="590"/>
        <v>44</v>
      </c>
      <c r="C2793" s="62" t="s">
        <v>51</v>
      </c>
      <c r="D2793" s="62" t="s">
        <v>761</v>
      </c>
      <c r="F2793" s="61" t="s">
        <v>33</v>
      </c>
      <c r="G2793" s="36">
        <f t="shared" si="592"/>
        <v>6660</v>
      </c>
      <c r="H2793" s="36">
        <v>1861</v>
      </c>
      <c r="I2793" s="36">
        <v>3790</v>
      </c>
      <c r="J2793" s="36">
        <v>750</v>
      </c>
      <c r="K2793" s="36">
        <f t="shared" si="586"/>
        <v>13061</v>
      </c>
      <c r="L2793" s="36">
        <v>7500</v>
      </c>
      <c r="M2793" s="9">
        <f t="shared" si="587"/>
        <v>0.57422861955439863</v>
      </c>
      <c r="N2793" s="5">
        <v>1</v>
      </c>
      <c r="O2793" s="10">
        <f t="shared" si="588"/>
        <v>0.57422861955439863</v>
      </c>
    </row>
    <row r="2794" spans="2:15" ht="13.5" hidden="1" customHeight="1">
      <c r="B2794" s="33">
        <f t="shared" si="590"/>
        <v>45</v>
      </c>
      <c r="C2794" s="62" t="s">
        <v>926</v>
      </c>
      <c r="D2794" s="62" t="s">
        <v>771</v>
      </c>
      <c r="F2794" s="61" t="s">
        <v>33</v>
      </c>
      <c r="G2794" s="36">
        <f t="shared" si="592"/>
        <v>6660</v>
      </c>
      <c r="H2794" s="36">
        <v>1861</v>
      </c>
      <c r="I2794" s="36">
        <v>3790</v>
      </c>
      <c r="J2794" s="36">
        <v>750</v>
      </c>
      <c r="K2794" s="36">
        <f t="shared" si="586"/>
        <v>13061</v>
      </c>
      <c r="L2794" s="36">
        <v>7500</v>
      </c>
      <c r="M2794" s="9">
        <f t="shared" si="587"/>
        <v>0.57422861955439863</v>
      </c>
      <c r="N2794" s="5">
        <v>1</v>
      </c>
      <c r="O2794" s="10">
        <f t="shared" si="588"/>
        <v>0.57422861955439863</v>
      </c>
    </row>
    <row r="2795" spans="2:15" ht="13.5" hidden="1" customHeight="1">
      <c r="B2795" s="33">
        <f t="shared" si="590"/>
        <v>46</v>
      </c>
      <c r="C2795" s="62" t="s">
        <v>927</v>
      </c>
      <c r="D2795" s="62" t="s">
        <v>780</v>
      </c>
      <c r="F2795" s="61" t="s">
        <v>33</v>
      </c>
      <c r="G2795" s="36">
        <f t="shared" si="592"/>
        <v>6660</v>
      </c>
      <c r="H2795" s="36">
        <v>1861</v>
      </c>
      <c r="I2795" s="36">
        <v>3790</v>
      </c>
      <c r="J2795" s="36">
        <v>750</v>
      </c>
      <c r="K2795" s="36">
        <f t="shared" si="586"/>
        <v>13061</v>
      </c>
      <c r="L2795" s="36">
        <v>7500</v>
      </c>
      <c r="M2795" s="9">
        <f t="shared" si="587"/>
        <v>0.57422861955439863</v>
      </c>
      <c r="N2795" s="5">
        <v>1</v>
      </c>
      <c r="O2795" s="10">
        <f t="shared" si="588"/>
        <v>0.57422861955439863</v>
      </c>
    </row>
    <row r="2796" spans="2:15" ht="13.5" hidden="1" customHeight="1">
      <c r="B2796" s="33">
        <f t="shared" si="590"/>
        <v>47</v>
      </c>
      <c r="C2796" s="63" t="s">
        <v>347</v>
      </c>
      <c r="D2796" s="63" t="s">
        <v>791</v>
      </c>
      <c r="F2796" s="64" t="s">
        <v>33</v>
      </c>
      <c r="G2796" s="36">
        <f t="shared" si="592"/>
        <v>6660</v>
      </c>
      <c r="H2796" s="36">
        <v>1861</v>
      </c>
      <c r="I2796" s="36">
        <v>3790</v>
      </c>
      <c r="J2796" s="36">
        <v>750</v>
      </c>
      <c r="K2796" s="36">
        <f t="shared" si="586"/>
        <v>13061</v>
      </c>
      <c r="L2796" s="36">
        <v>7500</v>
      </c>
      <c r="M2796" s="9">
        <f t="shared" si="587"/>
        <v>0.57422861955439863</v>
      </c>
      <c r="N2796" s="5">
        <v>1</v>
      </c>
      <c r="O2796" s="10">
        <f t="shared" si="588"/>
        <v>0.57422861955439863</v>
      </c>
    </row>
    <row r="2797" spans="2:15" ht="13.5" hidden="1" customHeight="1">
      <c r="B2797" s="33">
        <f t="shared" si="590"/>
        <v>48</v>
      </c>
      <c r="C2797" s="63" t="s">
        <v>347</v>
      </c>
      <c r="D2797" s="63" t="s">
        <v>792</v>
      </c>
      <c r="F2797" s="64" t="s">
        <v>33</v>
      </c>
      <c r="G2797" s="36">
        <f t="shared" si="592"/>
        <v>6660</v>
      </c>
      <c r="H2797" s="36">
        <v>1861</v>
      </c>
      <c r="I2797" s="36">
        <v>3790</v>
      </c>
      <c r="J2797" s="36">
        <v>750</v>
      </c>
      <c r="K2797" s="36">
        <f t="shared" si="586"/>
        <v>13061</v>
      </c>
      <c r="L2797" s="36">
        <v>7500</v>
      </c>
      <c r="M2797" s="9">
        <f t="shared" si="587"/>
        <v>0.57422861955439863</v>
      </c>
      <c r="N2797" s="5">
        <v>1</v>
      </c>
      <c r="O2797" s="10">
        <f t="shared" si="588"/>
        <v>0.57422861955439863</v>
      </c>
    </row>
    <row r="2798" spans="2:15" ht="13.5" hidden="1" customHeight="1">
      <c r="B2798" s="33">
        <f t="shared" si="590"/>
        <v>49</v>
      </c>
      <c r="C2798" s="63" t="s">
        <v>928</v>
      </c>
      <c r="D2798" s="63" t="s">
        <v>796</v>
      </c>
      <c r="F2798" s="64" t="s">
        <v>33</v>
      </c>
      <c r="G2798" s="36">
        <f t="shared" si="592"/>
        <v>6660</v>
      </c>
      <c r="H2798" s="36">
        <v>1861</v>
      </c>
      <c r="I2798" s="36">
        <v>3790</v>
      </c>
      <c r="J2798" s="36">
        <v>750</v>
      </c>
      <c r="K2798" s="36">
        <f t="shared" si="586"/>
        <v>13061</v>
      </c>
      <c r="L2798" s="36">
        <v>7500</v>
      </c>
      <c r="M2798" s="9">
        <f t="shared" si="587"/>
        <v>0.57422861955439863</v>
      </c>
      <c r="N2798" s="5">
        <v>1</v>
      </c>
      <c r="O2798" s="10">
        <f t="shared" si="588"/>
        <v>0.57422861955439863</v>
      </c>
    </row>
    <row r="2799" spans="2:15" ht="13.5" hidden="1" customHeight="1">
      <c r="B2799" s="33">
        <f t="shared" si="590"/>
        <v>50</v>
      </c>
      <c r="C2799" s="63" t="s">
        <v>82</v>
      </c>
      <c r="D2799" s="63" t="s">
        <v>800</v>
      </c>
      <c r="F2799" s="64" t="s">
        <v>33</v>
      </c>
      <c r="G2799" s="36">
        <f t="shared" si="592"/>
        <v>6660</v>
      </c>
      <c r="H2799" s="36">
        <v>1861</v>
      </c>
      <c r="I2799" s="36">
        <v>3790</v>
      </c>
      <c r="J2799" s="36">
        <v>750</v>
      </c>
      <c r="K2799" s="36">
        <f t="shared" si="586"/>
        <v>13061</v>
      </c>
      <c r="L2799" s="36">
        <v>7500</v>
      </c>
      <c r="M2799" s="9">
        <f t="shared" si="587"/>
        <v>0.57422861955439863</v>
      </c>
      <c r="N2799" s="5">
        <v>1</v>
      </c>
      <c r="O2799" s="10">
        <f t="shared" si="588"/>
        <v>0.57422861955439863</v>
      </c>
    </row>
    <row r="2800" spans="2:15" ht="13.5" hidden="1" customHeight="1">
      <c r="B2800" s="33">
        <f t="shared" si="590"/>
        <v>51</v>
      </c>
      <c r="C2800" s="63" t="s">
        <v>112</v>
      </c>
      <c r="D2800" s="63" t="s">
        <v>858</v>
      </c>
      <c r="F2800" s="64" t="s">
        <v>33</v>
      </c>
      <c r="G2800" s="36">
        <f t="shared" si="592"/>
        <v>6660</v>
      </c>
      <c r="H2800" s="36">
        <v>1861</v>
      </c>
      <c r="I2800" s="36">
        <v>3790</v>
      </c>
      <c r="J2800" s="36">
        <v>750</v>
      </c>
      <c r="K2800" s="36">
        <f t="shared" si="586"/>
        <v>13061</v>
      </c>
      <c r="L2800" s="36">
        <v>7500</v>
      </c>
      <c r="M2800" s="9">
        <f t="shared" si="587"/>
        <v>0.57422861955439863</v>
      </c>
      <c r="N2800" s="5">
        <v>1</v>
      </c>
      <c r="O2800" s="10">
        <f t="shared" si="588"/>
        <v>0.57422861955439863</v>
      </c>
    </row>
    <row r="2801" spans="2:15" ht="13.5" hidden="1" customHeight="1">
      <c r="B2801" s="33">
        <f t="shared" si="590"/>
        <v>52</v>
      </c>
      <c r="C2801" s="63" t="s">
        <v>929</v>
      </c>
      <c r="D2801" s="63" t="s">
        <v>896</v>
      </c>
      <c r="F2801" s="64" t="s">
        <v>33</v>
      </c>
      <c r="G2801" s="36">
        <f t="shared" si="592"/>
        <v>6660</v>
      </c>
      <c r="H2801" s="36">
        <v>1861</v>
      </c>
      <c r="I2801" s="36">
        <v>3790</v>
      </c>
      <c r="J2801" s="36">
        <v>750</v>
      </c>
      <c r="K2801" s="36">
        <f t="shared" si="586"/>
        <v>13061</v>
      </c>
      <c r="L2801" s="36">
        <v>7500</v>
      </c>
      <c r="M2801" s="9">
        <f t="shared" si="587"/>
        <v>0.57422861955439863</v>
      </c>
      <c r="N2801" s="5">
        <v>1</v>
      </c>
      <c r="O2801" s="10">
        <f t="shared" si="588"/>
        <v>0.57422861955439863</v>
      </c>
    </row>
    <row r="2802" spans="2:15" ht="13.5" hidden="1" customHeight="1">
      <c r="B2802" s="33">
        <f t="shared" si="590"/>
        <v>53</v>
      </c>
      <c r="C2802" s="62" t="s">
        <v>930</v>
      </c>
      <c r="D2802" s="62" t="s">
        <v>723</v>
      </c>
      <c r="F2802" s="61" t="s">
        <v>44</v>
      </c>
      <c r="G2802" s="36">
        <f>333*5</f>
        <v>1665</v>
      </c>
      <c r="H2802" s="36">
        <v>1861</v>
      </c>
      <c r="I2802" s="36">
        <v>3240</v>
      </c>
      <c r="J2802" s="36">
        <v>750</v>
      </c>
      <c r="K2802" s="36">
        <f t="shared" si="586"/>
        <v>7516</v>
      </c>
      <c r="L2802" s="36">
        <v>7500</v>
      </c>
      <c r="M2802" s="9">
        <f t="shared" si="587"/>
        <v>0.99787120808940921</v>
      </c>
      <c r="N2802" s="5">
        <v>1</v>
      </c>
      <c r="O2802" s="10">
        <f t="shared" si="588"/>
        <v>0.99787120808940921</v>
      </c>
    </row>
    <row r="2803" spans="2:15" ht="13.5" hidden="1" customHeight="1">
      <c r="B2803" s="33">
        <f t="shared" si="590"/>
        <v>54</v>
      </c>
      <c r="C2803" s="62" t="s">
        <v>931</v>
      </c>
      <c r="D2803" s="62" t="s">
        <v>727</v>
      </c>
      <c r="F2803" s="61" t="s">
        <v>44</v>
      </c>
      <c r="G2803" s="36">
        <f t="shared" ref="G2803:G2806" si="593">333*5</f>
        <v>1665</v>
      </c>
      <c r="H2803" s="36">
        <v>1861</v>
      </c>
      <c r="I2803" s="36">
        <v>3240</v>
      </c>
      <c r="J2803" s="36">
        <v>750</v>
      </c>
      <c r="K2803" s="36">
        <f t="shared" si="586"/>
        <v>7516</v>
      </c>
      <c r="L2803" s="36">
        <v>7500</v>
      </c>
      <c r="M2803" s="9">
        <f t="shared" si="587"/>
        <v>0.99787120808940921</v>
      </c>
      <c r="N2803" s="5">
        <v>1</v>
      </c>
      <c r="O2803" s="10">
        <f t="shared" si="588"/>
        <v>0.99787120808940921</v>
      </c>
    </row>
    <row r="2804" spans="2:15" ht="13.5" hidden="1" customHeight="1">
      <c r="B2804" s="33">
        <f t="shared" si="590"/>
        <v>55</v>
      </c>
      <c r="C2804" s="62" t="s">
        <v>932</v>
      </c>
      <c r="D2804" s="62" t="s">
        <v>730</v>
      </c>
      <c r="F2804" s="61" t="s">
        <v>44</v>
      </c>
      <c r="G2804" s="36">
        <f t="shared" si="593"/>
        <v>1665</v>
      </c>
      <c r="H2804" s="36">
        <v>1861</v>
      </c>
      <c r="I2804" s="36">
        <v>3240</v>
      </c>
      <c r="J2804" s="36">
        <v>750</v>
      </c>
      <c r="K2804" s="36">
        <f t="shared" si="586"/>
        <v>7516</v>
      </c>
      <c r="L2804" s="36">
        <v>7500</v>
      </c>
      <c r="M2804" s="9">
        <f t="shared" si="587"/>
        <v>0.99787120808940921</v>
      </c>
      <c r="N2804" s="5">
        <v>1</v>
      </c>
      <c r="O2804" s="10">
        <f t="shared" si="588"/>
        <v>0.99787120808940921</v>
      </c>
    </row>
    <row r="2805" spans="2:15" ht="13.5" hidden="1" customHeight="1">
      <c r="B2805" s="33">
        <f t="shared" si="590"/>
        <v>56</v>
      </c>
      <c r="C2805" s="62" t="s">
        <v>933</v>
      </c>
      <c r="D2805" s="62" t="s">
        <v>733</v>
      </c>
      <c r="F2805" s="61" t="s">
        <v>44</v>
      </c>
      <c r="G2805" s="36">
        <f t="shared" si="593"/>
        <v>1665</v>
      </c>
      <c r="H2805" s="36">
        <v>1861</v>
      </c>
      <c r="I2805" s="36">
        <v>3240</v>
      </c>
      <c r="J2805" s="36">
        <v>750</v>
      </c>
      <c r="K2805" s="36">
        <f t="shared" si="586"/>
        <v>7516</v>
      </c>
      <c r="L2805" s="36">
        <v>7500</v>
      </c>
      <c r="M2805" s="9">
        <f t="shared" si="587"/>
        <v>0.99787120808940921</v>
      </c>
      <c r="N2805" s="5">
        <v>1</v>
      </c>
      <c r="O2805" s="10">
        <f t="shared" si="588"/>
        <v>0.99787120808940921</v>
      </c>
    </row>
    <row r="2806" spans="2:15" ht="13.5" hidden="1" customHeight="1">
      <c r="B2806" s="33">
        <f t="shared" si="590"/>
        <v>57</v>
      </c>
      <c r="C2806" s="62" t="s">
        <v>340</v>
      </c>
      <c r="D2806" s="62" t="s">
        <v>740</v>
      </c>
      <c r="F2806" s="61" t="s">
        <v>44</v>
      </c>
      <c r="G2806" s="36">
        <f t="shared" si="593"/>
        <v>1665</v>
      </c>
      <c r="H2806" s="36">
        <v>1861</v>
      </c>
      <c r="I2806" s="36">
        <v>3240</v>
      </c>
      <c r="J2806" s="36">
        <v>750</v>
      </c>
      <c r="K2806" s="36">
        <f t="shared" si="586"/>
        <v>7516</v>
      </c>
      <c r="L2806" s="36">
        <v>7500</v>
      </c>
      <c r="M2806" s="9">
        <f t="shared" si="587"/>
        <v>0.99787120808940921</v>
      </c>
      <c r="N2806" s="5">
        <v>1</v>
      </c>
      <c r="O2806" s="10">
        <f t="shared" si="588"/>
        <v>0.99787120808940921</v>
      </c>
    </row>
    <row r="2807" spans="2:15" ht="13.5" hidden="1" customHeight="1">
      <c r="B2807" s="33">
        <f t="shared" si="590"/>
        <v>58</v>
      </c>
      <c r="C2807" s="62" t="s">
        <v>934</v>
      </c>
      <c r="D2807" s="62" t="s">
        <v>750</v>
      </c>
      <c r="F2807" s="61" t="s">
        <v>44</v>
      </c>
      <c r="G2807" s="36">
        <v>0</v>
      </c>
      <c r="H2807" s="36">
        <v>0</v>
      </c>
      <c r="I2807" s="36">
        <v>0</v>
      </c>
      <c r="J2807" s="36">
        <v>0</v>
      </c>
      <c r="K2807" s="36">
        <f t="shared" si="586"/>
        <v>0</v>
      </c>
      <c r="L2807" s="36">
        <v>7500</v>
      </c>
      <c r="M2807" s="9" t="e">
        <f t="shared" si="587"/>
        <v>#DIV/0!</v>
      </c>
      <c r="N2807" s="5">
        <v>1</v>
      </c>
      <c r="O2807" s="10" t="e">
        <f t="shared" si="588"/>
        <v>#DIV/0!</v>
      </c>
    </row>
    <row r="2808" spans="2:15" ht="13.5" hidden="1" customHeight="1">
      <c r="B2808" s="33">
        <f t="shared" si="590"/>
        <v>59</v>
      </c>
      <c r="C2808" s="62" t="s">
        <v>935</v>
      </c>
      <c r="D2808" s="62" t="s">
        <v>752</v>
      </c>
      <c r="F2808" s="61" t="s">
        <v>44</v>
      </c>
      <c r="G2808" s="36">
        <f>333*5</f>
        <v>1665</v>
      </c>
      <c r="H2808" s="36">
        <v>1861</v>
      </c>
      <c r="I2808" s="36">
        <v>3240</v>
      </c>
      <c r="J2808" s="36">
        <v>750</v>
      </c>
      <c r="K2808" s="36">
        <f t="shared" si="586"/>
        <v>7516</v>
      </c>
      <c r="L2808" s="36">
        <v>7500</v>
      </c>
      <c r="M2808" s="9">
        <f t="shared" si="587"/>
        <v>0.99787120808940921</v>
      </c>
      <c r="N2808" s="5">
        <v>1</v>
      </c>
      <c r="O2808" s="10">
        <f t="shared" si="588"/>
        <v>0.99787120808940921</v>
      </c>
    </row>
    <row r="2809" spans="2:15" ht="13.5" hidden="1" customHeight="1">
      <c r="B2809" s="33">
        <f t="shared" si="590"/>
        <v>60</v>
      </c>
      <c r="C2809" s="62" t="s">
        <v>52</v>
      </c>
      <c r="D2809" s="62" t="s">
        <v>763</v>
      </c>
      <c r="F2809" s="61" t="s">
        <v>44</v>
      </c>
      <c r="G2809" s="36">
        <f t="shared" ref="G2809:G2825" si="594">333*5</f>
        <v>1665</v>
      </c>
      <c r="H2809" s="36">
        <v>1861</v>
      </c>
      <c r="I2809" s="36">
        <v>3240</v>
      </c>
      <c r="J2809" s="36">
        <v>750</v>
      </c>
      <c r="K2809" s="36">
        <f t="shared" si="586"/>
        <v>7516</v>
      </c>
      <c r="L2809" s="36">
        <v>7500</v>
      </c>
      <c r="M2809" s="9">
        <f t="shared" si="587"/>
        <v>0.99787120808940921</v>
      </c>
      <c r="N2809" s="5">
        <v>1</v>
      </c>
      <c r="O2809" s="10">
        <f t="shared" si="588"/>
        <v>0.99787120808940921</v>
      </c>
    </row>
    <row r="2810" spans="2:15" ht="13.5" hidden="1" customHeight="1">
      <c r="B2810" s="33">
        <f t="shared" si="590"/>
        <v>61</v>
      </c>
      <c r="C2810" s="62" t="s">
        <v>344</v>
      </c>
      <c r="D2810" s="62" t="s">
        <v>766</v>
      </c>
      <c r="F2810" s="61" t="s">
        <v>44</v>
      </c>
      <c r="G2810" s="36">
        <f t="shared" si="594"/>
        <v>1665</v>
      </c>
      <c r="H2810" s="36">
        <v>1861</v>
      </c>
      <c r="I2810" s="36">
        <v>3240</v>
      </c>
      <c r="J2810" s="36">
        <v>750</v>
      </c>
      <c r="K2810" s="36">
        <f t="shared" si="586"/>
        <v>7516</v>
      </c>
      <c r="L2810" s="36">
        <v>7500</v>
      </c>
      <c r="M2810" s="9">
        <f t="shared" si="587"/>
        <v>0.99787120808940921</v>
      </c>
      <c r="N2810" s="5">
        <v>1</v>
      </c>
      <c r="O2810" s="10">
        <f t="shared" si="588"/>
        <v>0.99787120808940921</v>
      </c>
    </row>
    <row r="2811" spans="2:15" ht="13.5" hidden="1" customHeight="1">
      <c r="B2811" s="33">
        <f t="shared" si="590"/>
        <v>62</v>
      </c>
      <c r="C2811" s="62" t="s">
        <v>232</v>
      </c>
      <c r="D2811" s="62" t="s">
        <v>772</v>
      </c>
      <c r="F2811" s="61" t="s">
        <v>44</v>
      </c>
      <c r="G2811" s="36">
        <f t="shared" si="594"/>
        <v>1665</v>
      </c>
      <c r="H2811" s="36">
        <v>1861</v>
      </c>
      <c r="I2811" s="36">
        <v>3240</v>
      </c>
      <c r="J2811" s="36">
        <v>750</v>
      </c>
      <c r="K2811" s="36">
        <f t="shared" si="586"/>
        <v>7516</v>
      </c>
      <c r="L2811" s="36">
        <v>7500</v>
      </c>
      <c r="M2811" s="9">
        <f t="shared" si="587"/>
        <v>0.99787120808940921</v>
      </c>
      <c r="N2811" s="5">
        <v>1</v>
      </c>
      <c r="O2811" s="10">
        <f t="shared" si="588"/>
        <v>0.99787120808940921</v>
      </c>
    </row>
    <row r="2812" spans="2:15" ht="13.5" hidden="1" customHeight="1">
      <c r="B2812" s="33">
        <f t="shared" si="590"/>
        <v>63</v>
      </c>
      <c r="C2812" s="63" t="s">
        <v>109</v>
      </c>
      <c r="D2812" s="63" t="s">
        <v>793</v>
      </c>
      <c r="F2812" s="64" t="s">
        <v>44</v>
      </c>
      <c r="G2812" s="36">
        <f t="shared" si="594"/>
        <v>1665</v>
      </c>
      <c r="H2812" s="36">
        <v>1861</v>
      </c>
      <c r="I2812" s="36">
        <v>3240</v>
      </c>
      <c r="J2812" s="36">
        <v>750</v>
      </c>
      <c r="K2812" s="36">
        <f t="shared" si="586"/>
        <v>7516</v>
      </c>
      <c r="L2812" s="36">
        <v>7500</v>
      </c>
      <c r="M2812" s="9">
        <f t="shared" si="587"/>
        <v>0.99787120808940921</v>
      </c>
      <c r="N2812" s="5">
        <v>1</v>
      </c>
      <c r="O2812" s="10">
        <f t="shared" si="588"/>
        <v>0.99787120808940921</v>
      </c>
    </row>
    <row r="2813" spans="2:15" ht="13.5" hidden="1" customHeight="1">
      <c r="B2813" s="33">
        <f t="shared" si="590"/>
        <v>64</v>
      </c>
      <c r="C2813" s="63" t="s">
        <v>56</v>
      </c>
      <c r="D2813" s="63" t="s">
        <v>803</v>
      </c>
      <c r="F2813" s="64" t="s">
        <v>44</v>
      </c>
      <c r="G2813" s="36">
        <f t="shared" si="594"/>
        <v>1665</v>
      </c>
      <c r="H2813" s="36">
        <v>1861</v>
      </c>
      <c r="I2813" s="36">
        <v>3240</v>
      </c>
      <c r="J2813" s="36">
        <v>750</v>
      </c>
      <c r="K2813" s="36">
        <f t="shared" si="586"/>
        <v>7516</v>
      </c>
      <c r="L2813" s="36">
        <v>7500</v>
      </c>
      <c r="M2813" s="9">
        <f t="shared" si="587"/>
        <v>0.99787120808940921</v>
      </c>
      <c r="N2813" s="5">
        <v>1</v>
      </c>
      <c r="O2813" s="10">
        <f t="shared" si="588"/>
        <v>0.99787120808940921</v>
      </c>
    </row>
    <row r="2814" spans="2:15" ht="13.5" hidden="1" customHeight="1">
      <c r="B2814" s="33">
        <f t="shared" si="590"/>
        <v>65</v>
      </c>
      <c r="C2814" s="63" t="s">
        <v>57</v>
      </c>
      <c r="D2814" s="63" t="s">
        <v>804</v>
      </c>
      <c r="F2814" s="64" t="s">
        <v>44</v>
      </c>
      <c r="G2814" s="36">
        <f t="shared" si="594"/>
        <v>1665</v>
      </c>
      <c r="H2814" s="36">
        <v>1861</v>
      </c>
      <c r="I2814" s="36">
        <v>3240</v>
      </c>
      <c r="J2814" s="36">
        <v>750</v>
      </c>
      <c r="K2814" s="36">
        <f t="shared" si="586"/>
        <v>7516</v>
      </c>
      <c r="L2814" s="36">
        <v>7500</v>
      </c>
      <c r="M2814" s="9">
        <f t="shared" si="587"/>
        <v>0.99787120808940921</v>
      </c>
      <c r="N2814" s="5">
        <v>1</v>
      </c>
      <c r="O2814" s="10">
        <f t="shared" si="588"/>
        <v>0.99787120808940921</v>
      </c>
    </row>
    <row r="2815" spans="2:15" ht="13.5" hidden="1" customHeight="1">
      <c r="B2815" s="33">
        <f t="shared" si="590"/>
        <v>66</v>
      </c>
      <c r="C2815" s="63" t="s">
        <v>936</v>
      </c>
      <c r="D2815" s="63" t="s">
        <v>806</v>
      </c>
      <c r="F2815" s="64" t="s">
        <v>44</v>
      </c>
      <c r="G2815" s="36">
        <f t="shared" si="594"/>
        <v>1665</v>
      </c>
      <c r="H2815" s="36">
        <v>1861</v>
      </c>
      <c r="I2815" s="36">
        <v>3240</v>
      </c>
      <c r="J2815" s="36">
        <v>750</v>
      </c>
      <c r="K2815" s="36">
        <f t="shared" si="586"/>
        <v>7516</v>
      </c>
      <c r="L2815" s="36">
        <v>7500</v>
      </c>
      <c r="M2815" s="9">
        <f t="shared" si="587"/>
        <v>0.99787120808940921</v>
      </c>
      <c r="N2815" s="5">
        <v>1</v>
      </c>
      <c r="O2815" s="10">
        <f t="shared" si="588"/>
        <v>0.99787120808940921</v>
      </c>
    </row>
    <row r="2816" spans="2:15" ht="13.5" hidden="1" customHeight="1">
      <c r="B2816" s="33">
        <f t="shared" ref="B2816:B2879" si="595">+B2815+1</f>
        <v>67</v>
      </c>
      <c r="C2816" s="63" t="s">
        <v>937</v>
      </c>
      <c r="D2816" s="63" t="s">
        <v>807</v>
      </c>
      <c r="F2816" s="64" t="s">
        <v>44</v>
      </c>
      <c r="G2816" s="36">
        <f t="shared" si="594"/>
        <v>1665</v>
      </c>
      <c r="H2816" s="36">
        <v>1861</v>
      </c>
      <c r="I2816" s="36">
        <v>3240</v>
      </c>
      <c r="J2816" s="36">
        <v>750</v>
      </c>
      <c r="K2816" s="36">
        <f t="shared" si="586"/>
        <v>7516</v>
      </c>
      <c r="L2816" s="36">
        <v>7500</v>
      </c>
      <c r="M2816" s="9">
        <f t="shared" si="587"/>
        <v>0.99787120808940921</v>
      </c>
      <c r="N2816" s="5">
        <v>1</v>
      </c>
      <c r="O2816" s="10">
        <f t="shared" si="588"/>
        <v>0.99787120808940921</v>
      </c>
    </row>
    <row r="2817" spans="2:15" ht="13.5" hidden="1" customHeight="1">
      <c r="B2817" s="33">
        <f t="shared" si="595"/>
        <v>68</v>
      </c>
      <c r="C2817" s="63" t="s">
        <v>938</v>
      </c>
      <c r="D2817" s="63" t="s">
        <v>813</v>
      </c>
      <c r="F2817" s="64" t="s">
        <v>44</v>
      </c>
      <c r="G2817" s="36">
        <f t="shared" si="594"/>
        <v>1665</v>
      </c>
      <c r="H2817" s="36">
        <v>1861</v>
      </c>
      <c r="I2817" s="36">
        <v>3240</v>
      </c>
      <c r="J2817" s="36">
        <v>750</v>
      </c>
      <c r="K2817" s="36">
        <f t="shared" si="586"/>
        <v>7516</v>
      </c>
      <c r="L2817" s="36">
        <v>7500</v>
      </c>
      <c r="M2817" s="9">
        <f t="shared" si="587"/>
        <v>0.99787120808940921</v>
      </c>
      <c r="N2817" s="5">
        <v>1</v>
      </c>
      <c r="O2817" s="10">
        <f t="shared" si="588"/>
        <v>0.99787120808940921</v>
      </c>
    </row>
    <row r="2818" spans="2:15" ht="13.5" hidden="1" customHeight="1">
      <c r="B2818" s="33">
        <f t="shared" si="595"/>
        <v>69</v>
      </c>
      <c r="C2818" s="63" t="s">
        <v>939</v>
      </c>
      <c r="D2818" s="63" t="s">
        <v>762</v>
      </c>
      <c r="F2818" s="64" t="s">
        <v>44</v>
      </c>
      <c r="G2818" s="36">
        <f t="shared" si="594"/>
        <v>1665</v>
      </c>
      <c r="H2818" s="36">
        <v>1861</v>
      </c>
      <c r="I2818" s="36">
        <v>3240</v>
      </c>
      <c r="J2818" s="36">
        <v>750</v>
      </c>
      <c r="K2818" s="36">
        <f t="shared" si="586"/>
        <v>7516</v>
      </c>
      <c r="L2818" s="36">
        <v>7500</v>
      </c>
      <c r="M2818" s="9">
        <f t="shared" si="587"/>
        <v>0.99787120808940921</v>
      </c>
      <c r="N2818" s="5">
        <v>1</v>
      </c>
      <c r="O2818" s="10">
        <f t="shared" si="588"/>
        <v>0.99787120808940921</v>
      </c>
    </row>
    <row r="2819" spans="2:15" ht="13.5" hidden="1" customHeight="1">
      <c r="B2819" s="33">
        <f t="shared" si="595"/>
        <v>70</v>
      </c>
      <c r="C2819" s="63" t="s">
        <v>167</v>
      </c>
      <c r="D2819" s="63" t="s">
        <v>821</v>
      </c>
      <c r="F2819" s="64" t="s">
        <v>44</v>
      </c>
      <c r="G2819" s="36">
        <f t="shared" si="594"/>
        <v>1665</v>
      </c>
      <c r="H2819" s="36">
        <v>1861</v>
      </c>
      <c r="I2819" s="36">
        <v>3240</v>
      </c>
      <c r="J2819" s="36">
        <v>750</v>
      </c>
      <c r="K2819" s="36">
        <f t="shared" si="586"/>
        <v>7516</v>
      </c>
      <c r="L2819" s="36">
        <v>7500</v>
      </c>
      <c r="M2819" s="9">
        <f t="shared" si="587"/>
        <v>0.99787120808940921</v>
      </c>
      <c r="N2819" s="5">
        <v>1</v>
      </c>
      <c r="O2819" s="10">
        <f t="shared" si="588"/>
        <v>0.99787120808940921</v>
      </c>
    </row>
    <row r="2820" spans="2:15" ht="13.5" hidden="1" customHeight="1">
      <c r="B2820" s="33">
        <f t="shared" si="595"/>
        <v>71</v>
      </c>
      <c r="C2820" s="63" t="s">
        <v>940</v>
      </c>
      <c r="D2820" s="63" t="s">
        <v>830</v>
      </c>
      <c r="F2820" s="64" t="s">
        <v>44</v>
      </c>
      <c r="G2820" s="36">
        <f t="shared" si="594"/>
        <v>1665</v>
      </c>
      <c r="H2820" s="36">
        <v>1861</v>
      </c>
      <c r="I2820" s="36">
        <v>3240</v>
      </c>
      <c r="J2820" s="36">
        <v>750</v>
      </c>
      <c r="K2820" s="36">
        <f t="shared" si="586"/>
        <v>7516</v>
      </c>
      <c r="L2820" s="36">
        <v>7500</v>
      </c>
      <c r="M2820" s="9">
        <f t="shared" si="587"/>
        <v>0.99787120808940921</v>
      </c>
      <c r="N2820" s="5">
        <v>1</v>
      </c>
      <c r="O2820" s="10">
        <f t="shared" si="588"/>
        <v>0.99787120808940921</v>
      </c>
    </row>
    <row r="2821" spans="2:15" ht="13.5" hidden="1" customHeight="1">
      <c r="B2821" s="33">
        <f t="shared" si="595"/>
        <v>72</v>
      </c>
      <c r="C2821" s="63" t="s">
        <v>941</v>
      </c>
      <c r="D2821" s="63" t="s">
        <v>838</v>
      </c>
      <c r="F2821" s="64" t="s">
        <v>44</v>
      </c>
      <c r="G2821" s="36">
        <f t="shared" si="594"/>
        <v>1665</v>
      </c>
      <c r="H2821" s="36">
        <v>1861</v>
      </c>
      <c r="I2821" s="36">
        <v>3240</v>
      </c>
      <c r="J2821" s="36">
        <v>750</v>
      </c>
      <c r="K2821" s="36">
        <f t="shared" si="586"/>
        <v>7516</v>
      </c>
      <c r="L2821" s="36">
        <v>7500</v>
      </c>
      <c r="M2821" s="9">
        <f t="shared" si="587"/>
        <v>0.99787120808940921</v>
      </c>
      <c r="N2821" s="5">
        <v>1</v>
      </c>
      <c r="O2821" s="10">
        <f t="shared" si="588"/>
        <v>0.99787120808940921</v>
      </c>
    </row>
    <row r="2822" spans="2:15" ht="13.5" hidden="1" customHeight="1">
      <c r="B2822" s="33">
        <f t="shared" si="595"/>
        <v>73</v>
      </c>
      <c r="C2822" s="63" t="s">
        <v>116</v>
      </c>
      <c r="D2822" s="63" t="s">
        <v>865</v>
      </c>
      <c r="F2822" s="64" t="s">
        <v>44</v>
      </c>
      <c r="G2822" s="36">
        <f t="shared" si="594"/>
        <v>1665</v>
      </c>
      <c r="H2822" s="36">
        <v>1861</v>
      </c>
      <c r="I2822" s="36">
        <v>3240</v>
      </c>
      <c r="J2822" s="36">
        <v>750</v>
      </c>
      <c r="K2822" s="36">
        <f t="shared" si="586"/>
        <v>7516</v>
      </c>
      <c r="L2822" s="36">
        <v>7500</v>
      </c>
      <c r="M2822" s="9">
        <f t="shared" si="587"/>
        <v>0.99787120808940921</v>
      </c>
      <c r="N2822" s="5">
        <v>1</v>
      </c>
      <c r="O2822" s="10">
        <f t="shared" si="588"/>
        <v>0.99787120808940921</v>
      </c>
    </row>
    <row r="2823" spans="2:15" ht="13.5" hidden="1" customHeight="1">
      <c r="B2823" s="33">
        <f t="shared" si="595"/>
        <v>74</v>
      </c>
      <c r="C2823" s="63" t="s">
        <v>942</v>
      </c>
      <c r="D2823" s="63" t="s">
        <v>876</v>
      </c>
      <c r="F2823" s="64" t="s">
        <v>44</v>
      </c>
      <c r="G2823" s="36">
        <f t="shared" si="594"/>
        <v>1665</v>
      </c>
      <c r="H2823" s="36">
        <v>1861</v>
      </c>
      <c r="I2823" s="36">
        <v>3240</v>
      </c>
      <c r="J2823" s="36">
        <v>750</v>
      </c>
      <c r="K2823" s="36">
        <f t="shared" si="586"/>
        <v>7516</v>
      </c>
      <c r="L2823" s="36">
        <v>7500</v>
      </c>
      <c r="M2823" s="9">
        <f t="shared" si="587"/>
        <v>0.99787120808940921</v>
      </c>
      <c r="N2823" s="5">
        <v>1</v>
      </c>
      <c r="O2823" s="10">
        <f t="shared" si="588"/>
        <v>0.99787120808940921</v>
      </c>
    </row>
    <row r="2824" spans="2:15" ht="13.5" hidden="1" customHeight="1">
      <c r="B2824" s="33">
        <f t="shared" si="595"/>
        <v>75</v>
      </c>
      <c r="C2824" s="63" t="s">
        <v>113</v>
      </c>
      <c r="D2824" s="63" t="s">
        <v>883</v>
      </c>
      <c r="F2824" s="64" t="s">
        <v>44</v>
      </c>
      <c r="G2824" s="36">
        <f t="shared" si="594"/>
        <v>1665</v>
      </c>
      <c r="H2824" s="36">
        <v>1861</v>
      </c>
      <c r="I2824" s="36">
        <v>3240</v>
      </c>
      <c r="J2824" s="36">
        <v>750</v>
      </c>
      <c r="K2824" s="36">
        <f t="shared" ref="K2824:K2887" si="596">SUM(G2824:J2824)</f>
        <v>7516</v>
      </c>
      <c r="L2824" s="36">
        <v>7500</v>
      </c>
      <c r="M2824" s="9">
        <f t="shared" ref="M2824:M2887" si="597">L2824/K2824</f>
        <v>0.99787120808940921</v>
      </c>
      <c r="N2824" s="5">
        <v>1</v>
      </c>
      <c r="O2824" s="10">
        <f t="shared" ref="O2824:O2887" si="598">N2824*M2824</f>
        <v>0.99787120808940921</v>
      </c>
    </row>
    <row r="2825" spans="2:15" ht="13.5" hidden="1" customHeight="1">
      <c r="B2825" s="33">
        <f t="shared" si="595"/>
        <v>76</v>
      </c>
      <c r="C2825" s="63" t="s">
        <v>943</v>
      </c>
      <c r="D2825" s="63" t="s">
        <v>891</v>
      </c>
      <c r="F2825" s="64" t="s">
        <v>44</v>
      </c>
      <c r="G2825" s="36">
        <f t="shared" si="594"/>
        <v>1665</v>
      </c>
      <c r="H2825" s="36">
        <v>1861</v>
      </c>
      <c r="I2825" s="36">
        <v>3240</v>
      </c>
      <c r="J2825" s="36">
        <v>750</v>
      </c>
      <c r="K2825" s="36">
        <f t="shared" si="596"/>
        <v>7516</v>
      </c>
      <c r="L2825" s="36">
        <v>7500</v>
      </c>
      <c r="M2825" s="9">
        <f t="shared" si="597"/>
        <v>0.99787120808940921</v>
      </c>
      <c r="N2825" s="5">
        <v>1</v>
      </c>
      <c r="O2825" s="10">
        <f t="shared" si="598"/>
        <v>0.99787120808940921</v>
      </c>
    </row>
    <row r="2826" spans="2:15" ht="13.5" hidden="1" customHeight="1">
      <c r="B2826" s="33">
        <f t="shared" si="595"/>
        <v>77</v>
      </c>
      <c r="C2826" s="62" t="s">
        <v>48</v>
      </c>
      <c r="D2826" s="62" t="s">
        <v>724</v>
      </c>
      <c r="F2826" s="61" t="s">
        <v>28</v>
      </c>
      <c r="G2826" s="36">
        <f>300*19</f>
        <v>5700</v>
      </c>
      <c r="H2826" s="36">
        <v>1861</v>
      </c>
      <c r="I2826" s="36">
        <v>3240</v>
      </c>
      <c r="J2826" s="36">
        <v>750</v>
      </c>
      <c r="K2826" s="36">
        <f t="shared" si="596"/>
        <v>11551</v>
      </c>
      <c r="L2826" s="36">
        <v>7500</v>
      </c>
      <c r="M2826" s="9">
        <f t="shared" si="597"/>
        <v>0.64929443338239112</v>
      </c>
      <c r="N2826" s="5">
        <v>1</v>
      </c>
      <c r="O2826" s="10">
        <f t="shared" si="598"/>
        <v>0.64929443338239112</v>
      </c>
    </row>
    <row r="2827" spans="2:15" ht="13.5" hidden="1" customHeight="1">
      <c r="B2827" s="33">
        <f t="shared" si="595"/>
        <v>78</v>
      </c>
      <c r="C2827" s="62" t="s">
        <v>944</v>
      </c>
      <c r="D2827" s="62" t="s">
        <v>744</v>
      </c>
      <c r="F2827" s="61" t="s">
        <v>28</v>
      </c>
      <c r="G2827" s="36">
        <f t="shared" ref="G2827:G2830" si="599">300*19</f>
        <v>5700</v>
      </c>
      <c r="H2827" s="36">
        <v>1861</v>
      </c>
      <c r="I2827" s="36">
        <v>3240</v>
      </c>
      <c r="J2827" s="36">
        <v>750</v>
      </c>
      <c r="K2827" s="36">
        <f t="shared" si="596"/>
        <v>11551</v>
      </c>
      <c r="L2827" s="36">
        <v>7500</v>
      </c>
      <c r="M2827" s="9">
        <f t="shared" si="597"/>
        <v>0.64929443338239112</v>
      </c>
      <c r="N2827" s="5">
        <v>1</v>
      </c>
      <c r="O2827" s="10">
        <f t="shared" si="598"/>
        <v>0.64929443338239112</v>
      </c>
    </row>
    <row r="2828" spans="2:15" ht="13.5" hidden="1" customHeight="1">
      <c r="B2828" s="33">
        <f t="shared" si="595"/>
        <v>79</v>
      </c>
      <c r="C2828" s="62" t="s">
        <v>80</v>
      </c>
      <c r="D2828" s="62" t="s">
        <v>784</v>
      </c>
      <c r="F2828" s="61" t="s">
        <v>28</v>
      </c>
      <c r="G2828" s="36">
        <f t="shared" si="599"/>
        <v>5700</v>
      </c>
      <c r="H2828" s="36">
        <v>1861</v>
      </c>
      <c r="I2828" s="36">
        <v>3240</v>
      </c>
      <c r="J2828" s="36">
        <v>750</v>
      </c>
      <c r="K2828" s="36">
        <f t="shared" si="596"/>
        <v>11551</v>
      </c>
      <c r="L2828" s="36">
        <v>7500</v>
      </c>
      <c r="M2828" s="9">
        <f t="shared" si="597"/>
        <v>0.64929443338239112</v>
      </c>
      <c r="N2828" s="5">
        <v>1</v>
      </c>
      <c r="O2828" s="10">
        <f t="shared" si="598"/>
        <v>0.64929443338239112</v>
      </c>
    </row>
    <row r="2829" spans="2:15" ht="13.5" hidden="1" customHeight="1">
      <c r="B2829" s="33">
        <f t="shared" si="595"/>
        <v>80</v>
      </c>
      <c r="C2829" s="63" t="s">
        <v>82</v>
      </c>
      <c r="D2829" s="63" t="s">
        <v>799</v>
      </c>
      <c r="F2829" s="64" t="s">
        <v>28</v>
      </c>
      <c r="G2829" s="36">
        <f t="shared" si="599"/>
        <v>5700</v>
      </c>
      <c r="H2829" s="36">
        <v>1861</v>
      </c>
      <c r="I2829" s="36">
        <v>3240</v>
      </c>
      <c r="J2829" s="36">
        <v>750</v>
      </c>
      <c r="K2829" s="36">
        <f t="shared" si="596"/>
        <v>11551</v>
      </c>
      <c r="L2829" s="36">
        <v>7500</v>
      </c>
      <c r="M2829" s="9">
        <f t="shared" si="597"/>
        <v>0.64929443338239112</v>
      </c>
      <c r="N2829" s="5">
        <v>1</v>
      </c>
      <c r="O2829" s="10">
        <f t="shared" si="598"/>
        <v>0.64929443338239112</v>
      </c>
    </row>
    <row r="2830" spans="2:15" ht="13.5" hidden="1" customHeight="1">
      <c r="B2830" s="33">
        <f t="shared" si="595"/>
        <v>81</v>
      </c>
      <c r="C2830" s="63" t="s">
        <v>71</v>
      </c>
      <c r="D2830" s="63" t="s">
        <v>879</v>
      </c>
      <c r="F2830" s="64" t="s">
        <v>28</v>
      </c>
      <c r="G2830" s="36">
        <f t="shared" si="599"/>
        <v>5700</v>
      </c>
      <c r="H2830" s="36">
        <v>1861</v>
      </c>
      <c r="I2830" s="36">
        <v>3240</v>
      </c>
      <c r="J2830" s="36">
        <v>750</v>
      </c>
      <c r="K2830" s="36">
        <f t="shared" si="596"/>
        <v>11551</v>
      </c>
      <c r="L2830" s="36">
        <v>7500</v>
      </c>
      <c r="M2830" s="9">
        <f t="shared" si="597"/>
        <v>0.64929443338239112</v>
      </c>
      <c r="N2830" s="5">
        <v>1</v>
      </c>
      <c r="O2830" s="10">
        <f t="shared" si="598"/>
        <v>0.64929443338239112</v>
      </c>
    </row>
    <row r="2831" spans="2:15" ht="13.5" hidden="1" customHeight="1">
      <c r="B2831" s="33">
        <f t="shared" si="595"/>
        <v>82</v>
      </c>
      <c r="C2831" s="63" t="s">
        <v>945</v>
      </c>
      <c r="D2831" s="63" t="s">
        <v>802</v>
      </c>
      <c r="F2831" s="64" t="s">
        <v>693</v>
      </c>
      <c r="G2831" s="36">
        <v>0</v>
      </c>
      <c r="H2831" s="36">
        <v>0</v>
      </c>
      <c r="I2831" s="36">
        <v>0</v>
      </c>
      <c r="J2831" s="36">
        <v>0</v>
      </c>
      <c r="K2831" s="36">
        <f t="shared" si="596"/>
        <v>0</v>
      </c>
      <c r="L2831" s="36">
        <v>7500</v>
      </c>
      <c r="M2831" s="9" t="e">
        <f t="shared" si="597"/>
        <v>#DIV/0!</v>
      </c>
      <c r="N2831" s="5">
        <v>1</v>
      </c>
      <c r="O2831" s="10" t="e">
        <f t="shared" si="598"/>
        <v>#DIV/0!</v>
      </c>
    </row>
    <row r="2832" spans="2:15" ht="13.5" hidden="1" customHeight="1">
      <c r="B2832" s="33">
        <f t="shared" si="595"/>
        <v>83</v>
      </c>
      <c r="C2832" s="63" t="s">
        <v>946</v>
      </c>
      <c r="D2832" s="63" t="s">
        <v>808</v>
      </c>
      <c r="F2832" s="64" t="s">
        <v>214</v>
      </c>
      <c r="G2832" s="36">
        <f>333*20</f>
        <v>6660</v>
      </c>
      <c r="H2832" s="36">
        <v>1861</v>
      </c>
      <c r="I2832" s="36">
        <v>3790</v>
      </c>
      <c r="J2832" s="36">
        <v>750</v>
      </c>
      <c r="K2832" s="36">
        <f t="shared" si="596"/>
        <v>13061</v>
      </c>
      <c r="L2832" s="36">
        <v>7500</v>
      </c>
      <c r="M2832" s="9">
        <f t="shared" si="597"/>
        <v>0.57422861955439863</v>
      </c>
      <c r="N2832" s="5">
        <v>1</v>
      </c>
      <c r="O2832" s="10">
        <f t="shared" si="598"/>
        <v>0.57422861955439863</v>
      </c>
    </row>
    <row r="2833" spans="2:15" ht="13.5" hidden="1" customHeight="1">
      <c r="B2833" s="33">
        <f t="shared" si="595"/>
        <v>84</v>
      </c>
      <c r="C2833" s="63" t="s">
        <v>947</v>
      </c>
      <c r="D2833" s="63" t="s">
        <v>811</v>
      </c>
      <c r="F2833" s="64" t="s">
        <v>214</v>
      </c>
      <c r="G2833" s="36">
        <f t="shared" ref="G2833:G2835" si="600">333*20</f>
        <v>6660</v>
      </c>
      <c r="H2833" s="36">
        <v>1861</v>
      </c>
      <c r="I2833" s="36">
        <v>3790</v>
      </c>
      <c r="J2833" s="36">
        <v>750</v>
      </c>
      <c r="K2833" s="36">
        <f t="shared" si="596"/>
        <v>13061</v>
      </c>
      <c r="L2833" s="36">
        <v>7500</v>
      </c>
      <c r="M2833" s="9">
        <f t="shared" si="597"/>
        <v>0.57422861955439863</v>
      </c>
      <c r="N2833" s="5">
        <v>1</v>
      </c>
      <c r="O2833" s="10">
        <f t="shared" si="598"/>
        <v>0.57422861955439863</v>
      </c>
    </row>
    <row r="2834" spans="2:15" ht="13.5" hidden="1" customHeight="1">
      <c r="B2834" s="33">
        <f t="shared" si="595"/>
        <v>85</v>
      </c>
      <c r="C2834" s="63" t="s">
        <v>948</v>
      </c>
      <c r="D2834" s="63" t="s">
        <v>819</v>
      </c>
      <c r="F2834" s="64" t="s">
        <v>214</v>
      </c>
      <c r="G2834" s="36">
        <f t="shared" si="600"/>
        <v>6660</v>
      </c>
      <c r="H2834" s="36">
        <v>1861</v>
      </c>
      <c r="I2834" s="36">
        <v>3790</v>
      </c>
      <c r="J2834" s="36">
        <v>750</v>
      </c>
      <c r="K2834" s="36">
        <f t="shared" si="596"/>
        <v>13061</v>
      </c>
      <c r="L2834" s="36">
        <v>7500</v>
      </c>
      <c r="M2834" s="9">
        <f t="shared" si="597"/>
        <v>0.57422861955439863</v>
      </c>
      <c r="N2834" s="5">
        <v>1</v>
      </c>
      <c r="O2834" s="10">
        <f t="shared" si="598"/>
        <v>0.57422861955439863</v>
      </c>
    </row>
    <row r="2835" spans="2:15" ht="13.5" hidden="1" customHeight="1">
      <c r="B2835" s="33">
        <f t="shared" si="595"/>
        <v>86</v>
      </c>
      <c r="C2835" s="63" t="s">
        <v>86</v>
      </c>
      <c r="D2835" s="63" t="s">
        <v>833</v>
      </c>
      <c r="F2835" s="64" t="s">
        <v>214</v>
      </c>
      <c r="G2835" s="36">
        <f t="shared" si="600"/>
        <v>6660</v>
      </c>
      <c r="H2835" s="36">
        <v>1861</v>
      </c>
      <c r="I2835" s="36">
        <v>3790</v>
      </c>
      <c r="J2835" s="36">
        <v>750</v>
      </c>
      <c r="K2835" s="36">
        <f t="shared" si="596"/>
        <v>13061</v>
      </c>
      <c r="L2835" s="36">
        <v>7500</v>
      </c>
      <c r="M2835" s="9">
        <f t="shared" si="597"/>
        <v>0.57422861955439863</v>
      </c>
      <c r="N2835" s="5">
        <v>1</v>
      </c>
      <c r="O2835" s="10">
        <f t="shared" si="598"/>
        <v>0.57422861955439863</v>
      </c>
    </row>
    <row r="2836" spans="2:15" ht="13.5" hidden="1" customHeight="1">
      <c r="B2836" s="33">
        <f t="shared" si="595"/>
        <v>87</v>
      </c>
      <c r="C2836" s="62" t="s">
        <v>949</v>
      </c>
      <c r="D2836" s="62" t="s">
        <v>773</v>
      </c>
      <c r="F2836" s="61" t="s">
        <v>327</v>
      </c>
      <c r="G2836" s="36">
        <v>0</v>
      </c>
      <c r="H2836" s="36">
        <v>0</v>
      </c>
      <c r="I2836" s="36">
        <v>0</v>
      </c>
      <c r="J2836" s="36">
        <v>0</v>
      </c>
      <c r="K2836" s="36">
        <f t="shared" si="596"/>
        <v>0</v>
      </c>
      <c r="L2836" s="36">
        <v>7500</v>
      </c>
      <c r="M2836" s="9" t="e">
        <f t="shared" si="597"/>
        <v>#DIV/0!</v>
      </c>
      <c r="N2836" s="5">
        <v>1</v>
      </c>
      <c r="O2836" s="10" t="e">
        <f t="shared" si="598"/>
        <v>#DIV/0!</v>
      </c>
    </row>
    <row r="2837" spans="2:15" ht="13.5" hidden="1" customHeight="1">
      <c r="B2837" s="33">
        <f t="shared" si="595"/>
        <v>88</v>
      </c>
      <c r="C2837" s="62" t="s">
        <v>950</v>
      </c>
      <c r="D2837" s="62" t="s">
        <v>777</v>
      </c>
      <c r="F2837" s="61" t="s">
        <v>327</v>
      </c>
      <c r="G2837" s="36">
        <f>333*5</f>
        <v>1665</v>
      </c>
      <c r="H2837" s="36">
        <v>1861</v>
      </c>
      <c r="I2837" s="36">
        <v>3240</v>
      </c>
      <c r="J2837" s="36">
        <v>750</v>
      </c>
      <c r="K2837" s="36">
        <f t="shared" si="596"/>
        <v>7516</v>
      </c>
      <c r="L2837" s="36">
        <v>7500</v>
      </c>
      <c r="M2837" s="9">
        <f t="shared" si="597"/>
        <v>0.99787120808940921</v>
      </c>
      <c r="N2837" s="5">
        <v>1</v>
      </c>
      <c r="O2837" s="10">
        <f t="shared" si="598"/>
        <v>0.99787120808940921</v>
      </c>
    </row>
    <row r="2838" spans="2:15" ht="13.5" hidden="1" customHeight="1">
      <c r="B2838" s="33">
        <f t="shared" si="595"/>
        <v>89</v>
      </c>
      <c r="C2838" s="62" t="s">
        <v>108</v>
      </c>
      <c r="D2838" s="62" t="s">
        <v>782</v>
      </c>
      <c r="F2838" s="61" t="s">
        <v>327</v>
      </c>
      <c r="G2838" s="36">
        <f>333*5</f>
        <v>1665</v>
      </c>
      <c r="H2838" s="36">
        <v>1861</v>
      </c>
      <c r="I2838" s="36">
        <v>3240</v>
      </c>
      <c r="J2838" s="36">
        <v>750</v>
      </c>
      <c r="K2838" s="36">
        <f t="shared" si="596"/>
        <v>7516</v>
      </c>
      <c r="L2838" s="36">
        <v>7500</v>
      </c>
      <c r="M2838" s="9">
        <f t="shared" si="597"/>
        <v>0.99787120808940921</v>
      </c>
      <c r="N2838" s="5">
        <v>1</v>
      </c>
      <c r="O2838" s="10">
        <f t="shared" si="598"/>
        <v>0.99787120808940921</v>
      </c>
    </row>
    <row r="2839" spans="2:15" ht="13.5" hidden="1" customHeight="1">
      <c r="B2839" s="33">
        <f t="shared" si="595"/>
        <v>90</v>
      </c>
      <c r="C2839" s="62" t="s">
        <v>106</v>
      </c>
      <c r="D2839" s="62" t="s">
        <v>728</v>
      </c>
      <c r="F2839" s="61" t="s">
        <v>31</v>
      </c>
      <c r="G2839" s="36">
        <f>333*22</f>
        <v>7326</v>
      </c>
      <c r="H2839" s="36">
        <v>1861</v>
      </c>
      <c r="I2839" s="36">
        <v>3790</v>
      </c>
      <c r="J2839" s="36">
        <v>900</v>
      </c>
      <c r="K2839" s="36">
        <f t="shared" si="596"/>
        <v>13877</v>
      </c>
      <c r="L2839" s="36">
        <v>7500</v>
      </c>
      <c r="M2839" s="9">
        <f t="shared" si="597"/>
        <v>0.54046263601643008</v>
      </c>
      <c r="N2839" s="5">
        <v>1</v>
      </c>
      <c r="O2839" s="10">
        <f t="shared" si="598"/>
        <v>0.54046263601643008</v>
      </c>
    </row>
    <row r="2840" spans="2:15" ht="13.5" hidden="1" customHeight="1">
      <c r="B2840" s="33">
        <f t="shared" si="595"/>
        <v>91</v>
      </c>
      <c r="C2840" s="62" t="s">
        <v>219</v>
      </c>
      <c r="D2840" s="62" t="s">
        <v>729</v>
      </c>
      <c r="F2840" s="61" t="s">
        <v>31</v>
      </c>
      <c r="G2840" s="36">
        <f t="shared" ref="G2840:G2861" si="601">333*22</f>
        <v>7326</v>
      </c>
      <c r="H2840" s="36">
        <v>1861</v>
      </c>
      <c r="I2840" s="36">
        <v>3790</v>
      </c>
      <c r="J2840" s="36">
        <v>900</v>
      </c>
      <c r="K2840" s="36">
        <f t="shared" si="596"/>
        <v>13877</v>
      </c>
      <c r="L2840" s="36">
        <v>7500</v>
      </c>
      <c r="M2840" s="9">
        <f t="shared" si="597"/>
        <v>0.54046263601643008</v>
      </c>
      <c r="N2840" s="5">
        <v>1</v>
      </c>
      <c r="O2840" s="10">
        <f t="shared" si="598"/>
        <v>0.54046263601643008</v>
      </c>
    </row>
    <row r="2841" spans="2:15" ht="13.5" hidden="1" customHeight="1">
      <c r="B2841" s="33">
        <f t="shared" si="595"/>
        <v>92</v>
      </c>
      <c r="C2841" s="62" t="s">
        <v>223</v>
      </c>
      <c r="D2841" s="62" t="s">
        <v>735</v>
      </c>
      <c r="F2841" s="61" t="s">
        <v>31</v>
      </c>
      <c r="G2841" s="36">
        <f t="shared" si="601"/>
        <v>7326</v>
      </c>
      <c r="H2841" s="36">
        <v>1861</v>
      </c>
      <c r="I2841" s="36">
        <v>3790</v>
      </c>
      <c r="J2841" s="36">
        <v>900</v>
      </c>
      <c r="K2841" s="36">
        <f t="shared" si="596"/>
        <v>13877</v>
      </c>
      <c r="L2841" s="36">
        <v>7500</v>
      </c>
      <c r="M2841" s="9">
        <f t="shared" si="597"/>
        <v>0.54046263601643008</v>
      </c>
      <c r="N2841" s="5">
        <v>1</v>
      </c>
      <c r="O2841" s="10">
        <f t="shared" si="598"/>
        <v>0.54046263601643008</v>
      </c>
    </row>
    <row r="2842" spans="2:15" ht="13.5" hidden="1" customHeight="1">
      <c r="B2842" s="33">
        <f t="shared" si="595"/>
        <v>93</v>
      </c>
      <c r="C2842" s="62" t="s">
        <v>49</v>
      </c>
      <c r="D2842" s="62" t="s">
        <v>736</v>
      </c>
      <c r="F2842" s="61" t="s">
        <v>31</v>
      </c>
      <c r="G2842" s="36">
        <f t="shared" si="601"/>
        <v>7326</v>
      </c>
      <c r="H2842" s="36">
        <v>1861</v>
      </c>
      <c r="I2842" s="36">
        <v>3790</v>
      </c>
      <c r="J2842" s="36">
        <v>900</v>
      </c>
      <c r="K2842" s="36">
        <f t="shared" si="596"/>
        <v>13877</v>
      </c>
      <c r="L2842" s="36">
        <v>7500</v>
      </c>
      <c r="M2842" s="9">
        <f t="shared" si="597"/>
        <v>0.54046263601643008</v>
      </c>
      <c r="N2842" s="5">
        <v>1</v>
      </c>
      <c r="O2842" s="10">
        <f t="shared" si="598"/>
        <v>0.54046263601643008</v>
      </c>
    </row>
    <row r="2843" spans="2:15" ht="13.5" hidden="1" customHeight="1">
      <c r="B2843" s="33">
        <f t="shared" si="595"/>
        <v>94</v>
      </c>
      <c r="C2843" s="62" t="s">
        <v>226</v>
      </c>
      <c r="D2843" s="62" t="s">
        <v>743</v>
      </c>
      <c r="F2843" s="61" t="s">
        <v>31</v>
      </c>
      <c r="G2843" s="36">
        <f t="shared" si="601"/>
        <v>7326</v>
      </c>
      <c r="H2843" s="36">
        <v>1861</v>
      </c>
      <c r="I2843" s="36">
        <v>3790</v>
      </c>
      <c r="J2843" s="36">
        <v>900</v>
      </c>
      <c r="K2843" s="36">
        <f t="shared" si="596"/>
        <v>13877</v>
      </c>
      <c r="L2843" s="36">
        <v>7500</v>
      </c>
      <c r="M2843" s="9">
        <f t="shared" si="597"/>
        <v>0.54046263601643008</v>
      </c>
      <c r="N2843" s="5">
        <v>1</v>
      </c>
      <c r="O2843" s="10">
        <f t="shared" si="598"/>
        <v>0.54046263601643008</v>
      </c>
    </row>
    <row r="2844" spans="2:15" ht="13.5" hidden="1" customHeight="1">
      <c r="B2844" s="33">
        <f t="shared" si="595"/>
        <v>95</v>
      </c>
      <c r="C2844" s="62" t="s">
        <v>951</v>
      </c>
      <c r="D2844" s="62" t="s">
        <v>746</v>
      </c>
      <c r="F2844" s="61" t="s">
        <v>31</v>
      </c>
      <c r="G2844" s="36">
        <f t="shared" si="601"/>
        <v>7326</v>
      </c>
      <c r="H2844" s="36">
        <v>1861</v>
      </c>
      <c r="I2844" s="36">
        <v>3790</v>
      </c>
      <c r="J2844" s="36">
        <v>900</v>
      </c>
      <c r="K2844" s="36">
        <f t="shared" si="596"/>
        <v>13877</v>
      </c>
      <c r="L2844" s="36">
        <v>7500</v>
      </c>
      <c r="M2844" s="9">
        <f t="shared" si="597"/>
        <v>0.54046263601643008</v>
      </c>
      <c r="N2844" s="5">
        <v>1</v>
      </c>
      <c r="O2844" s="10">
        <f t="shared" si="598"/>
        <v>0.54046263601643008</v>
      </c>
    </row>
    <row r="2845" spans="2:15" ht="13.5" hidden="1" customHeight="1">
      <c r="B2845" s="33">
        <f t="shared" si="595"/>
        <v>96</v>
      </c>
      <c r="C2845" s="62" t="s">
        <v>952</v>
      </c>
      <c r="D2845" s="62" t="s">
        <v>760</v>
      </c>
      <c r="F2845" s="61" t="s">
        <v>31</v>
      </c>
      <c r="G2845" s="36">
        <f t="shared" si="601"/>
        <v>7326</v>
      </c>
      <c r="H2845" s="36">
        <v>1861</v>
      </c>
      <c r="I2845" s="36">
        <v>3790</v>
      </c>
      <c r="J2845" s="36">
        <v>900</v>
      </c>
      <c r="K2845" s="36">
        <f t="shared" si="596"/>
        <v>13877</v>
      </c>
      <c r="L2845" s="36">
        <v>7500</v>
      </c>
      <c r="M2845" s="9">
        <f t="shared" si="597"/>
        <v>0.54046263601643008</v>
      </c>
      <c r="N2845" s="5">
        <v>1</v>
      </c>
      <c r="O2845" s="10">
        <f t="shared" si="598"/>
        <v>0.54046263601643008</v>
      </c>
    </row>
    <row r="2846" spans="2:15" ht="13.5" hidden="1" customHeight="1">
      <c r="B2846" s="33">
        <f t="shared" si="595"/>
        <v>97</v>
      </c>
      <c r="C2846" s="62" t="s">
        <v>953</v>
      </c>
      <c r="D2846" s="62" t="s">
        <v>776</v>
      </c>
      <c r="F2846" s="61" t="s">
        <v>31</v>
      </c>
      <c r="G2846" s="36">
        <f>333*17</f>
        <v>5661</v>
      </c>
      <c r="H2846" s="36">
        <v>1861</v>
      </c>
      <c r="I2846" s="36">
        <v>3790</v>
      </c>
      <c r="J2846" s="36">
        <v>900</v>
      </c>
      <c r="K2846" s="36">
        <f t="shared" si="596"/>
        <v>12212</v>
      </c>
      <c r="L2846" s="36">
        <v>7500</v>
      </c>
      <c r="M2846" s="9">
        <f t="shared" si="597"/>
        <v>0.6141500163773338</v>
      </c>
      <c r="N2846" s="5">
        <v>1</v>
      </c>
      <c r="O2846" s="10">
        <f t="shared" si="598"/>
        <v>0.6141500163773338</v>
      </c>
    </row>
    <row r="2847" spans="2:15" ht="13.5" hidden="1" customHeight="1">
      <c r="B2847" s="33">
        <f t="shared" si="595"/>
        <v>98</v>
      </c>
      <c r="C2847" s="62" t="s">
        <v>954</v>
      </c>
      <c r="D2847" s="62" t="s">
        <v>785</v>
      </c>
      <c r="F2847" s="61" t="s">
        <v>31</v>
      </c>
      <c r="G2847" s="36">
        <f t="shared" si="601"/>
        <v>7326</v>
      </c>
      <c r="H2847" s="36">
        <v>1861</v>
      </c>
      <c r="I2847" s="36">
        <v>3790</v>
      </c>
      <c r="J2847" s="36">
        <v>900</v>
      </c>
      <c r="K2847" s="36">
        <f t="shared" si="596"/>
        <v>13877</v>
      </c>
      <c r="L2847" s="36">
        <v>7500</v>
      </c>
      <c r="M2847" s="9">
        <f t="shared" si="597"/>
        <v>0.54046263601643008</v>
      </c>
      <c r="N2847" s="5">
        <v>1</v>
      </c>
      <c r="O2847" s="10">
        <f t="shared" si="598"/>
        <v>0.54046263601643008</v>
      </c>
    </row>
    <row r="2848" spans="2:15" ht="13.5" hidden="1" customHeight="1">
      <c r="B2848" s="33">
        <f t="shared" si="595"/>
        <v>99</v>
      </c>
      <c r="C2848" s="62" t="s">
        <v>955</v>
      </c>
      <c r="D2848" s="62" t="s">
        <v>786</v>
      </c>
      <c r="F2848" s="61" t="s">
        <v>31</v>
      </c>
      <c r="G2848" s="36">
        <f t="shared" si="601"/>
        <v>7326</v>
      </c>
      <c r="H2848" s="36">
        <v>1861</v>
      </c>
      <c r="I2848" s="36">
        <v>3790</v>
      </c>
      <c r="J2848" s="36">
        <v>900</v>
      </c>
      <c r="K2848" s="36">
        <f t="shared" si="596"/>
        <v>13877</v>
      </c>
      <c r="L2848" s="36">
        <v>7500</v>
      </c>
      <c r="M2848" s="9">
        <f t="shared" si="597"/>
        <v>0.54046263601643008</v>
      </c>
      <c r="N2848" s="5">
        <v>1</v>
      </c>
      <c r="O2848" s="10">
        <f t="shared" si="598"/>
        <v>0.54046263601643008</v>
      </c>
    </row>
    <row r="2849" spans="2:15" ht="13.5" hidden="1" customHeight="1">
      <c r="B2849" s="33">
        <f t="shared" si="595"/>
        <v>100</v>
      </c>
      <c r="C2849" s="63" t="s">
        <v>956</v>
      </c>
      <c r="D2849" s="63" t="s">
        <v>789</v>
      </c>
      <c r="F2849" s="64" t="s">
        <v>31</v>
      </c>
      <c r="G2849" s="36">
        <f t="shared" si="601"/>
        <v>7326</v>
      </c>
      <c r="H2849" s="36">
        <v>1861</v>
      </c>
      <c r="I2849" s="36">
        <v>3790</v>
      </c>
      <c r="J2849" s="36">
        <v>900</v>
      </c>
      <c r="K2849" s="36">
        <f t="shared" si="596"/>
        <v>13877</v>
      </c>
      <c r="L2849" s="36">
        <v>7500</v>
      </c>
      <c r="M2849" s="9">
        <f t="shared" si="597"/>
        <v>0.54046263601643008</v>
      </c>
      <c r="N2849" s="5">
        <v>1</v>
      </c>
      <c r="O2849" s="10">
        <f t="shared" si="598"/>
        <v>0.54046263601643008</v>
      </c>
    </row>
    <row r="2850" spans="2:15" ht="13.5" hidden="1" customHeight="1">
      <c r="B2850" s="33">
        <f t="shared" si="595"/>
        <v>101</v>
      </c>
      <c r="C2850" s="63" t="s">
        <v>957</v>
      </c>
      <c r="D2850" s="63" t="s">
        <v>809</v>
      </c>
      <c r="F2850" s="64" t="s">
        <v>31</v>
      </c>
      <c r="G2850" s="36">
        <f t="shared" si="601"/>
        <v>7326</v>
      </c>
      <c r="H2850" s="36">
        <v>1861</v>
      </c>
      <c r="I2850" s="36">
        <v>3790</v>
      </c>
      <c r="J2850" s="36">
        <v>900</v>
      </c>
      <c r="K2850" s="36">
        <f t="shared" si="596"/>
        <v>13877</v>
      </c>
      <c r="L2850" s="36">
        <v>7500</v>
      </c>
      <c r="M2850" s="9">
        <f t="shared" si="597"/>
        <v>0.54046263601643008</v>
      </c>
      <c r="N2850" s="5">
        <v>1</v>
      </c>
      <c r="O2850" s="10">
        <f t="shared" si="598"/>
        <v>0.54046263601643008</v>
      </c>
    </row>
    <row r="2851" spans="2:15" ht="13.5" hidden="1" customHeight="1">
      <c r="B2851" s="33">
        <f t="shared" si="595"/>
        <v>102</v>
      </c>
      <c r="C2851" s="63" t="s">
        <v>958</v>
      </c>
      <c r="D2851" s="63" t="s">
        <v>816</v>
      </c>
      <c r="F2851" s="64" t="s">
        <v>31</v>
      </c>
      <c r="G2851" s="36">
        <f t="shared" si="601"/>
        <v>7326</v>
      </c>
      <c r="H2851" s="36">
        <v>1861</v>
      </c>
      <c r="I2851" s="36">
        <v>3790</v>
      </c>
      <c r="J2851" s="36">
        <v>900</v>
      </c>
      <c r="K2851" s="36">
        <f t="shared" si="596"/>
        <v>13877</v>
      </c>
      <c r="L2851" s="36">
        <v>7500</v>
      </c>
      <c r="M2851" s="9">
        <f t="shared" si="597"/>
        <v>0.54046263601643008</v>
      </c>
      <c r="N2851" s="5">
        <v>1</v>
      </c>
      <c r="O2851" s="10">
        <f t="shared" si="598"/>
        <v>0.54046263601643008</v>
      </c>
    </row>
    <row r="2852" spans="2:15" ht="13.5" hidden="1" customHeight="1">
      <c r="B2852" s="33">
        <f t="shared" si="595"/>
        <v>103</v>
      </c>
      <c r="C2852" s="63" t="s">
        <v>959</v>
      </c>
      <c r="D2852" s="63" t="s">
        <v>111</v>
      </c>
      <c r="F2852" s="64" t="s">
        <v>31</v>
      </c>
      <c r="G2852" s="36">
        <f t="shared" si="601"/>
        <v>7326</v>
      </c>
      <c r="H2852" s="36">
        <v>1861</v>
      </c>
      <c r="I2852" s="36">
        <v>3790</v>
      </c>
      <c r="J2852" s="36">
        <v>900</v>
      </c>
      <c r="K2852" s="36">
        <f t="shared" si="596"/>
        <v>13877</v>
      </c>
      <c r="L2852" s="36">
        <v>7500</v>
      </c>
      <c r="M2852" s="9">
        <f t="shared" si="597"/>
        <v>0.54046263601643008</v>
      </c>
      <c r="N2852" s="5">
        <v>1</v>
      </c>
      <c r="O2852" s="10">
        <f t="shared" si="598"/>
        <v>0.54046263601643008</v>
      </c>
    </row>
    <row r="2853" spans="2:15" ht="13.5" hidden="1" customHeight="1">
      <c r="B2853" s="33">
        <f t="shared" si="595"/>
        <v>104</v>
      </c>
      <c r="C2853" s="63" t="s">
        <v>84</v>
      </c>
      <c r="D2853" s="63" t="s">
        <v>822</v>
      </c>
      <c r="F2853" s="64" t="s">
        <v>31</v>
      </c>
      <c r="G2853" s="36">
        <f t="shared" si="601"/>
        <v>7326</v>
      </c>
      <c r="H2853" s="36">
        <v>1861</v>
      </c>
      <c r="I2853" s="36">
        <v>3790</v>
      </c>
      <c r="J2853" s="36">
        <v>900</v>
      </c>
      <c r="K2853" s="36">
        <f t="shared" si="596"/>
        <v>13877</v>
      </c>
      <c r="L2853" s="36">
        <v>7500</v>
      </c>
      <c r="M2853" s="9">
        <f t="shared" si="597"/>
        <v>0.54046263601643008</v>
      </c>
      <c r="N2853" s="5">
        <v>1</v>
      </c>
      <c r="O2853" s="10">
        <f t="shared" si="598"/>
        <v>0.54046263601643008</v>
      </c>
    </row>
    <row r="2854" spans="2:15" ht="13.5" hidden="1" customHeight="1">
      <c r="B2854" s="33">
        <f t="shared" si="595"/>
        <v>105</v>
      </c>
      <c r="C2854" s="63" t="s">
        <v>245</v>
      </c>
      <c r="D2854" s="63" t="s">
        <v>827</v>
      </c>
      <c r="F2854" s="64" t="s">
        <v>31</v>
      </c>
      <c r="G2854" s="36">
        <f t="shared" si="601"/>
        <v>7326</v>
      </c>
      <c r="H2854" s="36">
        <v>1861</v>
      </c>
      <c r="I2854" s="36">
        <v>3790</v>
      </c>
      <c r="J2854" s="36">
        <v>900</v>
      </c>
      <c r="K2854" s="36">
        <f t="shared" si="596"/>
        <v>13877</v>
      </c>
      <c r="L2854" s="36">
        <v>7500</v>
      </c>
      <c r="M2854" s="9">
        <f t="shared" si="597"/>
        <v>0.54046263601643008</v>
      </c>
      <c r="N2854" s="5">
        <v>1</v>
      </c>
      <c r="O2854" s="10">
        <f t="shared" si="598"/>
        <v>0.54046263601643008</v>
      </c>
    </row>
    <row r="2855" spans="2:15" ht="13.5" hidden="1" customHeight="1">
      <c r="B2855" s="33">
        <f t="shared" si="595"/>
        <v>106</v>
      </c>
      <c r="C2855" s="63" t="s">
        <v>105</v>
      </c>
      <c r="D2855" s="63" t="s">
        <v>828</v>
      </c>
      <c r="F2855" s="64" t="s">
        <v>31</v>
      </c>
      <c r="G2855" s="36">
        <f t="shared" si="601"/>
        <v>7326</v>
      </c>
      <c r="H2855" s="36">
        <v>1861</v>
      </c>
      <c r="I2855" s="36">
        <v>3790</v>
      </c>
      <c r="J2855" s="36">
        <v>900</v>
      </c>
      <c r="K2855" s="36">
        <f t="shared" si="596"/>
        <v>13877</v>
      </c>
      <c r="L2855" s="36">
        <v>7500</v>
      </c>
      <c r="M2855" s="9">
        <f t="shared" si="597"/>
        <v>0.54046263601643008</v>
      </c>
      <c r="N2855" s="5">
        <v>1</v>
      </c>
      <c r="O2855" s="10">
        <f t="shared" si="598"/>
        <v>0.54046263601643008</v>
      </c>
    </row>
    <row r="2856" spans="2:15" ht="13.5" hidden="1" customHeight="1">
      <c r="B2856" s="33">
        <f t="shared" si="595"/>
        <v>107</v>
      </c>
      <c r="C2856" s="63" t="s">
        <v>960</v>
      </c>
      <c r="D2856" s="63" t="s">
        <v>844</v>
      </c>
      <c r="F2856" s="64" t="s">
        <v>31</v>
      </c>
      <c r="G2856" s="36">
        <f t="shared" si="601"/>
        <v>7326</v>
      </c>
      <c r="H2856" s="36">
        <v>1861</v>
      </c>
      <c r="I2856" s="36">
        <v>3790</v>
      </c>
      <c r="J2856" s="36">
        <v>900</v>
      </c>
      <c r="K2856" s="36">
        <f t="shared" si="596"/>
        <v>13877</v>
      </c>
      <c r="L2856" s="36">
        <v>7500</v>
      </c>
      <c r="M2856" s="9">
        <f t="shared" si="597"/>
        <v>0.54046263601643008</v>
      </c>
      <c r="N2856" s="5">
        <v>1</v>
      </c>
      <c r="O2856" s="10">
        <f t="shared" si="598"/>
        <v>0.54046263601643008</v>
      </c>
    </row>
    <row r="2857" spans="2:15" ht="13.5" hidden="1" customHeight="1">
      <c r="B2857" s="33">
        <f t="shared" si="595"/>
        <v>108</v>
      </c>
      <c r="C2857" s="63" t="s">
        <v>961</v>
      </c>
      <c r="D2857" s="63" t="s">
        <v>853</v>
      </c>
      <c r="F2857" s="64" t="s">
        <v>31</v>
      </c>
      <c r="G2857" s="36">
        <f t="shared" si="601"/>
        <v>7326</v>
      </c>
      <c r="H2857" s="36">
        <v>1861</v>
      </c>
      <c r="I2857" s="36">
        <v>3790</v>
      </c>
      <c r="J2857" s="36">
        <v>900</v>
      </c>
      <c r="K2857" s="36">
        <f t="shared" si="596"/>
        <v>13877</v>
      </c>
      <c r="L2857" s="36">
        <v>7500</v>
      </c>
      <c r="M2857" s="9">
        <f t="shared" si="597"/>
        <v>0.54046263601643008</v>
      </c>
      <c r="N2857" s="5">
        <v>1</v>
      </c>
      <c r="O2857" s="10">
        <f t="shared" si="598"/>
        <v>0.54046263601643008</v>
      </c>
    </row>
    <row r="2858" spans="2:15" ht="13.5" hidden="1" customHeight="1">
      <c r="B2858" s="33">
        <f t="shared" si="595"/>
        <v>109</v>
      </c>
      <c r="C2858" s="63" t="s">
        <v>962</v>
      </c>
      <c r="D2858" s="63" t="s">
        <v>855</v>
      </c>
      <c r="F2858" s="64" t="s">
        <v>31</v>
      </c>
      <c r="G2858" s="36">
        <f t="shared" si="601"/>
        <v>7326</v>
      </c>
      <c r="H2858" s="36">
        <v>1861</v>
      </c>
      <c r="I2858" s="36">
        <v>3790</v>
      </c>
      <c r="J2858" s="36">
        <v>900</v>
      </c>
      <c r="K2858" s="36">
        <f t="shared" si="596"/>
        <v>13877</v>
      </c>
      <c r="L2858" s="36">
        <v>7500</v>
      </c>
      <c r="M2858" s="9">
        <f t="shared" si="597"/>
        <v>0.54046263601643008</v>
      </c>
      <c r="N2858" s="5">
        <v>1</v>
      </c>
      <c r="O2858" s="10">
        <f t="shared" si="598"/>
        <v>0.54046263601643008</v>
      </c>
    </row>
    <row r="2859" spans="2:15" ht="13.5" hidden="1" customHeight="1">
      <c r="B2859" s="33">
        <f t="shared" si="595"/>
        <v>110</v>
      </c>
      <c r="C2859" s="63" t="s">
        <v>87</v>
      </c>
      <c r="D2859" s="63" t="s">
        <v>861</v>
      </c>
      <c r="F2859" s="64" t="s">
        <v>31</v>
      </c>
      <c r="G2859" s="36">
        <f t="shared" si="601"/>
        <v>7326</v>
      </c>
      <c r="H2859" s="36">
        <v>1861</v>
      </c>
      <c r="I2859" s="36">
        <v>3790</v>
      </c>
      <c r="J2859" s="36">
        <v>900</v>
      </c>
      <c r="K2859" s="36">
        <f t="shared" si="596"/>
        <v>13877</v>
      </c>
      <c r="L2859" s="36">
        <v>7500</v>
      </c>
      <c r="M2859" s="9">
        <f t="shared" si="597"/>
        <v>0.54046263601643008</v>
      </c>
      <c r="N2859" s="5">
        <v>1</v>
      </c>
      <c r="O2859" s="10">
        <f t="shared" si="598"/>
        <v>0.54046263601643008</v>
      </c>
    </row>
    <row r="2860" spans="2:15" ht="13.5" hidden="1" customHeight="1">
      <c r="B2860" s="33">
        <f t="shared" si="595"/>
        <v>111</v>
      </c>
      <c r="C2860" s="63" t="s">
        <v>963</v>
      </c>
      <c r="D2860" s="63" t="s">
        <v>868</v>
      </c>
      <c r="F2860" s="64" t="s">
        <v>31</v>
      </c>
      <c r="G2860" s="36">
        <f t="shared" si="601"/>
        <v>7326</v>
      </c>
      <c r="H2860" s="36">
        <v>1861</v>
      </c>
      <c r="I2860" s="36">
        <v>3790</v>
      </c>
      <c r="J2860" s="36">
        <v>900</v>
      </c>
      <c r="K2860" s="36">
        <f t="shared" si="596"/>
        <v>13877</v>
      </c>
      <c r="L2860" s="36">
        <v>7500</v>
      </c>
      <c r="M2860" s="9">
        <f t="shared" si="597"/>
        <v>0.54046263601643008</v>
      </c>
      <c r="N2860" s="5">
        <v>1</v>
      </c>
      <c r="O2860" s="10">
        <f t="shared" si="598"/>
        <v>0.54046263601643008</v>
      </c>
    </row>
    <row r="2861" spans="2:15" ht="13.5" hidden="1" customHeight="1">
      <c r="B2861" s="33">
        <f t="shared" si="595"/>
        <v>112</v>
      </c>
      <c r="C2861" s="63" t="s">
        <v>252</v>
      </c>
      <c r="D2861" s="63" t="s">
        <v>870</v>
      </c>
      <c r="F2861" s="64" t="s">
        <v>31</v>
      </c>
      <c r="G2861" s="36">
        <f t="shared" si="601"/>
        <v>7326</v>
      </c>
      <c r="H2861" s="36">
        <v>1861</v>
      </c>
      <c r="I2861" s="36">
        <v>3790</v>
      </c>
      <c r="J2861" s="36">
        <v>900</v>
      </c>
      <c r="K2861" s="36">
        <f t="shared" si="596"/>
        <v>13877</v>
      </c>
      <c r="L2861" s="36">
        <v>7500</v>
      </c>
      <c r="M2861" s="9">
        <f t="shared" si="597"/>
        <v>0.54046263601643008</v>
      </c>
      <c r="N2861" s="5">
        <v>1</v>
      </c>
      <c r="O2861" s="10">
        <f t="shared" si="598"/>
        <v>0.54046263601643008</v>
      </c>
    </row>
    <row r="2862" spans="2:15" ht="13.5" hidden="1" customHeight="1">
      <c r="B2862" s="33">
        <f t="shared" si="595"/>
        <v>113</v>
      </c>
      <c r="C2862" s="63" t="s">
        <v>964</v>
      </c>
      <c r="D2862" s="63" t="s">
        <v>881</v>
      </c>
      <c r="F2862" s="64" t="s">
        <v>31</v>
      </c>
      <c r="G2862" s="36">
        <f>333*18</f>
        <v>5994</v>
      </c>
      <c r="H2862" s="36">
        <v>1861</v>
      </c>
      <c r="I2862" s="36">
        <v>3790</v>
      </c>
      <c r="J2862" s="36">
        <v>900</v>
      </c>
      <c r="K2862" s="36">
        <f t="shared" si="596"/>
        <v>12545</v>
      </c>
      <c r="L2862" s="36">
        <v>7500</v>
      </c>
      <c r="M2862" s="9">
        <f t="shared" si="597"/>
        <v>0.59784774810681551</v>
      </c>
      <c r="N2862" s="5">
        <v>1</v>
      </c>
      <c r="O2862" s="10">
        <f t="shared" si="598"/>
        <v>0.59784774810681551</v>
      </c>
    </row>
    <row r="2863" spans="2:15" ht="13.5" hidden="1" customHeight="1">
      <c r="B2863" s="33">
        <f t="shared" si="595"/>
        <v>114</v>
      </c>
      <c r="C2863" s="63" t="s">
        <v>965</v>
      </c>
      <c r="D2863" s="63" t="s">
        <v>884</v>
      </c>
      <c r="F2863" s="64" t="s">
        <v>31</v>
      </c>
      <c r="G2863" s="36">
        <f>333*22</f>
        <v>7326</v>
      </c>
      <c r="H2863" s="36">
        <v>1861</v>
      </c>
      <c r="I2863" s="36">
        <v>3790</v>
      </c>
      <c r="J2863" s="36">
        <v>900</v>
      </c>
      <c r="K2863" s="36">
        <f t="shared" si="596"/>
        <v>13877</v>
      </c>
      <c r="L2863" s="36">
        <v>7500</v>
      </c>
      <c r="M2863" s="9">
        <f t="shared" si="597"/>
        <v>0.54046263601643008</v>
      </c>
      <c r="N2863" s="5">
        <v>1</v>
      </c>
      <c r="O2863" s="10">
        <f t="shared" si="598"/>
        <v>0.54046263601643008</v>
      </c>
    </row>
    <row r="2864" spans="2:15" ht="13.5" hidden="1" customHeight="1">
      <c r="B2864" s="33">
        <f t="shared" si="595"/>
        <v>115</v>
      </c>
      <c r="C2864" s="63" t="s">
        <v>966</v>
      </c>
      <c r="D2864" s="63" t="s">
        <v>885</v>
      </c>
      <c r="F2864" s="64" t="s">
        <v>31</v>
      </c>
      <c r="G2864" s="36">
        <f>333*18</f>
        <v>5994</v>
      </c>
      <c r="H2864" s="36">
        <v>1861</v>
      </c>
      <c r="I2864" s="36">
        <v>3790</v>
      </c>
      <c r="J2864" s="36">
        <v>900</v>
      </c>
      <c r="K2864" s="36">
        <f t="shared" si="596"/>
        <v>12545</v>
      </c>
      <c r="L2864" s="36">
        <v>7500</v>
      </c>
      <c r="M2864" s="9">
        <f t="shared" si="597"/>
        <v>0.59784774810681551</v>
      </c>
      <c r="N2864" s="5">
        <v>1</v>
      </c>
      <c r="O2864" s="10">
        <f t="shared" si="598"/>
        <v>0.59784774810681551</v>
      </c>
    </row>
    <row r="2865" spans="2:15" ht="13.5" hidden="1" customHeight="1">
      <c r="B2865" s="33">
        <f t="shared" si="595"/>
        <v>116</v>
      </c>
      <c r="C2865" s="63" t="s">
        <v>967</v>
      </c>
      <c r="D2865" s="63" t="s">
        <v>888</v>
      </c>
      <c r="F2865" s="64" t="s">
        <v>31</v>
      </c>
      <c r="G2865" s="36">
        <f>333*22</f>
        <v>7326</v>
      </c>
      <c r="H2865" s="36">
        <v>1861</v>
      </c>
      <c r="I2865" s="36">
        <v>3790</v>
      </c>
      <c r="J2865" s="36">
        <v>900</v>
      </c>
      <c r="K2865" s="36">
        <f t="shared" si="596"/>
        <v>13877</v>
      </c>
      <c r="L2865" s="36">
        <v>7500</v>
      </c>
      <c r="M2865" s="9">
        <f t="shared" si="597"/>
        <v>0.54046263601643008</v>
      </c>
      <c r="N2865" s="5">
        <v>1</v>
      </c>
      <c r="O2865" s="10">
        <f t="shared" si="598"/>
        <v>0.54046263601643008</v>
      </c>
    </row>
    <row r="2866" spans="2:15" ht="13.5" hidden="1" customHeight="1">
      <c r="B2866" s="33">
        <f t="shared" si="595"/>
        <v>117</v>
      </c>
      <c r="C2866" s="63" t="s">
        <v>968</v>
      </c>
      <c r="D2866" s="63" t="s">
        <v>890</v>
      </c>
      <c r="F2866" s="64" t="s">
        <v>31</v>
      </c>
      <c r="G2866" s="36">
        <f t="shared" ref="G2866:G2867" si="602">333*22</f>
        <v>7326</v>
      </c>
      <c r="H2866" s="36">
        <v>1861</v>
      </c>
      <c r="I2866" s="36">
        <v>3790</v>
      </c>
      <c r="J2866" s="36">
        <v>900</v>
      </c>
      <c r="K2866" s="36">
        <f t="shared" si="596"/>
        <v>13877</v>
      </c>
      <c r="L2866" s="36">
        <v>7500</v>
      </c>
      <c r="M2866" s="9">
        <f t="shared" si="597"/>
        <v>0.54046263601643008</v>
      </c>
      <c r="N2866" s="5">
        <v>1</v>
      </c>
      <c r="O2866" s="10">
        <f t="shared" si="598"/>
        <v>0.54046263601643008</v>
      </c>
    </row>
    <row r="2867" spans="2:15" ht="13.5" hidden="1" customHeight="1">
      <c r="B2867" s="33">
        <f t="shared" si="595"/>
        <v>118</v>
      </c>
      <c r="C2867" s="63" t="s">
        <v>361</v>
      </c>
      <c r="D2867" s="63" t="s">
        <v>892</v>
      </c>
      <c r="F2867" s="64" t="s">
        <v>31</v>
      </c>
      <c r="G2867" s="36">
        <f t="shared" si="602"/>
        <v>7326</v>
      </c>
      <c r="H2867" s="36">
        <v>1861</v>
      </c>
      <c r="I2867" s="36">
        <v>3790</v>
      </c>
      <c r="J2867" s="36">
        <v>900</v>
      </c>
      <c r="K2867" s="36">
        <f t="shared" si="596"/>
        <v>13877</v>
      </c>
      <c r="L2867" s="36">
        <v>7500</v>
      </c>
      <c r="M2867" s="9">
        <f t="shared" si="597"/>
        <v>0.54046263601643008</v>
      </c>
      <c r="N2867" s="5">
        <v>1</v>
      </c>
      <c r="O2867" s="10">
        <f t="shared" si="598"/>
        <v>0.54046263601643008</v>
      </c>
    </row>
    <row r="2868" spans="2:15" ht="13.5" hidden="1" customHeight="1">
      <c r="B2868" s="33">
        <f t="shared" si="595"/>
        <v>119</v>
      </c>
      <c r="C2868" s="63" t="s">
        <v>969</v>
      </c>
      <c r="D2868" s="63" t="s">
        <v>901</v>
      </c>
      <c r="F2868" s="64" t="s">
        <v>31</v>
      </c>
      <c r="G2868" s="36">
        <f>333*16</f>
        <v>5328</v>
      </c>
      <c r="H2868" s="36">
        <v>1861</v>
      </c>
      <c r="I2868" s="36">
        <v>3790</v>
      </c>
      <c r="J2868" s="36">
        <v>900</v>
      </c>
      <c r="K2868" s="36">
        <f t="shared" si="596"/>
        <v>11879</v>
      </c>
      <c r="L2868" s="36">
        <v>7500</v>
      </c>
      <c r="M2868" s="9">
        <f t="shared" si="597"/>
        <v>0.63136627662261136</v>
      </c>
      <c r="N2868" s="5">
        <v>1</v>
      </c>
      <c r="O2868" s="10">
        <f t="shared" si="598"/>
        <v>0.63136627662261136</v>
      </c>
    </row>
    <row r="2869" spans="2:15" ht="13.5" hidden="1" customHeight="1">
      <c r="B2869" s="33">
        <f t="shared" si="595"/>
        <v>120</v>
      </c>
      <c r="C2869" s="63" t="s">
        <v>969</v>
      </c>
      <c r="D2869" s="63" t="s">
        <v>902</v>
      </c>
      <c r="F2869" s="64" t="s">
        <v>31</v>
      </c>
      <c r="G2869" s="36">
        <f>333*22</f>
        <v>7326</v>
      </c>
      <c r="H2869" s="36">
        <v>1861</v>
      </c>
      <c r="I2869" s="36">
        <v>3790</v>
      </c>
      <c r="J2869" s="36">
        <v>900</v>
      </c>
      <c r="K2869" s="36">
        <f t="shared" si="596"/>
        <v>13877</v>
      </c>
      <c r="L2869" s="36">
        <v>7500</v>
      </c>
      <c r="M2869" s="9">
        <f t="shared" si="597"/>
        <v>0.54046263601643008</v>
      </c>
      <c r="N2869" s="5">
        <v>1</v>
      </c>
      <c r="O2869" s="10">
        <f t="shared" si="598"/>
        <v>0.54046263601643008</v>
      </c>
    </row>
    <row r="2870" spans="2:15" ht="13.5" hidden="1" customHeight="1">
      <c r="B2870" s="33">
        <f t="shared" si="595"/>
        <v>121</v>
      </c>
      <c r="C2870" s="62" t="s">
        <v>970</v>
      </c>
      <c r="D2870" s="62" t="s">
        <v>722</v>
      </c>
      <c r="F2870" s="61" t="s">
        <v>26</v>
      </c>
      <c r="G2870" s="36">
        <f>333*22</f>
        <v>7326</v>
      </c>
      <c r="H2870" s="36">
        <v>1861</v>
      </c>
      <c r="I2870" s="36">
        <v>3240</v>
      </c>
      <c r="J2870" s="36">
        <v>1800</v>
      </c>
      <c r="K2870" s="36">
        <f t="shared" si="596"/>
        <v>14227</v>
      </c>
      <c r="L2870" s="36">
        <v>7500</v>
      </c>
      <c r="M2870" s="9">
        <f t="shared" si="597"/>
        <v>0.52716665495185211</v>
      </c>
      <c r="N2870" s="5">
        <v>1</v>
      </c>
      <c r="O2870" s="10">
        <f t="shared" si="598"/>
        <v>0.52716665495185211</v>
      </c>
    </row>
    <row r="2871" spans="2:15" ht="13.5" hidden="1" customHeight="1">
      <c r="B2871" s="33">
        <f t="shared" si="595"/>
        <v>122</v>
      </c>
      <c r="C2871" s="62" t="s">
        <v>971</v>
      </c>
      <c r="D2871" s="62" t="s">
        <v>739</v>
      </c>
      <c r="F2871" s="61" t="s">
        <v>26</v>
      </c>
      <c r="G2871" s="36">
        <f>333*11</f>
        <v>3663</v>
      </c>
      <c r="H2871" s="36">
        <v>1861</v>
      </c>
      <c r="I2871" s="36">
        <v>3240</v>
      </c>
      <c r="J2871" s="36">
        <v>1800</v>
      </c>
      <c r="K2871" s="36">
        <f t="shared" si="596"/>
        <v>10564</v>
      </c>
      <c r="L2871" s="36">
        <v>7500</v>
      </c>
      <c r="M2871" s="9">
        <f t="shared" si="597"/>
        <v>0.70995834911018552</v>
      </c>
      <c r="N2871" s="5">
        <v>1</v>
      </c>
      <c r="O2871" s="10">
        <f t="shared" si="598"/>
        <v>0.70995834911018552</v>
      </c>
    </row>
    <row r="2872" spans="2:15" ht="13.5" hidden="1" customHeight="1">
      <c r="B2872" s="33">
        <f t="shared" si="595"/>
        <v>123</v>
      </c>
      <c r="C2872" s="62" t="s">
        <v>711</v>
      </c>
      <c r="D2872" s="62" t="s">
        <v>754</v>
      </c>
      <c r="F2872" s="61" t="s">
        <v>26</v>
      </c>
      <c r="G2872" s="36">
        <f>333*22</f>
        <v>7326</v>
      </c>
      <c r="H2872" s="36">
        <v>1861</v>
      </c>
      <c r="I2872" s="36">
        <v>3240</v>
      </c>
      <c r="J2872" s="36">
        <v>1800</v>
      </c>
      <c r="K2872" s="36">
        <f t="shared" si="596"/>
        <v>14227</v>
      </c>
      <c r="L2872" s="36">
        <v>7500</v>
      </c>
      <c r="M2872" s="9">
        <f t="shared" si="597"/>
        <v>0.52716665495185211</v>
      </c>
      <c r="N2872" s="5">
        <v>1</v>
      </c>
      <c r="O2872" s="10">
        <f t="shared" si="598"/>
        <v>0.52716665495185211</v>
      </c>
    </row>
    <row r="2873" spans="2:15" ht="13.5" hidden="1" customHeight="1">
      <c r="B2873" s="33">
        <f t="shared" si="595"/>
        <v>124</v>
      </c>
      <c r="C2873" s="62" t="s">
        <v>972</v>
      </c>
      <c r="D2873" s="62" t="s">
        <v>758</v>
      </c>
      <c r="F2873" s="61" t="s">
        <v>26</v>
      </c>
      <c r="G2873" s="36">
        <f t="shared" ref="G2873:G2892" si="603">333*22</f>
        <v>7326</v>
      </c>
      <c r="H2873" s="36">
        <v>1861</v>
      </c>
      <c r="I2873" s="36">
        <v>3240</v>
      </c>
      <c r="J2873" s="36">
        <v>1800</v>
      </c>
      <c r="K2873" s="36">
        <f t="shared" si="596"/>
        <v>14227</v>
      </c>
      <c r="L2873" s="36">
        <v>7500</v>
      </c>
      <c r="M2873" s="9">
        <f t="shared" si="597"/>
        <v>0.52716665495185211</v>
      </c>
      <c r="N2873" s="5">
        <v>1</v>
      </c>
      <c r="O2873" s="10">
        <f t="shared" si="598"/>
        <v>0.52716665495185211</v>
      </c>
    </row>
    <row r="2874" spans="2:15" ht="13.5" hidden="1" customHeight="1">
      <c r="B2874" s="33">
        <f t="shared" si="595"/>
        <v>125</v>
      </c>
      <c r="C2874" s="62" t="s">
        <v>982</v>
      </c>
      <c r="D2874" s="62" t="s">
        <v>765</v>
      </c>
      <c r="F2874" s="61" t="s">
        <v>26</v>
      </c>
      <c r="G2874" s="36">
        <f t="shared" si="603"/>
        <v>7326</v>
      </c>
      <c r="H2874" s="36">
        <v>1861</v>
      </c>
      <c r="I2874" s="36">
        <v>3240</v>
      </c>
      <c r="J2874" s="36">
        <v>1800</v>
      </c>
      <c r="K2874" s="36">
        <f t="shared" si="596"/>
        <v>14227</v>
      </c>
      <c r="L2874" s="36">
        <v>7500</v>
      </c>
      <c r="M2874" s="9">
        <f t="shared" si="597"/>
        <v>0.52716665495185211</v>
      </c>
      <c r="N2874" s="5">
        <v>1</v>
      </c>
      <c r="O2874" s="10">
        <f t="shared" si="598"/>
        <v>0.52716665495185211</v>
      </c>
    </row>
    <row r="2875" spans="2:15" ht="13.5" hidden="1" customHeight="1">
      <c r="B2875" s="33">
        <f t="shared" si="595"/>
        <v>126</v>
      </c>
      <c r="C2875" s="62" t="s">
        <v>108</v>
      </c>
      <c r="D2875" s="62" t="s">
        <v>781</v>
      </c>
      <c r="F2875" s="61" t="s">
        <v>26</v>
      </c>
      <c r="G2875" s="36">
        <f t="shared" si="603"/>
        <v>7326</v>
      </c>
      <c r="H2875" s="36">
        <v>1861</v>
      </c>
      <c r="I2875" s="36">
        <v>3240</v>
      </c>
      <c r="J2875" s="36">
        <v>1800</v>
      </c>
      <c r="K2875" s="36">
        <f t="shared" si="596"/>
        <v>14227</v>
      </c>
      <c r="L2875" s="36">
        <v>7500</v>
      </c>
      <c r="M2875" s="9">
        <f t="shared" si="597"/>
        <v>0.52716665495185211</v>
      </c>
      <c r="N2875" s="5">
        <v>1</v>
      </c>
      <c r="O2875" s="10">
        <f t="shared" si="598"/>
        <v>0.52716665495185211</v>
      </c>
    </row>
    <row r="2876" spans="2:15" ht="13.5" hidden="1" customHeight="1">
      <c r="B2876" s="33">
        <f t="shared" si="595"/>
        <v>127</v>
      </c>
      <c r="C2876" s="63" t="s">
        <v>346</v>
      </c>
      <c r="D2876" s="63" t="s">
        <v>790</v>
      </c>
      <c r="F2876" s="64" t="s">
        <v>26</v>
      </c>
      <c r="G2876" s="36">
        <f t="shared" si="603"/>
        <v>7326</v>
      </c>
      <c r="H2876" s="36">
        <v>1861</v>
      </c>
      <c r="I2876" s="36">
        <v>3240</v>
      </c>
      <c r="J2876" s="36">
        <v>1800</v>
      </c>
      <c r="K2876" s="36">
        <f t="shared" si="596"/>
        <v>14227</v>
      </c>
      <c r="L2876" s="36">
        <v>7500</v>
      </c>
      <c r="M2876" s="9">
        <f t="shared" si="597"/>
        <v>0.52716665495185211</v>
      </c>
      <c r="N2876" s="5">
        <v>1</v>
      </c>
      <c r="O2876" s="10">
        <f t="shared" si="598"/>
        <v>0.52716665495185211</v>
      </c>
    </row>
    <row r="2877" spans="2:15" ht="13.5" hidden="1" customHeight="1">
      <c r="B2877" s="33">
        <f t="shared" si="595"/>
        <v>128</v>
      </c>
      <c r="C2877" s="63" t="s">
        <v>110</v>
      </c>
      <c r="D2877" s="63" t="s">
        <v>797</v>
      </c>
      <c r="F2877" s="64" t="s">
        <v>26</v>
      </c>
      <c r="G2877" s="36">
        <f t="shared" si="603"/>
        <v>7326</v>
      </c>
      <c r="H2877" s="36">
        <v>1861</v>
      </c>
      <c r="I2877" s="36">
        <v>3240</v>
      </c>
      <c r="J2877" s="36">
        <v>1800</v>
      </c>
      <c r="K2877" s="36">
        <f t="shared" si="596"/>
        <v>14227</v>
      </c>
      <c r="L2877" s="36">
        <v>7500</v>
      </c>
      <c r="M2877" s="9">
        <f t="shared" si="597"/>
        <v>0.52716665495185211</v>
      </c>
      <c r="N2877" s="5">
        <v>1</v>
      </c>
      <c r="O2877" s="10">
        <f t="shared" si="598"/>
        <v>0.52716665495185211</v>
      </c>
    </row>
    <row r="2878" spans="2:15" ht="13.5" hidden="1" customHeight="1">
      <c r="B2878" s="33">
        <f t="shared" si="595"/>
        <v>129</v>
      </c>
      <c r="C2878" s="63" t="s">
        <v>242</v>
      </c>
      <c r="D2878" s="63" t="s">
        <v>817</v>
      </c>
      <c r="F2878" s="64" t="s">
        <v>26</v>
      </c>
      <c r="G2878" s="36">
        <f t="shared" si="603"/>
        <v>7326</v>
      </c>
      <c r="H2878" s="36">
        <v>1861</v>
      </c>
      <c r="I2878" s="36">
        <v>3240</v>
      </c>
      <c r="J2878" s="36">
        <v>1800</v>
      </c>
      <c r="K2878" s="36">
        <f t="shared" si="596"/>
        <v>14227</v>
      </c>
      <c r="L2878" s="36">
        <v>7500</v>
      </c>
      <c r="M2878" s="9">
        <f t="shared" si="597"/>
        <v>0.52716665495185211</v>
      </c>
      <c r="N2878" s="5">
        <v>1</v>
      </c>
      <c r="O2878" s="10">
        <f t="shared" si="598"/>
        <v>0.52716665495185211</v>
      </c>
    </row>
    <row r="2879" spans="2:15" ht="13.5" hidden="1" customHeight="1">
      <c r="B2879" s="33">
        <f t="shared" si="595"/>
        <v>130</v>
      </c>
      <c r="C2879" s="63" t="s">
        <v>973</v>
      </c>
      <c r="D2879" s="63" t="s">
        <v>840</v>
      </c>
      <c r="F2879" s="64" t="s">
        <v>26</v>
      </c>
      <c r="G2879" s="36">
        <f t="shared" si="603"/>
        <v>7326</v>
      </c>
      <c r="H2879" s="36">
        <v>1861</v>
      </c>
      <c r="I2879" s="36">
        <v>3240</v>
      </c>
      <c r="J2879" s="36">
        <v>1800</v>
      </c>
      <c r="K2879" s="36">
        <f t="shared" si="596"/>
        <v>14227</v>
      </c>
      <c r="L2879" s="36">
        <v>7500</v>
      </c>
      <c r="M2879" s="9">
        <f t="shared" si="597"/>
        <v>0.52716665495185211</v>
      </c>
      <c r="N2879" s="5">
        <v>1</v>
      </c>
      <c r="O2879" s="10">
        <f t="shared" si="598"/>
        <v>0.52716665495185211</v>
      </c>
    </row>
    <row r="2880" spans="2:15" ht="13.5" hidden="1" customHeight="1">
      <c r="B2880" s="33">
        <f t="shared" ref="B2880:B2938" si="604">+B2879+1</f>
        <v>131</v>
      </c>
      <c r="C2880" s="63" t="s">
        <v>64</v>
      </c>
      <c r="D2880" s="63" t="s">
        <v>842</v>
      </c>
      <c r="F2880" s="64" t="s">
        <v>26</v>
      </c>
      <c r="G2880" s="36">
        <f t="shared" si="603"/>
        <v>7326</v>
      </c>
      <c r="H2880" s="36">
        <v>1861</v>
      </c>
      <c r="I2880" s="36">
        <v>3240</v>
      </c>
      <c r="J2880" s="36">
        <v>1800</v>
      </c>
      <c r="K2880" s="36">
        <f t="shared" si="596"/>
        <v>14227</v>
      </c>
      <c r="L2880" s="36">
        <v>7500</v>
      </c>
      <c r="M2880" s="9">
        <f t="shared" si="597"/>
        <v>0.52716665495185211</v>
      </c>
      <c r="N2880" s="5">
        <v>1</v>
      </c>
      <c r="O2880" s="10">
        <f t="shared" si="598"/>
        <v>0.52716665495185211</v>
      </c>
    </row>
    <row r="2881" spans="2:15" ht="13.5" hidden="1" customHeight="1">
      <c r="B2881" s="33">
        <f t="shared" si="604"/>
        <v>132</v>
      </c>
      <c r="C2881" s="63" t="s">
        <v>974</v>
      </c>
      <c r="D2881" s="63" t="s">
        <v>845</v>
      </c>
      <c r="F2881" s="64" t="s">
        <v>26</v>
      </c>
      <c r="G2881" s="36">
        <f t="shared" si="603"/>
        <v>7326</v>
      </c>
      <c r="H2881" s="36">
        <v>1861</v>
      </c>
      <c r="I2881" s="36">
        <v>3240</v>
      </c>
      <c r="J2881" s="36">
        <v>1800</v>
      </c>
      <c r="K2881" s="36">
        <f t="shared" si="596"/>
        <v>14227</v>
      </c>
      <c r="L2881" s="36">
        <v>7500</v>
      </c>
      <c r="M2881" s="9">
        <f t="shared" si="597"/>
        <v>0.52716665495185211</v>
      </c>
      <c r="N2881" s="5">
        <v>1</v>
      </c>
      <c r="O2881" s="10">
        <f t="shared" si="598"/>
        <v>0.52716665495185211</v>
      </c>
    </row>
    <row r="2882" spans="2:15" ht="13.5" hidden="1" customHeight="1">
      <c r="B2882" s="33">
        <f t="shared" si="604"/>
        <v>133</v>
      </c>
      <c r="C2882" s="63" t="s">
        <v>975</v>
      </c>
      <c r="D2882" s="63" t="s">
        <v>846</v>
      </c>
      <c r="F2882" s="64" t="s">
        <v>26</v>
      </c>
      <c r="G2882" s="36">
        <f t="shared" si="603"/>
        <v>7326</v>
      </c>
      <c r="H2882" s="36">
        <v>1861</v>
      </c>
      <c r="I2882" s="36">
        <v>3240</v>
      </c>
      <c r="J2882" s="36">
        <v>1800</v>
      </c>
      <c r="K2882" s="36">
        <f t="shared" si="596"/>
        <v>14227</v>
      </c>
      <c r="L2882" s="36">
        <v>7500</v>
      </c>
      <c r="M2882" s="9">
        <f t="shared" si="597"/>
        <v>0.52716665495185211</v>
      </c>
      <c r="N2882" s="5">
        <v>1</v>
      </c>
      <c r="O2882" s="10">
        <f t="shared" si="598"/>
        <v>0.52716665495185211</v>
      </c>
    </row>
    <row r="2883" spans="2:15" ht="13.5" hidden="1" customHeight="1">
      <c r="B2883" s="33">
        <f t="shared" si="604"/>
        <v>134</v>
      </c>
      <c r="C2883" s="63" t="s">
        <v>976</v>
      </c>
      <c r="D2883" s="63" t="s">
        <v>848</v>
      </c>
      <c r="F2883" s="64" t="s">
        <v>26</v>
      </c>
      <c r="G2883" s="36">
        <f t="shared" si="603"/>
        <v>7326</v>
      </c>
      <c r="H2883" s="36">
        <v>1861</v>
      </c>
      <c r="I2883" s="36">
        <v>3240</v>
      </c>
      <c r="J2883" s="36">
        <v>1800</v>
      </c>
      <c r="K2883" s="36">
        <f t="shared" si="596"/>
        <v>14227</v>
      </c>
      <c r="L2883" s="36">
        <v>7500</v>
      </c>
      <c r="M2883" s="9">
        <f t="shared" si="597"/>
        <v>0.52716665495185211</v>
      </c>
      <c r="N2883" s="5">
        <v>1</v>
      </c>
      <c r="O2883" s="10">
        <f t="shared" si="598"/>
        <v>0.52716665495185211</v>
      </c>
    </row>
    <row r="2884" spans="2:15" ht="13.5" hidden="1" customHeight="1">
      <c r="B2884" s="33">
        <f t="shared" si="604"/>
        <v>135</v>
      </c>
      <c r="C2884" s="63" t="s">
        <v>170</v>
      </c>
      <c r="D2884" s="63" t="s">
        <v>850</v>
      </c>
      <c r="F2884" s="64" t="s">
        <v>26</v>
      </c>
      <c r="G2884" s="36">
        <f t="shared" si="603"/>
        <v>7326</v>
      </c>
      <c r="H2884" s="36">
        <v>1861</v>
      </c>
      <c r="I2884" s="36">
        <v>3240</v>
      </c>
      <c r="J2884" s="36">
        <v>1800</v>
      </c>
      <c r="K2884" s="36">
        <f t="shared" si="596"/>
        <v>14227</v>
      </c>
      <c r="L2884" s="36">
        <v>7500</v>
      </c>
      <c r="M2884" s="9">
        <f t="shared" si="597"/>
        <v>0.52716665495185211</v>
      </c>
      <c r="N2884" s="5">
        <v>1</v>
      </c>
      <c r="O2884" s="10">
        <f t="shared" si="598"/>
        <v>0.52716665495185211</v>
      </c>
    </row>
    <row r="2885" spans="2:15" ht="13.5" hidden="1" customHeight="1">
      <c r="B2885" s="33">
        <f t="shared" si="604"/>
        <v>136</v>
      </c>
      <c r="C2885" s="63" t="s">
        <v>170</v>
      </c>
      <c r="D2885" s="63" t="s">
        <v>851</v>
      </c>
      <c r="F2885" s="64" t="s">
        <v>26</v>
      </c>
      <c r="G2885" s="36">
        <f t="shared" si="603"/>
        <v>7326</v>
      </c>
      <c r="H2885" s="36">
        <v>1861</v>
      </c>
      <c r="I2885" s="36">
        <v>3240</v>
      </c>
      <c r="J2885" s="36">
        <v>1800</v>
      </c>
      <c r="K2885" s="36">
        <f t="shared" si="596"/>
        <v>14227</v>
      </c>
      <c r="L2885" s="36">
        <v>7500</v>
      </c>
      <c r="M2885" s="9">
        <f t="shared" si="597"/>
        <v>0.52716665495185211</v>
      </c>
      <c r="N2885" s="5">
        <v>1</v>
      </c>
      <c r="O2885" s="10">
        <f t="shared" si="598"/>
        <v>0.52716665495185211</v>
      </c>
    </row>
    <row r="2886" spans="2:15" ht="13.5" hidden="1" customHeight="1">
      <c r="B2886" s="33">
        <f t="shared" si="604"/>
        <v>137</v>
      </c>
      <c r="C2886" s="63" t="s">
        <v>97</v>
      </c>
      <c r="D2886" s="63" t="s">
        <v>852</v>
      </c>
      <c r="F2886" s="64" t="s">
        <v>26</v>
      </c>
      <c r="G2886" s="36">
        <f t="shared" si="603"/>
        <v>7326</v>
      </c>
      <c r="H2886" s="36">
        <v>1861</v>
      </c>
      <c r="I2886" s="36">
        <v>3240</v>
      </c>
      <c r="J2886" s="36">
        <v>1800</v>
      </c>
      <c r="K2886" s="36">
        <f t="shared" si="596"/>
        <v>14227</v>
      </c>
      <c r="L2886" s="36">
        <v>7500</v>
      </c>
      <c r="M2886" s="9">
        <f t="shared" si="597"/>
        <v>0.52716665495185211</v>
      </c>
      <c r="N2886" s="5">
        <v>1</v>
      </c>
      <c r="O2886" s="10">
        <f t="shared" si="598"/>
        <v>0.52716665495185211</v>
      </c>
    </row>
    <row r="2887" spans="2:15" ht="13.5" hidden="1" customHeight="1">
      <c r="B2887" s="33">
        <f t="shared" si="604"/>
        <v>138</v>
      </c>
      <c r="C2887" s="63" t="s">
        <v>171</v>
      </c>
      <c r="D2887" s="63" t="s">
        <v>854</v>
      </c>
      <c r="F2887" s="64" t="s">
        <v>26</v>
      </c>
      <c r="G2887" s="36">
        <f t="shared" si="603"/>
        <v>7326</v>
      </c>
      <c r="H2887" s="36">
        <v>1861</v>
      </c>
      <c r="I2887" s="36">
        <v>3240</v>
      </c>
      <c r="J2887" s="36">
        <v>1800</v>
      </c>
      <c r="K2887" s="36">
        <f t="shared" si="596"/>
        <v>14227</v>
      </c>
      <c r="L2887" s="36">
        <v>7500</v>
      </c>
      <c r="M2887" s="9">
        <f t="shared" si="597"/>
        <v>0.52716665495185211</v>
      </c>
      <c r="N2887" s="5">
        <v>1</v>
      </c>
      <c r="O2887" s="10">
        <f t="shared" si="598"/>
        <v>0.52716665495185211</v>
      </c>
    </row>
    <row r="2888" spans="2:15" ht="13.5" hidden="1" customHeight="1">
      <c r="B2888" s="33">
        <f t="shared" si="604"/>
        <v>139</v>
      </c>
      <c r="C2888" s="63" t="s">
        <v>977</v>
      </c>
      <c r="D2888" s="63" t="s">
        <v>859</v>
      </c>
      <c r="F2888" s="64" t="s">
        <v>26</v>
      </c>
      <c r="G2888" s="36">
        <f t="shared" si="603"/>
        <v>7326</v>
      </c>
      <c r="H2888" s="36">
        <v>1861</v>
      </c>
      <c r="I2888" s="36">
        <v>3240</v>
      </c>
      <c r="J2888" s="36">
        <v>1800</v>
      </c>
      <c r="K2888" s="36">
        <f t="shared" ref="K2888:K2938" si="605">SUM(G2888:J2888)</f>
        <v>14227</v>
      </c>
      <c r="L2888" s="36">
        <v>7500</v>
      </c>
      <c r="M2888" s="9">
        <f t="shared" ref="M2888:M2938" si="606">L2888/K2888</f>
        <v>0.52716665495185211</v>
      </c>
      <c r="N2888" s="5">
        <v>1</v>
      </c>
      <c r="O2888" s="10">
        <f t="shared" ref="O2888:O2938" si="607">N2888*M2888</f>
        <v>0.52716665495185211</v>
      </c>
    </row>
    <row r="2889" spans="2:15" ht="13.5" hidden="1" customHeight="1">
      <c r="B2889" s="33">
        <f t="shared" si="604"/>
        <v>140</v>
      </c>
      <c r="C2889" s="63" t="s">
        <v>69</v>
      </c>
      <c r="D2889" s="63" t="s">
        <v>869</v>
      </c>
      <c r="F2889" s="64" t="s">
        <v>26</v>
      </c>
      <c r="G2889" s="36">
        <f t="shared" si="603"/>
        <v>7326</v>
      </c>
      <c r="H2889" s="36">
        <v>1861</v>
      </c>
      <c r="I2889" s="36">
        <v>3240</v>
      </c>
      <c r="J2889" s="36">
        <v>1800</v>
      </c>
      <c r="K2889" s="36">
        <f t="shared" si="605"/>
        <v>14227</v>
      </c>
      <c r="L2889" s="36">
        <v>7500</v>
      </c>
      <c r="M2889" s="9">
        <f t="shared" si="606"/>
        <v>0.52716665495185211</v>
      </c>
      <c r="N2889" s="5">
        <v>1</v>
      </c>
      <c r="O2889" s="10">
        <f t="shared" si="607"/>
        <v>0.52716665495185211</v>
      </c>
    </row>
    <row r="2890" spans="2:15" ht="13.5" hidden="1" customHeight="1">
      <c r="B2890" s="33">
        <f t="shared" si="604"/>
        <v>141</v>
      </c>
      <c r="C2890" s="63" t="s">
        <v>978</v>
      </c>
      <c r="D2890" s="63" t="s">
        <v>877</v>
      </c>
      <c r="F2890" s="64" t="s">
        <v>26</v>
      </c>
      <c r="G2890" s="36">
        <f t="shared" si="603"/>
        <v>7326</v>
      </c>
      <c r="H2890" s="36">
        <v>1861</v>
      </c>
      <c r="I2890" s="36">
        <v>3240</v>
      </c>
      <c r="J2890" s="36">
        <v>1800</v>
      </c>
      <c r="K2890" s="36">
        <f t="shared" si="605"/>
        <v>14227</v>
      </c>
      <c r="L2890" s="36">
        <v>7500</v>
      </c>
      <c r="M2890" s="9">
        <f t="shared" si="606"/>
        <v>0.52716665495185211</v>
      </c>
      <c r="N2890" s="5">
        <v>1</v>
      </c>
      <c r="O2890" s="10">
        <f t="shared" si="607"/>
        <v>0.52716665495185211</v>
      </c>
    </row>
    <row r="2891" spans="2:15" ht="13.5" hidden="1" customHeight="1">
      <c r="B2891" s="33">
        <f t="shared" si="604"/>
        <v>142</v>
      </c>
      <c r="C2891" s="63" t="s">
        <v>979</v>
      </c>
      <c r="D2891" s="63" t="s">
        <v>882</v>
      </c>
      <c r="F2891" s="64" t="s">
        <v>26</v>
      </c>
      <c r="G2891" s="36">
        <f t="shared" si="603"/>
        <v>7326</v>
      </c>
      <c r="H2891" s="36">
        <v>1861</v>
      </c>
      <c r="I2891" s="36">
        <v>3240</v>
      </c>
      <c r="J2891" s="36">
        <v>1800</v>
      </c>
      <c r="K2891" s="36">
        <f t="shared" si="605"/>
        <v>14227</v>
      </c>
      <c r="L2891" s="36">
        <v>7500</v>
      </c>
      <c r="M2891" s="9">
        <f t="shared" si="606"/>
        <v>0.52716665495185211</v>
      </c>
      <c r="N2891" s="5">
        <v>1</v>
      </c>
      <c r="O2891" s="10">
        <f t="shared" si="607"/>
        <v>0.52716665495185211</v>
      </c>
    </row>
    <row r="2892" spans="2:15" ht="13.5" hidden="1" customHeight="1">
      <c r="B2892" s="33">
        <f t="shared" si="604"/>
        <v>143</v>
      </c>
      <c r="C2892" s="63" t="s">
        <v>980</v>
      </c>
      <c r="D2892" s="63" t="s">
        <v>893</v>
      </c>
      <c r="F2892" s="64" t="s">
        <v>26</v>
      </c>
      <c r="G2892" s="36">
        <f t="shared" si="603"/>
        <v>7326</v>
      </c>
      <c r="H2892" s="36">
        <v>1861</v>
      </c>
      <c r="I2892" s="36">
        <v>3240</v>
      </c>
      <c r="J2892" s="36">
        <v>1800</v>
      </c>
      <c r="K2892" s="36">
        <f t="shared" si="605"/>
        <v>14227</v>
      </c>
      <c r="L2892" s="36">
        <v>7500</v>
      </c>
      <c r="M2892" s="9">
        <f t="shared" si="606"/>
        <v>0.52716665495185211</v>
      </c>
      <c r="N2892" s="5">
        <v>1</v>
      </c>
      <c r="O2892" s="10">
        <f t="shared" si="607"/>
        <v>0.52716665495185211</v>
      </c>
    </row>
    <row r="2893" spans="2:15" ht="13.5" hidden="1" customHeight="1">
      <c r="B2893" s="33">
        <f t="shared" si="604"/>
        <v>144</v>
      </c>
      <c r="C2893" s="63" t="s">
        <v>981</v>
      </c>
      <c r="D2893" s="63" t="s">
        <v>895</v>
      </c>
      <c r="F2893" s="64" t="s">
        <v>26</v>
      </c>
      <c r="G2893" s="36">
        <v>0</v>
      </c>
      <c r="H2893" s="36">
        <v>0</v>
      </c>
      <c r="I2893" s="36">
        <v>0</v>
      </c>
      <c r="J2893" s="36">
        <v>0</v>
      </c>
      <c r="K2893" s="36">
        <f t="shared" si="605"/>
        <v>0</v>
      </c>
      <c r="L2893" s="36">
        <v>7500</v>
      </c>
      <c r="M2893" s="9" t="e">
        <f t="shared" si="606"/>
        <v>#DIV/0!</v>
      </c>
      <c r="N2893" s="5">
        <v>1</v>
      </c>
      <c r="O2893" s="10" t="e">
        <f t="shared" si="607"/>
        <v>#DIV/0!</v>
      </c>
    </row>
    <row r="2894" spans="2:15" ht="13.5" hidden="1" customHeight="1">
      <c r="B2894" s="33">
        <f t="shared" si="604"/>
        <v>145</v>
      </c>
      <c r="C2894" s="62" t="s">
        <v>983</v>
      </c>
      <c r="D2894" s="62" t="s">
        <v>737</v>
      </c>
      <c r="F2894" s="61" t="s">
        <v>32</v>
      </c>
      <c r="G2894" s="36">
        <f>300*14</f>
        <v>4200</v>
      </c>
      <c r="H2894" s="36">
        <v>1861</v>
      </c>
      <c r="I2894" s="36">
        <v>3240</v>
      </c>
      <c r="J2894" s="36">
        <v>900</v>
      </c>
      <c r="K2894" s="36">
        <f t="shared" si="605"/>
        <v>10201</v>
      </c>
      <c r="L2894" s="36">
        <v>7500</v>
      </c>
      <c r="M2894" s="9">
        <f t="shared" si="606"/>
        <v>0.73522203705519062</v>
      </c>
      <c r="N2894" s="5">
        <v>1</v>
      </c>
      <c r="O2894" s="10">
        <f t="shared" si="607"/>
        <v>0.73522203705519062</v>
      </c>
    </row>
    <row r="2895" spans="2:15" ht="13.5" hidden="1" customHeight="1">
      <c r="B2895" s="33">
        <f t="shared" si="604"/>
        <v>146</v>
      </c>
      <c r="C2895" s="62" t="s">
        <v>983</v>
      </c>
      <c r="D2895" s="62" t="s">
        <v>738</v>
      </c>
      <c r="F2895" s="61" t="s">
        <v>32</v>
      </c>
      <c r="G2895" s="36">
        <f t="shared" ref="G2895:G2909" si="608">300*14</f>
        <v>4200</v>
      </c>
      <c r="H2895" s="36">
        <v>1861</v>
      </c>
      <c r="I2895" s="36">
        <v>3240</v>
      </c>
      <c r="J2895" s="36">
        <v>900</v>
      </c>
      <c r="K2895" s="36">
        <f t="shared" si="605"/>
        <v>10201</v>
      </c>
      <c r="L2895" s="36">
        <v>7500</v>
      </c>
      <c r="M2895" s="9">
        <f t="shared" si="606"/>
        <v>0.73522203705519062</v>
      </c>
      <c r="N2895" s="5">
        <v>1</v>
      </c>
      <c r="O2895" s="10">
        <f t="shared" si="607"/>
        <v>0.73522203705519062</v>
      </c>
    </row>
    <row r="2896" spans="2:15" ht="13.5" hidden="1" customHeight="1">
      <c r="B2896" s="33">
        <f t="shared" si="604"/>
        <v>147</v>
      </c>
      <c r="C2896" s="62" t="s">
        <v>226</v>
      </c>
      <c r="D2896" s="62" t="s">
        <v>742</v>
      </c>
      <c r="F2896" s="61" t="s">
        <v>32</v>
      </c>
      <c r="G2896" s="36">
        <f t="shared" si="608"/>
        <v>4200</v>
      </c>
      <c r="H2896" s="36">
        <v>1861</v>
      </c>
      <c r="I2896" s="36">
        <v>3240</v>
      </c>
      <c r="J2896" s="36">
        <v>900</v>
      </c>
      <c r="K2896" s="36">
        <f t="shared" si="605"/>
        <v>10201</v>
      </c>
      <c r="L2896" s="36">
        <v>7500</v>
      </c>
      <c r="M2896" s="9">
        <f t="shared" si="606"/>
        <v>0.73522203705519062</v>
      </c>
      <c r="N2896" s="5">
        <v>1</v>
      </c>
      <c r="O2896" s="10">
        <f t="shared" si="607"/>
        <v>0.73522203705519062</v>
      </c>
    </row>
    <row r="2897" spans="2:15" ht="13.5" hidden="1" customHeight="1">
      <c r="B2897" s="33">
        <f t="shared" si="604"/>
        <v>148</v>
      </c>
      <c r="C2897" s="62" t="s">
        <v>50</v>
      </c>
      <c r="D2897" s="62" t="s">
        <v>748</v>
      </c>
      <c r="F2897" s="61" t="s">
        <v>32</v>
      </c>
      <c r="G2897" s="36">
        <f t="shared" si="608"/>
        <v>4200</v>
      </c>
      <c r="H2897" s="36">
        <v>1861</v>
      </c>
      <c r="I2897" s="36">
        <v>3240</v>
      </c>
      <c r="J2897" s="36">
        <v>900</v>
      </c>
      <c r="K2897" s="36">
        <f t="shared" si="605"/>
        <v>10201</v>
      </c>
      <c r="L2897" s="36">
        <v>7500</v>
      </c>
      <c r="M2897" s="9">
        <f t="shared" si="606"/>
        <v>0.73522203705519062</v>
      </c>
      <c r="N2897" s="5">
        <v>1</v>
      </c>
      <c r="O2897" s="10">
        <f t="shared" si="607"/>
        <v>0.73522203705519062</v>
      </c>
    </row>
    <row r="2898" spans="2:15" ht="13.5" hidden="1" customHeight="1">
      <c r="B2898" s="33">
        <f t="shared" si="604"/>
        <v>149</v>
      </c>
      <c r="C2898" s="62" t="s">
        <v>934</v>
      </c>
      <c r="D2898" s="62" t="s">
        <v>749</v>
      </c>
      <c r="F2898" s="61" t="s">
        <v>32</v>
      </c>
      <c r="G2898" s="36">
        <f t="shared" si="608"/>
        <v>4200</v>
      </c>
      <c r="H2898" s="36">
        <v>1861</v>
      </c>
      <c r="I2898" s="36">
        <v>3240</v>
      </c>
      <c r="J2898" s="36">
        <v>900</v>
      </c>
      <c r="K2898" s="36">
        <f t="shared" si="605"/>
        <v>10201</v>
      </c>
      <c r="L2898" s="36">
        <v>7500</v>
      </c>
      <c r="M2898" s="9">
        <f t="shared" si="606"/>
        <v>0.73522203705519062</v>
      </c>
      <c r="N2898" s="5">
        <v>1</v>
      </c>
      <c r="O2898" s="10">
        <f t="shared" si="607"/>
        <v>0.73522203705519062</v>
      </c>
    </row>
    <row r="2899" spans="2:15" ht="13.5" hidden="1" customHeight="1">
      <c r="B2899" s="33">
        <f t="shared" si="604"/>
        <v>150</v>
      </c>
      <c r="C2899" s="62" t="s">
        <v>133</v>
      </c>
      <c r="D2899" s="62" t="s">
        <v>499</v>
      </c>
      <c r="F2899" s="61" t="s">
        <v>32</v>
      </c>
      <c r="G2899" s="36">
        <f t="shared" si="608"/>
        <v>4200</v>
      </c>
      <c r="H2899" s="36">
        <v>1861</v>
      </c>
      <c r="I2899" s="36">
        <v>3240</v>
      </c>
      <c r="J2899" s="36">
        <v>900</v>
      </c>
      <c r="K2899" s="36">
        <f t="shared" si="605"/>
        <v>10201</v>
      </c>
      <c r="L2899" s="36">
        <v>7500</v>
      </c>
      <c r="M2899" s="9">
        <f t="shared" si="606"/>
        <v>0.73522203705519062</v>
      </c>
      <c r="N2899" s="5">
        <v>1</v>
      </c>
      <c r="O2899" s="10">
        <f t="shared" si="607"/>
        <v>0.73522203705519062</v>
      </c>
    </row>
    <row r="2900" spans="2:15" ht="13.5" hidden="1" customHeight="1">
      <c r="B2900" s="33">
        <f t="shared" si="604"/>
        <v>151</v>
      </c>
      <c r="C2900" s="62" t="s">
        <v>77</v>
      </c>
      <c r="D2900" s="62" t="s">
        <v>764</v>
      </c>
      <c r="F2900" s="61" t="s">
        <v>32</v>
      </c>
      <c r="G2900" s="36">
        <f t="shared" si="608"/>
        <v>4200</v>
      </c>
      <c r="H2900" s="36">
        <v>1861</v>
      </c>
      <c r="I2900" s="36">
        <v>3240</v>
      </c>
      <c r="J2900" s="36">
        <v>900</v>
      </c>
      <c r="K2900" s="36">
        <f t="shared" si="605"/>
        <v>10201</v>
      </c>
      <c r="L2900" s="36">
        <v>7500</v>
      </c>
      <c r="M2900" s="9">
        <f t="shared" si="606"/>
        <v>0.73522203705519062</v>
      </c>
      <c r="N2900" s="5">
        <v>1</v>
      </c>
      <c r="O2900" s="10">
        <f t="shared" si="607"/>
        <v>0.73522203705519062</v>
      </c>
    </row>
    <row r="2901" spans="2:15" ht="13.5" hidden="1" customHeight="1">
      <c r="B2901" s="33">
        <f t="shared" si="604"/>
        <v>152</v>
      </c>
      <c r="C2901" s="62" t="s">
        <v>984</v>
      </c>
      <c r="D2901" s="62" t="s">
        <v>767</v>
      </c>
      <c r="F2901" s="61" t="s">
        <v>32</v>
      </c>
      <c r="G2901" s="36">
        <f t="shared" si="608"/>
        <v>4200</v>
      </c>
      <c r="H2901" s="36">
        <v>1861</v>
      </c>
      <c r="I2901" s="36">
        <v>3240</v>
      </c>
      <c r="J2901" s="36">
        <v>900</v>
      </c>
      <c r="K2901" s="36">
        <f t="shared" si="605"/>
        <v>10201</v>
      </c>
      <c r="L2901" s="36">
        <v>7500</v>
      </c>
      <c r="M2901" s="9">
        <f t="shared" si="606"/>
        <v>0.73522203705519062</v>
      </c>
      <c r="N2901" s="5">
        <v>1</v>
      </c>
      <c r="O2901" s="10">
        <f t="shared" si="607"/>
        <v>0.73522203705519062</v>
      </c>
    </row>
    <row r="2902" spans="2:15" ht="13.5" hidden="1" customHeight="1">
      <c r="B2902" s="33">
        <f t="shared" si="604"/>
        <v>153</v>
      </c>
      <c r="C2902" s="62" t="s">
        <v>103</v>
      </c>
      <c r="D2902" s="62" t="s">
        <v>769</v>
      </c>
      <c r="F2902" s="61" t="s">
        <v>32</v>
      </c>
      <c r="G2902" s="36">
        <f t="shared" si="608"/>
        <v>4200</v>
      </c>
      <c r="H2902" s="36">
        <v>1861</v>
      </c>
      <c r="I2902" s="36">
        <v>3240</v>
      </c>
      <c r="J2902" s="36">
        <v>900</v>
      </c>
      <c r="K2902" s="36">
        <f t="shared" si="605"/>
        <v>10201</v>
      </c>
      <c r="L2902" s="36">
        <v>7500</v>
      </c>
      <c r="M2902" s="9">
        <f t="shared" si="606"/>
        <v>0.73522203705519062</v>
      </c>
      <c r="N2902" s="5">
        <v>1</v>
      </c>
      <c r="O2902" s="10">
        <f t="shared" si="607"/>
        <v>0.73522203705519062</v>
      </c>
    </row>
    <row r="2903" spans="2:15" ht="13.5" hidden="1" customHeight="1">
      <c r="B2903" s="33">
        <f t="shared" si="604"/>
        <v>154</v>
      </c>
      <c r="C2903" s="62" t="s">
        <v>985</v>
      </c>
      <c r="D2903" s="62" t="s">
        <v>779</v>
      </c>
      <c r="F2903" s="61" t="s">
        <v>32</v>
      </c>
      <c r="G2903" s="36">
        <f t="shared" si="608"/>
        <v>4200</v>
      </c>
      <c r="H2903" s="36">
        <v>1861</v>
      </c>
      <c r="I2903" s="36">
        <v>3240</v>
      </c>
      <c r="J2903" s="36">
        <v>900</v>
      </c>
      <c r="K2903" s="36">
        <f t="shared" si="605"/>
        <v>10201</v>
      </c>
      <c r="L2903" s="36">
        <v>7500</v>
      </c>
      <c r="M2903" s="9">
        <f t="shared" si="606"/>
        <v>0.73522203705519062</v>
      </c>
      <c r="N2903" s="5">
        <v>1</v>
      </c>
      <c r="O2903" s="10">
        <f t="shared" si="607"/>
        <v>0.73522203705519062</v>
      </c>
    </row>
    <row r="2904" spans="2:15" ht="13.5" hidden="1" customHeight="1">
      <c r="B2904" s="33">
        <f t="shared" si="604"/>
        <v>155</v>
      </c>
      <c r="C2904" s="63" t="s">
        <v>83</v>
      </c>
      <c r="D2904" s="63" t="s">
        <v>814</v>
      </c>
      <c r="F2904" s="64" t="s">
        <v>32</v>
      </c>
      <c r="G2904" s="36">
        <f t="shared" si="608"/>
        <v>4200</v>
      </c>
      <c r="H2904" s="36">
        <v>1861</v>
      </c>
      <c r="I2904" s="36">
        <v>3240</v>
      </c>
      <c r="J2904" s="36">
        <v>900</v>
      </c>
      <c r="K2904" s="36">
        <f t="shared" si="605"/>
        <v>10201</v>
      </c>
      <c r="L2904" s="36">
        <v>7500</v>
      </c>
      <c r="M2904" s="9">
        <f t="shared" si="606"/>
        <v>0.73522203705519062</v>
      </c>
      <c r="N2904" s="5">
        <v>1</v>
      </c>
      <c r="O2904" s="10">
        <f t="shared" si="607"/>
        <v>0.73522203705519062</v>
      </c>
    </row>
    <row r="2905" spans="2:15" ht="13.5" hidden="1" customHeight="1">
      <c r="B2905" s="33">
        <f t="shared" si="604"/>
        <v>156</v>
      </c>
      <c r="C2905" s="63" t="s">
        <v>986</v>
      </c>
      <c r="D2905" s="63" t="s">
        <v>831</v>
      </c>
      <c r="F2905" s="64" t="s">
        <v>32</v>
      </c>
      <c r="G2905" s="36">
        <f t="shared" si="608"/>
        <v>4200</v>
      </c>
      <c r="H2905" s="36">
        <v>1861</v>
      </c>
      <c r="I2905" s="36">
        <v>3240</v>
      </c>
      <c r="J2905" s="36">
        <v>900</v>
      </c>
      <c r="K2905" s="36">
        <f t="shared" si="605"/>
        <v>10201</v>
      </c>
      <c r="L2905" s="36">
        <v>7500</v>
      </c>
      <c r="M2905" s="9">
        <f t="shared" si="606"/>
        <v>0.73522203705519062</v>
      </c>
      <c r="N2905" s="5">
        <v>1</v>
      </c>
      <c r="O2905" s="10">
        <f t="shared" si="607"/>
        <v>0.73522203705519062</v>
      </c>
    </row>
    <row r="2906" spans="2:15" ht="13.5" hidden="1" customHeight="1">
      <c r="B2906" s="33">
        <f t="shared" si="604"/>
        <v>157</v>
      </c>
      <c r="C2906" s="63" t="s">
        <v>86</v>
      </c>
      <c r="D2906" s="63" t="s">
        <v>834</v>
      </c>
      <c r="F2906" s="64" t="s">
        <v>32</v>
      </c>
      <c r="G2906" s="36">
        <f t="shared" si="608"/>
        <v>4200</v>
      </c>
      <c r="H2906" s="36">
        <v>1861</v>
      </c>
      <c r="I2906" s="36">
        <v>3240</v>
      </c>
      <c r="J2906" s="36">
        <v>900</v>
      </c>
      <c r="K2906" s="36">
        <f t="shared" si="605"/>
        <v>10201</v>
      </c>
      <c r="L2906" s="36">
        <v>7500</v>
      </c>
      <c r="M2906" s="9">
        <f t="shared" si="606"/>
        <v>0.73522203705519062</v>
      </c>
      <c r="N2906" s="5">
        <v>1</v>
      </c>
      <c r="O2906" s="10">
        <f t="shared" si="607"/>
        <v>0.73522203705519062</v>
      </c>
    </row>
    <row r="2907" spans="2:15" ht="13.5" hidden="1" customHeight="1">
      <c r="B2907" s="33">
        <f t="shared" si="604"/>
        <v>158</v>
      </c>
      <c r="C2907" s="63" t="s">
        <v>115</v>
      </c>
      <c r="D2907" s="63" t="s">
        <v>839</v>
      </c>
      <c r="F2907" s="64" t="s">
        <v>32</v>
      </c>
      <c r="G2907" s="36">
        <f t="shared" si="608"/>
        <v>4200</v>
      </c>
      <c r="H2907" s="36">
        <v>1861</v>
      </c>
      <c r="I2907" s="36">
        <v>3240</v>
      </c>
      <c r="J2907" s="36">
        <v>900</v>
      </c>
      <c r="K2907" s="36">
        <f t="shared" si="605"/>
        <v>10201</v>
      </c>
      <c r="L2907" s="36">
        <v>7500</v>
      </c>
      <c r="M2907" s="9">
        <f t="shared" si="606"/>
        <v>0.73522203705519062</v>
      </c>
      <c r="N2907" s="5">
        <v>1</v>
      </c>
      <c r="O2907" s="10">
        <f t="shared" si="607"/>
        <v>0.73522203705519062</v>
      </c>
    </row>
    <row r="2908" spans="2:15" ht="13.5" hidden="1" customHeight="1">
      <c r="B2908" s="33">
        <f t="shared" si="604"/>
        <v>159</v>
      </c>
      <c r="C2908" s="63" t="s">
        <v>987</v>
      </c>
      <c r="D2908" s="63" t="s">
        <v>866</v>
      </c>
      <c r="F2908" s="64" t="s">
        <v>32</v>
      </c>
      <c r="G2908" s="36">
        <f t="shared" si="608"/>
        <v>4200</v>
      </c>
      <c r="H2908" s="36">
        <v>1861</v>
      </c>
      <c r="I2908" s="36">
        <v>3240</v>
      </c>
      <c r="J2908" s="36">
        <v>900</v>
      </c>
      <c r="K2908" s="36">
        <f t="shared" si="605"/>
        <v>10201</v>
      </c>
      <c r="L2908" s="36">
        <v>7500</v>
      </c>
      <c r="M2908" s="9">
        <f t="shared" si="606"/>
        <v>0.73522203705519062</v>
      </c>
      <c r="N2908" s="5">
        <v>1</v>
      </c>
      <c r="O2908" s="10">
        <f t="shared" si="607"/>
        <v>0.73522203705519062</v>
      </c>
    </row>
    <row r="2909" spans="2:15" ht="13.5" hidden="1" customHeight="1">
      <c r="B2909" s="33">
        <f t="shared" si="604"/>
        <v>160</v>
      </c>
      <c r="C2909" s="63" t="s">
        <v>362</v>
      </c>
      <c r="D2909" s="63" t="s">
        <v>894</v>
      </c>
      <c r="F2909" s="64" t="s">
        <v>32</v>
      </c>
      <c r="G2909" s="36">
        <f t="shared" si="608"/>
        <v>4200</v>
      </c>
      <c r="H2909" s="36">
        <v>1861</v>
      </c>
      <c r="I2909" s="36">
        <v>3240</v>
      </c>
      <c r="J2909" s="36">
        <v>900</v>
      </c>
      <c r="K2909" s="36">
        <f t="shared" si="605"/>
        <v>10201</v>
      </c>
      <c r="L2909" s="36">
        <v>7500</v>
      </c>
      <c r="M2909" s="9">
        <f t="shared" si="606"/>
        <v>0.73522203705519062</v>
      </c>
      <c r="N2909" s="5">
        <v>1</v>
      </c>
      <c r="O2909" s="10">
        <f t="shared" si="607"/>
        <v>0.73522203705519062</v>
      </c>
    </row>
    <row r="2910" spans="2:15" ht="13.5" hidden="1" customHeight="1">
      <c r="B2910" s="33">
        <f t="shared" si="604"/>
        <v>161</v>
      </c>
      <c r="C2910" s="62" t="s">
        <v>988</v>
      </c>
      <c r="D2910" s="62" t="s">
        <v>787</v>
      </c>
      <c r="F2910" s="61" t="s">
        <v>24</v>
      </c>
      <c r="G2910" s="36">
        <v>0</v>
      </c>
      <c r="H2910" s="36">
        <v>0</v>
      </c>
      <c r="I2910" s="36">
        <v>0</v>
      </c>
      <c r="J2910" s="36">
        <v>0</v>
      </c>
      <c r="K2910" s="36">
        <f t="shared" si="605"/>
        <v>0</v>
      </c>
      <c r="L2910" s="36">
        <v>7500</v>
      </c>
      <c r="M2910" s="9" t="e">
        <f t="shared" si="606"/>
        <v>#DIV/0!</v>
      </c>
      <c r="N2910" s="5">
        <v>1</v>
      </c>
      <c r="O2910" s="10" t="e">
        <f t="shared" si="607"/>
        <v>#DIV/0!</v>
      </c>
    </row>
    <row r="2911" spans="2:15" ht="13.5" hidden="1" customHeight="1">
      <c r="B2911" s="33">
        <f t="shared" si="604"/>
        <v>162</v>
      </c>
      <c r="C2911" s="63" t="s">
        <v>114</v>
      </c>
      <c r="D2911" s="63" t="s">
        <v>801</v>
      </c>
      <c r="F2911" s="64" t="s">
        <v>24</v>
      </c>
      <c r="G2911" s="36">
        <v>0</v>
      </c>
      <c r="H2911" s="36">
        <v>0</v>
      </c>
      <c r="I2911" s="36">
        <v>0</v>
      </c>
      <c r="J2911" s="36">
        <v>0</v>
      </c>
      <c r="K2911" s="36">
        <f t="shared" si="605"/>
        <v>0</v>
      </c>
      <c r="L2911" s="36">
        <v>7500</v>
      </c>
      <c r="M2911" s="9" t="e">
        <f t="shared" si="606"/>
        <v>#DIV/0!</v>
      </c>
      <c r="N2911" s="5">
        <v>1</v>
      </c>
      <c r="O2911" s="10" t="e">
        <f t="shared" si="607"/>
        <v>#DIV/0!</v>
      </c>
    </row>
    <row r="2912" spans="2:15" ht="13.5" hidden="1" customHeight="1">
      <c r="B2912" s="33">
        <f t="shared" si="604"/>
        <v>163</v>
      </c>
      <c r="C2912" s="63" t="s">
        <v>989</v>
      </c>
      <c r="D2912" s="63" t="s">
        <v>812</v>
      </c>
      <c r="F2912" s="64" t="s">
        <v>24</v>
      </c>
      <c r="G2912" s="36">
        <v>0</v>
      </c>
      <c r="H2912" s="36">
        <v>0</v>
      </c>
      <c r="I2912" s="36">
        <v>0</v>
      </c>
      <c r="J2912" s="36">
        <v>0</v>
      </c>
      <c r="K2912" s="36">
        <f t="shared" si="605"/>
        <v>0</v>
      </c>
      <c r="L2912" s="36">
        <v>7500</v>
      </c>
      <c r="M2912" s="9" t="e">
        <f t="shared" si="606"/>
        <v>#DIV/0!</v>
      </c>
      <c r="N2912" s="5">
        <v>1</v>
      </c>
      <c r="O2912" s="10" t="e">
        <f t="shared" si="607"/>
        <v>#DIV/0!</v>
      </c>
    </row>
    <row r="2913" spans="2:15" ht="13.5" hidden="1" customHeight="1">
      <c r="B2913" s="33">
        <f t="shared" si="604"/>
        <v>164</v>
      </c>
      <c r="C2913" s="63" t="s">
        <v>990</v>
      </c>
      <c r="D2913" s="63" t="s">
        <v>818</v>
      </c>
      <c r="F2913" s="64" t="s">
        <v>24</v>
      </c>
      <c r="G2913" s="36">
        <v>0</v>
      </c>
      <c r="H2913" s="36">
        <v>0</v>
      </c>
      <c r="I2913" s="36">
        <v>0</v>
      </c>
      <c r="J2913" s="36">
        <v>0</v>
      </c>
      <c r="K2913" s="36">
        <f t="shared" si="605"/>
        <v>0</v>
      </c>
      <c r="L2913" s="36">
        <v>7500</v>
      </c>
      <c r="M2913" s="9" t="e">
        <f t="shared" si="606"/>
        <v>#DIV/0!</v>
      </c>
      <c r="N2913" s="5">
        <v>1</v>
      </c>
      <c r="O2913" s="10" t="e">
        <f t="shared" si="607"/>
        <v>#DIV/0!</v>
      </c>
    </row>
    <row r="2914" spans="2:15" ht="13.5" hidden="1" customHeight="1">
      <c r="B2914" s="33">
        <f t="shared" si="604"/>
        <v>165</v>
      </c>
      <c r="C2914" s="63" t="s">
        <v>65</v>
      </c>
      <c r="D2914" s="63" t="s">
        <v>843</v>
      </c>
      <c r="F2914" s="64" t="s">
        <v>24</v>
      </c>
      <c r="G2914" s="36">
        <v>0</v>
      </c>
      <c r="H2914" s="36">
        <v>0</v>
      </c>
      <c r="I2914" s="36">
        <v>0</v>
      </c>
      <c r="J2914" s="36">
        <v>0</v>
      </c>
      <c r="K2914" s="36">
        <f t="shared" si="605"/>
        <v>0</v>
      </c>
      <c r="L2914" s="36">
        <v>7500</v>
      </c>
      <c r="M2914" s="9" t="e">
        <f t="shared" si="606"/>
        <v>#DIV/0!</v>
      </c>
      <c r="N2914" s="5">
        <v>1</v>
      </c>
      <c r="O2914" s="10" t="e">
        <f t="shared" si="607"/>
        <v>#DIV/0!</v>
      </c>
    </row>
    <row r="2915" spans="2:15" ht="13.5" hidden="1" customHeight="1">
      <c r="B2915" s="33">
        <f t="shared" si="604"/>
        <v>166</v>
      </c>
      <c r="C2915" s="63" t="s">
        <v>991</v>
      </c>
      <c r="D2915" s="63" t="s">
        <v>872</v>
      </c>
      <c r="F2915" s="64" t="s">
        <v>24</v>
      </c>
      <c r="G2915" s="36">
        <v>0</v>
      </c>
      <c r="H2915" s="36">
        <v>0</v>
      </c>
      <c r="I2915" s="36">
        <v>0</v>
      </c>
      <c r="J2915" s="36">
        <v>0</v>
      </c>
      <c r="K2915" s="36">
        <f t="shared" si="605"/>
        <v>0</v>
      </c>
      <c r="L2915" s="36">
        <v>7500</v>
      </c>
      <c r="M2915" s="9" t="e">
        <f t="shared" si="606"/>
        <v>#DIV/0!</v>
      </c>
      <c r="N2915" s="5">
        <v>1</v>
      </c>
      <c r="O2915" s="10" t="e">
        <f t="shared" si="607"/>
        <v>#DIV/0!</v>
      </c>
    </row>
    <row r="2916" spans="2:15" ht="13.5" hidden="1" customHeight="1">
      <c r="B2916" s="33">
        <f t="shared" si="604"/>
        <v>167</v>
      </c>
      <c r="C2916" s="62" t="s">
        <v>992</v>
      </c>
      <c r="D2916" s="62" t="s">
        <v>732</v>
      </c>
      <c r="F2916" s="61" t="s">
        <v>43</v>
      </c>
      <c r="G2916" s="36">
        <f>333*20</f>
        <v>6660</v>
      </c>
      <c r="H2916" s="36">
        <v>1861</v>
      </c>
      <c r="I2916" s="36">
        <v>3790</v>
      </c>
      <c r="J2916" s="36">
        <v>500</v>
      </c>
      <c r="K2916" s="36">
        <f t="shared" si="605"/>
        <v>12811</v>
      </c>
      <c r="L2916" s="36">
        <v>7500</v>
      </c>
      <c r="M2916" s="9">
        <f t="shared" si="606"/>
        <v>0.58543439231910077</v>
      </c>
      <c r="N2916" s="5">
        <v>1</v>
      </c>
      <c r="O2916" s="10">
        <f t="shared" si="607"/>
        <v>0.58543439231910077</v>
      </c>
    </row>
    <row r="2917" spans="2:15" ht="13.5" hidden="1" customHeight="1">
      <c r="B2917" s="33">
        <f t="shared" si="604"/>
        <v>168</v>
      </c>
      <c r="C2917" s="62" t="s">
        <v>993</v>
      </c>
      <c r="D2917" s="62" t="s">
        <v>734</v>
      </c>
      <c r="F2917" s="61" t="s">
        <v>43</v>
      </c>
      <c r="G2917" s="36">
        <f>333*20</f>
        <v>6660</v>
      </c>
      <c r="H2917" s="36">
        <v>1861</v>
      </c>
      <c r="I2917" s="36">
        <v>3790</v>
      </c>
      <c r="J2917" s="36">
        <v>500</v>
      </c>
      <c r="K2917" s="36">
        <f t="shared" si="605"/>
        <v>12811</v>
      </c>
      <c r="L2917" s="36">
        <v>7500</v>
      </c>
      <c r="M2917" s="9">
        <f t="shared" si="606"/>
        <v>0.58543439231910077</v>
      </c>
      <c r="N2917" s="5">
        <v>1</v>
      </c>
      <c r="O2917" s="10">
        <f t="shared" si="607"/>
        <v>0.58543439231910077</v>
      </c>
    </row>
    <row r="2918" spans="2:15" ht="13.5" hidden="1" customHeight="1">
      <c r="B2918" s="33">
        <f t="shared" si="604"/>
        <v>169</v>
      </c>
      <c r="C2918" s="62" t="s">
        <v>76</v>
      </c>
      <c r="D2918" s="62" t="s">
        <v>759</v>
      </c>
      <c r="F2918" s="61" t="s">
        <v>43</v>
      </c>
      <c r="G2918" s="36">
        <f t="shared" ref="G2918:G2929" si="609">333*20</f>
        <v>6660</v>
      </c>
      <c r="H2918" s="36">
        <v>1861</v>
      </c>
      <c r="I2918" s="36">
        <v>3790</v>
      </c>
      <c r="J2918" s="36">
        <v>500</v>
      </c>
      <c r="K2918" s="36">
        <f t="shared" si="605"/>
        <v>12811</v>
      </c>
      <c r="L2918" s="36">
        <v>7500</v>
      </c>
      <c r="M2918" s="9">
        <f t="shared" si="606"/>
        <v>0.58543439231910077</v>
      </c>
      <c r="N2918" s="5">
        <v>1</v>
      </c>
      <c r="O2918" s="10">
        <f t="shared" si="607"/>
        <v>0.58543439231910077</v>
      </c>
    </row>
    <row r="2919" spans="2:15" ht="13.5" hidden="1" customHeight="1">
      <c r="B2919" s="33">
        <f t="shared" si="604"/>
        <v>170</v>
      </c>
      <c r="C2919" s="63" t="s">
        <v>994</v>
      </c>
      <c r="D2919" s="63" t="s">
        <v>788</v>
      </c>
      <c r="F2919" s="64" t="s">
        <v>43</v>
      </c>
      <c r="G2919" s="36">
        <f t="shared" si="609"/>
        <v>6660</v>
      </c>
      <c r="H2919" s="36">
        <v>1861</v>
      </c>
      <c r="I2919" s="36">
        <v>3790</v>
      </c>
      <c r="J2919" s="36">
        <v>500</v>
      </c>
      <c r="K2919" s="36">
        <f t="shared" si="605"/>
        <v>12811</v>
      </c>
      <c r="L2919" s="36">
        <v>7500</v>
      </c>
      <c r="M2919" s="9">
        <f t="shared" si="606"/>
        <v>0.58543439231910077</v>
      </c>
      <c r="N2919" s="5">
        <v>1</v>
      </c>
      <c r="O2919" s="10">
        <f t="shared" si="607"/>
        <v>0.58543439231910077</v>
      </c>
    </row>
    <row r="2920" spans="2:15" ht="13.5" hidden="1" customHeight="1">
      <c r="B2920" s="33">
        <f t="shared" si="604"/>
        <v>171</v>
      </c>
      <c r="C2920" s="63" t="s">
        <v>995</v>
      </c>
      <c r="D2920" s="63" t="s">
        <v>794</v>
      </c>
      <c r="F2920" s="64" t="s">
        <v>43</v>
      </c>
      <c r="G2920" s="36">
        <f t="shared" si="609"/>
        <v>6660</v>
      </c>
      <c r="H2920" s="36">
        <v>1861</v>
      </c>
      <c r="I2920" s="36">
        <v>3790</v>
      </c>
      <c r="J2920" s="36">
        <v>500</v>
      </c>
      <c r="K2920" s="36">
        <f t="shared" si="605"/>
        <v>12811</v>
      </c>
      <c r="L2920" s="36">
        <v>7500</v>
      </c>
      <c r="M2920" s="9">
        <f t="shared" si="606"/>
        <v>0.58543439231910077</v>
      </c>
      <c r="N2920" s="5">
        <v>1</v>
      </c>
      <c r="O2920" s="10">
        <f t="shared" si="607"/>
        <v>0.58543439231910077</v>
      </c>
    </row>
    <row r="2921" spans="2:15" ht="13.5" hidden="1" customHeight="1">
      <c r="B2921" s="33">
        <f t="shared" si="604"/>
        <v>172</v>
      </c>
      <c r="C2921" s="63" t="s">
        <v>996</v>
      </c>
      <c r="D2921" s="63" t="s">
        <v>795</v>
      </c>
      <c r="F2921" s="64" t="s">
        <v>43</v>
      </c>
      <c r="G2921" s="36">
        <f t="shared" si="609"/>
        <v>6660</v>
      </c>
      <c r="H2921" s="36">
        <v>1861</v>
      </c>
      <c r="I2921" s="36">
        <v>3790</v>
      </c>
      <c r="J2921" s="36">
        <v>500</v>
      </c>
      <c r="K2921" s="36">
        <f t="shared" si="605"/>
        <v>12811</v>
      </c>
      <c r="L2921" s="36">
        <v>7500</v>
      </c>
      <c r="M2921" s="9">
        <f t="shared" si="606"/>
        <v>0.58543439231910077</v>
      </c>
      <c r="N2921" s="5">
        <v>1</v>
      </c>
      <c r="O2921" s="10">
        <f t="shared" si="607"/>
        <v>0.58543439231910077</v>
      </c>
    </row>
    <row r="2922" spans="2:15" ht="13.5" hidden="1" customHeight="1">
      <c r="B2922" s="33">
        <f t="shared" si="604"/>
        <v>173</v>
      </c>
      <c r="C2922" s="63" t="s">
        <v>997</v>
      </c>
      <c r="D2922" s="63" t="s">
        <v>820</v>
      </c>
      <c r="F2922" s="64" t="s">
        <v>43</v>
      </c>
      <c r="G2922" s="36">
        <f t="shared" si="609"/>
        <v>6660</v>
      </c>
      <c r="H2922" s="36">
        <v>1861</v>
      </c>
      <c r="I2922" s="36">
        <v>3790</v>
      </c>
      <c r="J2922" s="36">
        <v>500</v>
      </c>
      <c r="K2922" s="36">
        <f t="shared" si="605"/>
        <v>12811</v>
      </c>
      <c r="L2922" s="36">
        <v>7500</v>
      </c>
      <c r="M2922" s="9">
        <f t="shared" si="606"/>
        <v>0.58543439231910077</v>
      </c>
      <c r="N2922" s="5">
        <v>1</v>
      </c>
      <c r="O2922" s="10">
        <f t="shared" si="607"/>
        <v>0.58543439231910077</v>
      </c>
    </row>
    <row r="2923" spans="2:15" ht="13.5" hidden="1" customHeight="1">
      <c r="B2923" s="33">
        <f t="shared" si="604"/>
        <v>174</v>
      </c>
      <c r="C2923" s="63" t="s">
        <v>998</v>
      </c>
      <c r="D2923" s="63" t="s">
        <v>825</v>
      </c>
      <c r="F2923" s="64" t="s">
        <v>43</v>
      </c>
      <c r="G2923" s="36">
        <f>333*17</f>
        <v>5661</v>
      </c>
      <c r="H2923" s="36">
        <v>1861</v>
      </c>
      <c r="I2923" s="36">
        <v>3790</v>
      </c>
      <c r="J2923" s="36">
        <v>500</v>
      </c>
      <c r="K2923" s="36">
        <f t="shared" si="605"/>
        <v>11812</v>
      </c>
      <c r="L2923" s="36">
        <v>7500</v>
      </c>
      <c r="M2923" s="9">
        <f t="shared" si="606"/>
        <v>0.63494751100575686</v>
      </c>
      <c r="N2923" s="5">
        <v>1</v>
      </c>
      <c r="O2923" s="10">
        <f t="shared" si="607"/>
        <v>0.63494751100575686</v>
      </c>
    </row>
    <row r="2924" spans="2:15" ht="13.5" hidden="1" customHeight="1">
      <c r="B2924" s="33">
        <f t="shared" si="604"/>
        <v>175</v>
      </c>
      <c r="C2924" s="63" t="s">
        <v>492</v>
      </c>
      <c r="D2924" s="63" t="s">
        <v>837</v>
      </c>
      <c r="F2924" s="64" t="s">
        <v>43</v>
      </c>
      <c r="G2924" s="36">
        <f t="shared" si="609"/>
        <v>6660</v>
      </c>
      <c r="H2924" s="36">
        <v>1861</v>
      </c>
      <c r="I2924" s="36">
        <v>3790</v>
      </c>
      <c r="J2924" s="36">
        <v>500</v>
      </c>
      <c r="K2924" s="36">
        <f t="shared" si="605"/>
        <v>12811</v>
      </c>
      <c r="L2924" s="36">
        <v>7500</v>
      </c>
      <c r="M2924" s="9">
        <f t="shared" si="606"/>
        <v>0.58543439231910077</v>
      </c>
      <c r="N2924" s="5">
        <v>1</v>
      </c>
      <c r="O2924" s="10">
        <f t="shared" si="607"/>
        <v>0.58543439231910077</v>
      </c>
    </row>
    <row r="2925" spans="2:15" ht="13.5" hidden="1" customHeight="1">
      <c r="B2925" s="33">
        <f t="shared" si="604"/>
        <v>176</v>
      </c>
      <c r="C2925" s="63" t="s">
        <v>247</v>
      </c>
      <c r="D2925" s="63" t="s">
        <v>841</v>
      </c>
      <c r="F2925" s="64" t="s">
        <v>43</v>
      </c>
      <c r="G2925" s="36">
        <f t="shared" si="609"/>
        <v>6660</v>
      </c>
      <c r="H2925" s="36">
        <v>1861</v>
      </c>
      <c r="I2925" s="36">
        <v>3790</v>
      </c>
      <c r="J2925" s="36">
        <v>500</v>
      </c>
      <c r="K2925" s="36">
        <f t="shared" si="605"/>
        <v>12811</v>
      </c>
      <c r="L2925" s="36">
        <v>7500</v>
      </c>
      <c r="M2925" s="9">
        <f t="shared" si="606"/>
        <v>0.58543439231910077</v>
      </c>
      <c r="N2925" s="5">
        <v>1</v>
      </c>
      <c r="O2925" s="10">
        <f t="shared" si="607"/>
        <v>0.58543439231910077</v>
      </c>
    </row>
    <row r="2926" spans="2:15" ht="13.5" hidden="1" customHeight="1">
      <c r="B2926" s="33">
        <f t="shared" si="604"/>
        <v>177</v>
      </c>
      <c r="C2926" s="63" t="s">
        <v>999</v>
      </c>
      <c r="D2926" s="63" t="s">
        <v>878</v>
      </c>
      <c r="F2926" s="64" t="s">
        <v>43</v>
      </c>
      <c r="G2926" s="36">
        <f t="shared" si="609"/>
        <v>6660</v>
      </c>
      <c r="H2926" s="36">
        <v>1861</v>
      </c>
      <c r="I2926" s="36">
        <v>3790</v>
      </c>
      <c r="J2926" s="36">
        <v>500</v>
      </c>
      <c r="K2926" s="36">
        <f t="shared" si="605"/>
        <v>12811</v>
      </c>
      <c r="L2926" s="36">
        <v>7500</v>
      </c>
      <c r="M2926" s="9">
        <f t="shared" si="606"/>
        <v>0.58543439231910077</v>
      </c>
      <c r="N2926" s="5">
        <v>1</v>
      </c>
      <c r="O2926" s="10">
        <f t="shared" si="607"/>
        <v>0.58543439231910077</v>
      </c>
    </row>
    <row r="2927" spans="2:15" ht="13.5" hidden="1" customHeight="1">
      <c r="B2927" s="33">
        <f t="shared" si="604"/>
        <v>178</v>
      </c>
      <c r="C2927" s="63" t="s">
        <v>261</v>
      </c>
      <c r="D2927" s="63" t="s">
        <v>889</v>
      </c>
      <c r="F2927" s="64" t="s">
        <v>43</v>
      </c>
      <c r="G2927" s="36">
        <f t="shared" si="609"/>
        <v>6660</v>
      </c>
      <c r="H2927" s="36">
        <v>1861</v>
      </c>
      <c r="I2927" s="36">
        <v>3790</v>
      </c>
      <c r="J2927" s="36">
        <v>500</v>
      </c>
      <c r="K2927" s="36">
        <f t="shared" si="605"/>
        <v>12811</v>
      </c>
      <c r="L2927" s="36">
        <v>7500</v>
      </c>
      <c r="M2927" s="9">
        <f t="shared" si="606"/>
        <v>0.58543439231910077</v>
      </c>
      <c r="N2927" s="5">
        <v>1</v>
      </c>
      <c r="O2927" s="10">
        <f t="shared" si="607"/>
        <v>0.58543439231910077</v>
      </c>
    </row>
    <row r="2928" spans="2:15" ht="13.5" hidden="1" customHeight="1">
      <c r="B2928" s="33">
        <f t="shared" si="604"/>
        <v>179</v>
      </c>
      <c r="C2928" s="63" t="s">
        <v>73</v>
      </c>
      <c r="D2928" s="63" t="s">
        <v>898</v>
      </c>
      <c r="F2928" s="64" t="s">
        <v>43</v>
      </c>
      <c r="G2928" s="36">
        <f t="shared" si="609"/>
        <v>6660</v>
      </c>
      <c r="H2928" s="36">
        <v>1861</v>
      </c>
      <c r="I2928" s="36">
        <v>3790</v>
      </c>
      <c r="J2928" s="36">
        <v>500</v>
      </c>
      <c r="K2928" s="36">
        <f t="shared" si="605"/>
        <v>12811</v>
      </c>
      <c r="L2928" s="36">
        <v>7500</v>
      </c>
      <c r="M2928" s="9">
        <f t="shared" si="606"/>
        <v>0.58543439231910077</v>
      </c>
      <c r="N2928" s="5">
        <v>1</v>
      </c>
      <c r="O2928" s="10">
        <f t="shared" si="607"/>
        <v>0.58543439231910077</v>
      </c>
    </row>
    <row r="2929" spans="1:15" ht="13.5" hidden="1" customHeight="1">
      <c r="B2929" s="33">
        <f t="shared" si="604"/>
        <v>180</v>
      </c>
      <c r="C2929" s="63" t="s">
        <v>92</v>
      </c>
      <c r="D2929" s="63" t="s">
        <v>899</v>
      </c>
      <c r="F2929" s="64" t="s">
        <v>43</v>
      </c>
      <c r="G2929" s="36">
        <f t="shared" si="609"/>
        <v>6660</v>
      </c>
      <c r="H2929" s="36">
        <v>1861</v>
      </c>
      <c r="I2929" s="36">
        <v>3790</v>
      </c>
      <c r="J2929" s="36">
        <v>500</v>
      </c>
      <c r="K2929" s="36">
        <f t="shared" si="605"/>
        <v>12811</v>
      </c>
      <c r="L2929" s="36">
        <v>7500</v>
      </c>
      <c r="M2929" s="9">
        <f t="shared" si="606"/>
        <v>0.58543439231910077</v>
      </c>
      <c r="N2929" s="5">
        <v>1</v>
      </c>
      <c r="O2929" s="10">
        <f t="shared" si="607"/>
        <v>0.58543439231910077</v>
      </c>
    </row>
    <row r="2930" spans="1:15" ht="13.5" hidden="1" customHeight="1">
      <c r="B2930" s="33">
        <f t="shared" si="604"/>
        <v>181</v>
      </c>
      <c r="C2930" s="62" t="s">
        <v>101</v>
      </c>
      <c r="D2930" s="62" t="s">
        <v>745</v>
      </c>
      <c r="F2930" s="61" t="s">
        <v>27</v>
      </c>
      <c r="G2930" s="36">
        <f>333*5</f>
        <v>1665</v>
      </c>
      <c r="H2930" s="36">
        <v>1861</v>
      </c>
      <c r="I2930" s="36">
        <v>3240</v>
      </c>
      <c r="J2930" s="36">
        <v>500</v>
      </c>
      <c r="K2930" s="36">
        <f t="shared" si="605"/>
        <v>7266</v>
      </c>
      <c r="L2930" s="36">
        <v>7500</v>
      </c>
      <c r="M2930" s="9">
        <f t="shared" si="606"/>
        <v>1.0322047894302229</v>
      </c>
      <c r="N2930" s="5">
        <v>1</v>
      </c>
      <c r="O2930" s="10">
        <f t="shared" si="607"/>
        <v>1.0322047894302229</v>
      </c>
    </row>
    <row r="2931" spans="1:15" ht="13.5" hidden="1" customHeight="1">
      <c r="B2931" s="33">
        <f t="shared" si="604"/>
        <v>182</v>
      </c>
      <c r="C2931" s="63" t="s">
        <v>58</v>
      </c>
      <c r="D2931" s="63" t="s">
        <v>815</v>
      </c>
      <c r="F2931" s="64" t="s">
        <v>27</v>
      </c>
      <c r="G2931" s="36">
        <f>333*13</f>
        <v>4329</v>
      </c>
      <c r="H2931" s="36">
        <v>1861</v>
      </c>
      <c r="I2931" s="36">
        <v>3240</v>
      </c>
      <c r="J2931" s="36">
        <v>500</v>
      </c>
      <c r="K2931" s="36">
        <f t="shared" si="605"/>
        <v>9930</v>
      </c>
      <c r="L2931" s="36">
        <v>7500</v>
      </c>
      <c r="M2931" s="9">
        <f t="shared" si="606"/>
        <v>0.75528700906344415</v>
      </c>
      <c r="N2931" s="5">
        <v>1</v>
      </c>
      <c r="O2931" s="10">
        <f t="shared" si="607"/>
        <v>0.75528700906344415</v>
      </c>
    </row>
    <row r="2932" spans="1:15" ht="13.5" hidden="1" customHeight="1">
      <c r="B2932" s="33">
        <f t="shared" si="604"/>
        <v>183</v>
      </c>
      <c r="C2932" s="63" t="s">
        <v>245</v>
      </c>
      <c r="D2932" s="63" t="s">
        <v>826</v>
      </c>
      <c r="F2932" s="64" t="s">
        <v>27</v>
      </c>
      <c r="G2932" s="36">
        <f t="shared" ref="G2932:G2934" si="610">333*5</f>
        <v>1665</v>
      </c>
      <c r="H2932" s="36">
        <v>1861</v>
      </c>
      <c r="I2932" s="36">
        <v>3240</v>
      </c>
      <c r="J2932" s="36">
        <v>500</v>
      </c>
      <c r="K2932" s="36">
        <f t="shared" si="605"/>
        <v>7266</v>
      </c>
      <c r="L2932" s="36">
        <v>7500</v>
      </c>
      <c r="M2932" s="9">
        <f t="shared" si="606"/>
        <v>1.0322047894302229</v>
      </c>
      <c r="N2932" s="5">
        <v>1</v>
      </c>
      <c r="O2932" s="10">
        <f t="shared" si="607"/>
        <v>1.0322047894302229</v>
      </c>
    </row>
    <row r="2933" spans="1:15" ht="13.5" hidden="1" customHeight="1">
      <c r="B2933" s="33">
        <f t="shared" si="604"/>
        <v>184</v>
      </c>
      <c r="C2933" s="63" t="s">
        <v>62</v>
      </c>
      <c r="D2933" s="63" t="s">
        <v>835</v>
      </c>
      <c r="F2933" s="64" t="s">
        <v>27</v>
      </c>
      <c r="G2933" s="36">
        <f t="shared" si="610"/>
        <v>1665</v>
      </c>
      <c r="H2933" s="36">
        <v>1861</v>
      </c>
      <c r="I2933" s="36">
        <v>3240</v>
      </c>
      <c r="J2933" s="36">
        <v>500</v>
      </c>
      <c r="K2933" s="36">
        <f t="shared" si="605"/>
        <v>7266</v>
      </c>
      <c r="L2933" s="36">
        <v>7500</v>
      </c>
      <c r="M2933" s="9">
        <f t="shared" si="606"/>
        <v>1.0322047894302229</v>
      </c>
      <c r="N2933" s="5">
        <v>1</v>
      </c>
      <c r="O2933" s="10">
        <f t="shared" si="607"/>
        <v>1.0322047894302229</v>
      </c>
    </row>
    <row r="2934" spans="1:15" ht="13.5" hidden="1" customHeight="1">
      <c r="B2934" s="33">
        <f t="shared" si="604"/>
        <v>185</v>
      </c>
      <c r="C2934" s="63" t="s">
        <v>1000</v>
      </c>
      <c r="D2934" s="63" t="s">
        <v>873</v>
      </c>
      <c r="F2934" s="64" t="s">
        <v>27</v>
      </c>
      <c r="G2934" s="36">
        <f t="shared" si="610"/>
        <v>1665</v>
      </c>
      <c r="H2934" s="36">
        <v>1861</v>
      </c>
      <c r="I2934" s="36">
        <v>3240</v>
      </c>
      <c r="J2934" s="36">
        <v>500</v>
      </c>
      <c r="K2934" s="36">
        <f t="shared" si="605"/>
        <v>7266</v>
      </c>
      <c r="L2934" s="36">
        <v>7500</v>
      </c>
      <c r="M2934" s="9">
        <f t="shared" si="606"/>
        <v>1.0322047894302229</v>
      </c>
      <c r="N2934" s="5">
        <v>1</v>
      </c>
      <c r="O2934" s="10">
        <f t="shared" si="607"/>
        <v>1.0322047894302229</v>
      </c>
    </row>
    <row r="2935" spans="1:15" ht="13.5" hidden="1" customHeight="1">
      <c r="B2935" s="33">
        <f t="shared" si="604"/>
        <v>186</v>
      </c>
      <c r="C2935" s="62" t="s">
        <v>52</v>
      </c>
      <c r="D2935" s="62" t="s">
        <v>762</v>
      </c>
      <c r="F2935" s="61" t="s">
        <v>30</v>
      </c>
      <c r="G2935" s="36">
        <v>0</v>
      </c>
      <c r="H2935" s="36">
        <v>0</v>
      </c>
      <c r="I2935" s="36">
        <v>0</v>
      </c>
      <c r="J2935" s="36">
        <v>0</v>
      </c>
      <c r="K2935" s="36">
        <f t="shared" si="605"/>
        <v>0</v>
      </c>
      <c r="L2935" s="36">
        <v>7500</v>
      </c>
      <c r="M2935" s="9" t="e">
        <f t="shared" si="606"/>
        <v>#DIV/0!</v>
      </c>
      <c r="N2935" s="5">
        <v>1</v>
      </c>
      <c r="O2935" s="10" t="e">
        <f t="shared" si="607"/>
        <v>#DIV/0!</v>
      </c>
    </row>
    <row r="2936" spans="1:15" ht="13.5" hidden="1" customHeight="1">
      <c r="B2936" s="33">
        <f t="shared" si="604"/>
        <v>187</v>
      </c>
      <c r="C2936" s="63" t="s">
        <v>1001</v>
      </c>
      <c r="D2936" s="63" t="s">
        <v>829</v>
      </c>
      <c r="F2936" s="64" t="s">
        <v>30</v>
      </c>
      <c r="G2936" s="36">
        <f>300*19</f>
        <v>5700</v>
      </c>
      <c r="H2936" s="36">
        <v>1861</v>
      </c>
      <c r="I2936" s="36">
        <v>3240</v>
      </c>
      <c r="J2936" s="36">
        <v>500</v>
      </c>
      <c r="K2936" s="36">
        <f t="shared" si="605"/>
        <v>11301</v>
      </c>
      <c r="L2936" s="36">
        <v>7500</v>
      </c>
      <c r="M2936" s="9">
        <f t="shared" si="606"/>
        <v>0.66365808335545529</v>
      </c>
      <c r="N2936" s="5">
        <v>1</v>
      </c>
      <c r="O2936" s="10">
        <f t="shared" si="607"/>
        <v>0.66365808335545529</v>
      </c>
    </row>
    <row r="2937" spans="1:15" ht="13.5" hidden="1" customHeight="1">
      <c r="B2937" s="33">
        <f t="shared" si="604"/>
        <v>188</v>
      </c>
      <c r="C2937" s="63" t="s">
        <v>250</v>
      </c>
      <c r="D2937" s="63" t="s">
        <v>860</v>
      </c>
      <c r="F2937" s="64" t="s">
        <v>30</v>
      </c>
      <c r="G2937" s="36">
        <f t="shared" ref="G2937:G2938" si="611">300*19</f>
        <v>5700</v>
      </c>
      <c r="H2937" s="36">
        <v>1861</v>
      </c>
      <c r="I2937" s="36">
        <v>3240</v>
      </c>
      <c r="J2937" s="36">
        <v>500</v>
      </c>
      <c r="K2937" s="36">
        <f t="shared" si="605"/>
        <v>11301</v>
      </c>
      <c r="L2937" s="36">
        <v>7500</v>
      </c>
      <c r="M2937" s="9">
        <f t="shared" si="606"/>
        <v>0.66365808335545529</v>
      </c>
      <c r="N2937" s="5">
        <v>1</v>
      </c>
      <c r="O2937" s="10">
        <f t="shared" si="607"/>
        <v>0.66365808335545529</v>
      </c>
    </row>
    <row r="2938" spans="1:15" ht="13.5" hidden="1" customHeight="1">
      <c r="B2938" s="33">
        <f t="shared" si="604"/>
        <v>189</v>
      </c>
      <c r="C2938" s="63" t="s">
        <v>1002</v>
      </c>
      <c r="D2938" s="63" t="s">
        <v>887</v>
      </c>
      <c r="F2938" s="64" t="s">
        <v>30</v>
      </c>
      <c r="G2938" s="36">
        <f t="shared" si="611"/>
        <v>5700</v>
      </c>
      <c r="H2938" s="36">
        <v>1861</v>
      </c>
      <c r="I2938" s="36">
        <v>3240</v>
      </c>
      <c r="J2938" s="36">
        <v>500</v>
      </c>
      <c r="K2938" s="36">
        <f t="shared" si="605"/>
        <v>11301</v>
      </c>
      <c r="L2938" s="36">
        <v>7500</v>
      </c>
      <c r="M2938" s="9">
        <f t="shared" si="606"/>
        <v>0.66365808335545529</v>
      </c>
      <c r="N2938" s="5">
        <v>1</v>
      </c>
      <c r="O2938" s="10">
        <f t="shared" si="607"/>
        <v>0.66365808335545529</v>
      </c>
    </row>
    <row r="2939" spans="1:15" ht="17.25" hidden="1" customHeight="1">
      <c r="A2939" s="66" t="s">
        <v>45</v>
      </c>
      <c r="B2939" s="66"/>
      <c r="C2939" s="66"/>
      <c r="D2939" s="66"/>
      <c r="E2939" s="66"/>
      <c r="F2939" s="66"/>
      <c r="G2939" s="66"/>
      <c r="H2939" s="66"/>
      <c r="I2939" s="66"/>
      <c r="J2939" s="66"/>
      <c r="K2939" s="66"/>
      <c r="L2939" s="66"/>
      <c r="M2939" s="66"/>
      <c r="N2939" s="22">
        <f>SUM(N2750:N2938)</f>
        <v>189</v>
      </c>
      <c r="O2939" s="23" t="e">
        <f>SUM(O2750:O2938)</f>
        <v>#DIV/0!</v>
      </c>
    </row>
    <row r="2940" spans="1:15" ht="13.5" customHeight="1">
      <c r="A2940" s="44" t="s">
        <v>1006</v>
      </c>
      <c r="B2940" s="44"/>
      <c r="C2940" s="44"/>
      <c r="D2940" s="44"/>
      <c r="E2940" s="44"/>
      <c r="F2940" s="44"/>
      <c r="G2940" s="44"/>
      <c r="H2940" s="44"/>
      <c r="I2940" s="44"/>
      <c r="J2940" s="44"/>
      <c r="K2940" s="44"/>
      <c r="L2940" s="44"/>
      <c r="M2940" s="44"/>
      <c r="N2940" s="44"/>
      <c r="O2940" s="44"/>
    </row>
    <row r="2941" spans="1:15" ht="13.5" customHeight="1">
      <c r="B2941" s="33">
        <v>1</v>
      </c>
      <c r="C2941" s="62"/>
      <c r="D2941" s="62"/>
      <c r="F2941" s="61" t="s">
        <v>213</v>
      </c>
      <c r="G2941" s="36">
        <f>+G2750+G2559+G2368</f>
        <v>21978</v>
      </c>
      <c r="H2941" s="36">
        <f t="shared" ref="H2941:J2941" si="612">+H2750+H2559+H2368</f>
        <v>5583</v>
      </c>
      <c r="I2941" s="36">
        <f t="shared" si="612"/>
        <v>11370</v>
      </c>
      <c r="J2941" s="36">
        <f t="shared" si="612"/>
        <v>500</v>
      </c>
      <c r="K2941" s="36">
        <f t="shared" ref="K2941:K3006" si="613">SUM(G2941:J2941)</f>
        <v>39431</v>
      </c>
      <c r="L2941" s="36">
        <v>15000</v>
      </c>
      <c r="M2941" s="9">
        <f t="shared" ref="M2941:M3006" si="614">L2941/K2941</f>
        <v>0.38041135147472799</v>
      </c>
      <c r="N2941" s="5">
        <v>1</v>
      </c>
      <c r="O2941" s="10">
        <f t="shared" ref="O2941:O3004" si="615">IF(M2941&gt;1,1,M2941)</f>
        <v>0.38041135147472799</v>
      </c>
    </row>
    <row r="2942" spans="1:15" ht="13.5" customHeight="1">
      <c r="B2942" s="33">
        <f>+B2941+1</f>
        <v>2</v>
      </c>
      <c r="C2942" s="62"/>
      <c r="D2942" s="62"/>
      <c r="F2942" s="61" t="s">
        <v>213</v>
      </c>
      <c r="G2942" s="36">
        <f t="shared" ref="G2942:J2942" si="616">+G2751+G2560+G2369</f>
        <v>21978</v>
      </c>
      <c r="H2942" s="36">
        <f t="shared" si="616"/>
        <v>5583</v>
      </c>
      <c r="I2942" s="36">
        <f t="shared" si="616"/>
        <v>11370</v>
      </c>
      <c r="J2942" s="36">
        <f t="shared" si="616"/>
        <v>500</v>
      </c>
      <c r="K2942" s="36">
        <f t="shared" si="613"/>
        <v>39431</v>
      </c>
      <c r="L2942" s="36">
        <v>15000</v>
      </c>
      <c r="M2942" s="9">
        <f t="shared" si="614"/>
        <v>0.38041135147472799</v>
      </c>
      <c r="N2942" s="5">
        <v>1</v>
      </c>
      <c r="O2942" s="10">
        <f t="shared" si="615"/>
        <v>0.38041135147472799</v>
      </c>
    </row>
    <row r="2943" spans="1:15" ht="13.5" customHeight="1">
      <c r="A2943" s="1" t="s">
        <v>1019</v>
      </c>
      <c r="B2943" s="33">
        <f t="shared" ref="B2943:B2992" si="617">+B2942+1</f>
        <v>3</v>
      </c>
      <c r="C2943" s="62"/>
      <c r="D2943" s="62"/>
      <c r="F2943" s="61" t="s">
        <v>213</v>
      </c>
      <c r="G2943" s="36">
        <f t="shared" ref="G2943:J2943" si="618">+G2752+G2561+G2370</f>
        <v>21978</v>
      </c>
      <c r="H2943" s="36">
        <f t="shared" si="618"/>
        <v>5583</v>
      </c>
      <c r="I2943" s="36">
        <f t="shared" si="618"/>
        <v>11370</v>
      </c>
      <c r="J2943" s="36">
        <f t="shared" si="618"/>
        <v>500</v>
      </c>
      <c r="K2943" s="36">
        <v>18431</v>
      </c>
      <c r="L2943" s="36">
        <v>15000</v>
      </c>
      <c r="M2943" s="9">
        <f t="shared" si="614"/>
        <v>0.81384623731756278</v>
      </c>
      <c r="N2943" s="5">
        <v>1</v>
      </c>
      <c r="O2943" s="10">
        <f t="shared" si="615"/>
        <v>0.81384623731756278</v>
      </c>
    </row>
    <row r="2944" spans="1:15" ht="13.5" customHeight="1">
      <c r="B2944" s="33">
        <f t="shared" si="617"/>
        <v>4</v>
      </c>
      <c r="C2944" s="62"/>
      <c r="D2944" s="62"/>
      <c r="F2944" s="61" t="s">
        <v>213</v>
      </c>
      <c r="G2944" s="36">
        <f t="shared" ref="G2944:J2944" si="619">+G2753+G2562+G2371</f>
        <v>21978</v>
      </c>
      <c r="H2944" s="36">
        <f t="shared" si="619"/>
        <v>5583</v>
      </c>
      <c r="I2944" s="36">
        <f t="shared" si="619"/>
        <v>11370</v>
      </c>
      <c r="J2944" s="36">
        <f t="shared" si="619"/>
        <v>500</v>
      </c>
      <c r="K2944" s="36">
        <f t="shared" si="613"/>
        <v>39431</v>
      </c>
      <c r="L2944" s="36">
        <v>15000</v>
      </c>
      <c r="M2944" s="9">
        <f t="shared" si="614"/>
        <v>0.38041135147472799</v>
      </c>
      <c r="N2944" s="5">
        <v>1</v>
      </c>
      <c r="O2944" s="10">
        <f t="shared" si="615"/>
        <v>0.38041135147472799</v>
      </c>
    </row>
    <row r="2945" spans="1:15" ht="13.5" customHeight="1">
      <c r="B2945" s="33">
        <f t="shared" si="617"/>
        <v>5</v>
      </c>
      <c r="C2945" s="63"/>
      <c r="D2945" s="63"/>
      <c r="F2945" s="64" t="s">
        <v>213</v>
      </c>
      <c r="G2945" s="36">
        <f t="shared" ref="G2945:J2945" si="620">+G2754+G2563+G2372</f>
        <v>21978</v>
      </c>
      <c r="H2945" s="36">
        <f t="shared" si="620"/>
        <v>5583</v>
      </c>
      <c r="I2945" s="36">
        <f t="shared" si="620"/>
        <v>11370</v>
      </c>
      <c r="J2945" s="36">
        <f t="shared" si="620"/>
        <v>500</v>
      </c>
      <c r="K2945" s="36">
        <f t="shared" si="613"/>
        <v>39431</v>
      </c>
      <c r="L2945" s="36">
        <v>15000</v>
      </c>
      <c r="M2945" s="9">
        <f t="shared" si="614"/>
        <v>0.38041135147472799</v>
      </c>
      <c r="N2945" s="5">
        <v>1</v>
      </c>
      <c r="O2945" s="10">
        <f t="shared" si="615"/>
        <v>0.38041135147472799</v>
      </c>
    </row>
    <row r="2946" spans="1:15" ht="13.5" customHeight="1">
      <c r="B2946" s="33">
        <f t="shared" si="617"/>
        <v>6</v>
      </c>
      <c r="C2946" s="63"/>
      <c r="D2946" s="63"/>
      <c r="F2946" s="64" t="s">
        <v>213</v>
      </c>
      <c r="G2946" s="36">
        <f t="shared" ref="G2946:J2946" si="621">+G2755+G2564+G2373</f>
        <v>21978</v>
      </c>
      <c r="H2946" s="36">
        <f t="shared" si="621"/>
        <v>5583</v>
      </c>
      <c r="I2946" s="36">
        <f t="shared" si="621"/>
        <v>11370</v>
      </c>
      <c r="J2946" s="36">
        <f t="shared" si="621"/>
        <v>500</v>
      </c>
      <c r="K2946" s="36">
        <f t="shared" si="613"/>
        <v>39431</v>
      </c>
      <c r="L2946" s="36">
        <v>15000</v>
      </c>
      <c r="M2946" s="9">
        <f t="shared" si="614"/>
        <v>0.38041135147472799</v>
      </c>
      <c r="N2946" s="5">
        <v>1</v>
      </c>
      <c r="O2946" s="10">
        <f t="shared" si="615"/>
        <v>0.38041135147472799</v>
      </c>
    </row>
    <row r="2947" spans="1:15" ht="13.5" customHeight="1">
      <c r="B2947" s="33">
        <f t="shared" si="617"/>
        <v>7</v>
      </c>
      <c r="C2947" s="63"/>
      <c r="D2947" s="63"/>
      <c r="F2947" s="64" t="s">
        <v>213</v>
      </c>
      <c r="G2947" s="36">
        <f t="shared" ref="G2947:J2947" si="622">+G2756+G2565+G2374</f>
        <v>19980</v>
      </c>
      <c r="H2947" s="36">
        <f t="shared" si="622"/>
        <v>5583</v>
      </c>
      <c r="I2947" s="36">
        <f t="shared" si="622"/>
        <v>11370</v>
      </c>
      <c r="J2947" s="36">
        <f t="shared" si="622"/>
        <v>500</v>
      </c>
      <c r="K2947" s="36">
        <f t="shared" si="613"/>
        <v>37433</v>
      </c>
      <c r="L2947" s="36">
        <v>15000</v>
      </c>
      <c r="M2947" s="9">
        <f t="shared" si="614"/>
        <v>0.40071594582320413</v>
      </c>
      <c r="N2947" s="5">
        <v>1</v>
      </c>
      <c r="O2947" s="10">
        <f t="shared" si="615"/>
        <v>0.40071594582320413</v>
      </c>
    </row>
    <row r="2948" spans="1:15" ht="13.5" customHeight="1">
      <c r="B2948" s="33">
        <f t="shared" si="617"/>
        <v>8</v>
      </c>
      <c r="C2948" s="63"/>
      <c r="D2948" s="63"/>
      <c r="F2948" s="64" t="s">
        <v>213</v>
      </c>
      <c r="G2948" s="36">
        <f t="shared" ref="G2948:J2948" si="623">+G2757+G2566+G2375</f>
        <v>21978</v>
      </c>
      <c r="H2948" s="36">
        <f t="shared" si="623"/>
        <v>5583</v>
      </c>
      <c r="I2948" s="36">
        <f t="shared" si="623"/>
        <v>11370</v>
      </c>
      <c r="J2948" s="36">
        <f t="shared" si="623"/>
        <v>500</v>
      </c>
      <c r="K2948" s="36">
        <f t="shared" si="613"/>
        <v>39431</v>
      </c>
      <c r="L2948" s="36">
        <v>15000</v>
      </c>
      <c r="M2948" s="9">
        <f t="shared" si="614"/>
        <v>0.38041135147472799</v>
      </c>
      <c r="N2948" s="5">
        <v>1</v>
      </c>
      <c r="O2948" s="10">
        <f t="shared" si="615"/>
        <v>0.38041135147472799</v>
      </c>
    </row>
    <row r="2949" spans="1:15" ht="13.5" customHeight="1">
      <c r="B2949" s="33">
        <f t="shared" si="617"/>
        <v>9</v>
      </c>
      <c r="C2949" s="63"/>
      <c r="D2949" s="63"/>
      <c r="F2949" s="64" t="s">
        <v>213</v>
      </c>
      <c r="G2949" s="36">
        <f t="shared" ref="G2949:J2949" si="624">+G2758+G2567+G2376</f>
        <v>21645</v>
      </c>
      <c r="H2949" s="36">
        <f t="shared" si="624"/>
        <v>5583</v>
      </c>
      <c r="I2949" s="36">
        <f t="shared" si="624"/>
        <v>11370</v>
      </c>
      <c r="J2949" s="36">
        <f t="shared" si="624"/>
        <v>500</v>
      </c>
      <c r="K2949" s="36">
        <f t="shared" si="613"/>
        <v>39098</v>
      </c>
      <c r="L2949" s="36">
        <v>15000</v>
      </c>
      <c r="M2949" s="9">
        <f t="shared" si="614"/>
        <v>0.38365133766433068</v>
      </c>
      <c r="N2949" s="5">
        <v>1</v>
      </c>
      <c r="O2949" s="10">
        <f t="shared" si="615"/>
        <v>0.38365133766433068</v>
      </c>
    </row>
    <row r="2950" spans="1:15" ht="13.5" customHeight="1">
      <c r="B2950" s="33">
        <f t="shared" si="617"/>
        <v>10</v>
      </c>
      <c r="C2950" s="63"/>
      <c r="D2950" s="63"/>
      <c r="F2950" s="64" t="s">
        <v>213</v>
      </c>
      <c r="G2950" s="36">
        <f t="shared" ref="G2950:J2950" si="625">+G2759+G2568+G2377</f>
        <v>21978</v>
      </c>
      <c r="H2950" s="36">
        <f t="shared" si="625"/>
        <v>5583</v>
      </c>
      <c r="I2950" s="36">
        <f t="shared" si="625"/>
        <v>11370</v>
      </c>
      <c r="J2950" s="36">
        <f t="shared" si="625"/>
        <v>500</v>
      </c>
      <c r="K2950" s="36">
        <f t="shared" si="613"/>
        <v>39431</v>
      </c>
      <c r="L2950" s="36">
        <v>15000</v>
      </c>
      <c r="M2950" s="9">
        <f t="shared" si="614"/>
        <v>0.38041135147472799</v>
      </c>
      <c r="N2950" s="5">
        <v>1</v>
      </c>
      <c r="O2950" s="10">
        <f t="shared" si="615"/>
        <v>0.38041135147472799</v>
      </c>
    </row>
    <row r="2951" spans="1:15" ht="13.5" customHeight="1">
      <c r="B2951" s="33">
        <f t="shared" si="617"/>
        <v>11</v>
      </c>
      <c r="C2951" s="63"/>
      <c r="D2951" s="63"/>
      <c r="F2951" s="64" t="s">
        <v>428</v>
      </c>
      <c r="G2951" s="36">
        <f t="shared" ref="G2951:J2965" si="626">+G2761+G2570+G2379</f>
        <v>15512</v>
      </c>
      <c r="H2951" s="36">
        <f t="shared" si="626"/>
        <v>5583</v>
      </c>
      <c r="I2951" s="36">
        <f t="shared" si="626"/>
        <v>23670</v>
      </c>
      <c r="J2951" s="36">
        <f t="shared" si="626"/>
        <v>500</v>
      </c>
      <c r="K2951" s="36">
        <f t="shared" si="613"/>
        <v>45265</v>
      </c>
      <c r="L2951" s="36">
        <v>15000</v>
      </c>
      <c r="M2951" s="9">
        <f t="shared" si="614"/>
        <v>0.33138186236606648</v>
      </c>
      <c r="N2951" s="5">
        <v>1</v>
      </c>
      <c r="O2951" s="10">
        <f t="shared" si="615"/>
        <v>0.33138186236606648</v>
      </c>
    </row>
    <row r="2952" spans="1:15" ht="13.5" customHeight="1">
      <c r="A2952" s="1" t="s">
        <v>1019</v>
      </c>
      <c r="B2952" s="33">
        <f t="shared" si="617"/>
        <v>12</v>
      </c>
      <c r="C2952" s="62"/>
      <c r="D2952" s="62"/>
      <c r="F2952" s="61" t="s">
        <v>41</v>
      </c>
      <c r="G2952" s="36">
        <f t="shared" si="626"/>
        <v>19980</v>
      </c>
      <c r="H2952" s="36">
        <f t="shared" si="626"/>
        <v>5583</v>
      </c>
      <c r="I2952" s="36">
        <f t="shared" si="626"/>
        <v>11370</v>
      </c>
      <c r="J2952" s="36">
        <f t="shared" si="626"/>
        <v>1500</v>
      </c>
      <c r="K2952" s="36">
        <v>17433</v>
      </c>
      <c r="L2952" s="36">
        <v>15000</v>
      </c>
      <c r="M2952" s="9">
        <f t="shared" si="614"/>
        <v>0.8604371020478403</v>
      </c>
      <c r="N2952" s="5">
        <v>1</v>
      </c>
      <c r="O2952" s="10">
        <f t="shared" si="615"/>
        <v>0.8604371020478403</v>
      </c>
    </row>
    <row r="2953" spans="1:15" ht="13.5" customHeight="1">
      <c r="B2953" s="33">
        <f t="shared" si="617"/>
        <v>13</v>
      </c>
      <c r="C2953" s="63"/>
      <c r="D2953" s="63"/>
      <c r="F2953" s="61" t="s">
        <v>41</v>
      </c>
      <c r="G2953" s="36">
        <f t="shared" si="626"/>
        <v>15984</v>
      </c>
      <c r="H2953" s="36">
        <f t="shared" si="626"/>
        <v>5583</v>
      </c>
      <c r="I2953" s="36">
        <f t="shared" si="626"/>
        <v>11370</v>
      </c>
      <c r="J2953" s="36">
        <f t="shared" si="626"/>
        <v>1500</v>
      </c>
      <c r="K2953" s="36">
        <f t="shared" si="613"/>
        <v>34437</v>
      </c>
      <c r="L2953" s="36">
        <v>15000</v>
      </c>
      <c r="M2953" s="9">
        <f t="shared" si="614"/>
        <v>0.43557801202195312</v>
      </c>
      <c r="N2953" s="5">
        <v>1</v>
      </c>
      <c r="O2953" s="10">
        <f t="shared" si="615"/>
        <v>0.43557801202195312</v>
      </c>
    </row>
    <row r="2954" spans="1:15" ht="13.5" customHeight="1">
      <c r="B2954" s="33">
        <f t="shared" si="617"/>
        <v>14</v>
      </c>
      <c r="C2954" s="63"/>
      <c r="D2954" s="63"/>
      <c r="F2954" s="61" t="s">
        <v>41</v>
      </c>
      <c r="G2954" s="36">
        <f t="shared" si="626"/>
        <v>19980</v>
      </c>
      <c r="H2954" s="36">
        <f t="shared" si="626"/>
        <v>5583</v>
      </c>
      <c r="I2954" s="36">
        <f t="shared" si="626"/>
        <v>11370</v>
      </c>
      <c r="J2954" s="36">
        <f t="shared" si="626"/>
        <v>1500</v>
      </c>
      <c r="K2954" s="36">
        <f t="shared" si="613"/>
        <v>38433</v>
      </c>
      <c r="L2954" s="36">
        <v>15000</v>
      </c>
      <c r="M2954" s="9">
        <f t="shared" si="614"/>
        <v>0.39028959487940051</v>
      </c>
      <c r="N2954" s="5">
        <v>1</v>
      </c>
      <c r="O2954" s="10">
        <f t="shared" si="615"/>
        <v>0.39028959487940051</v>
      </c>
    </row>
    <row r="2955" spans="1:15" ht="13.5" customHeight="1">
      <c r="B2955" s="33">
        <f t="shared" si="617"/>
        <v>15</v>
      </c>
      <c r="C2955" s="63"/>
      <c r="D2955" s="63"/>
      <c r="F2955" s="61" t="s">
        <v>41</v>
      </c>
      <c r="G2955" s="36">
        <f t="shared" si="626"/>
        <v>20979</v>
      </c>
      <c r="H2955" s="36">
        <f t="shared" si="626"/>
        <v>5583</v>
      </c>
      <c r="I2955" s="36">
        <f t="shared" si="626"/>
        <v>11370</v>
      </c>
      <c r="J2955" s="36">
        <f t="shared" si="626"/>
        <v>1500</v>
      </c>
      <c r="K2955" s="36">
        <v>18432</v>
      </c>
      <c r="L2955" s="36">
        <v>15000</v>
      </c>
      <c r="M2955" s="9">
        <f t="shared" si="614"/>
        <v>0.81380208333333337</v>
      </c>
      <c r="N2955" s="5">
        <v>1</v>
      </c>
      <c r="O2955" s="10">
        <f t="shared" si="615"/>
        <v>0.81380208333333337</v>
      </c>
    </row>
    <row r="2956" spans="1:15" ht="13.5" customHeight="1">
      <c r="B2956" s="33">
        <f t="shared" si="617"/>
        <v>16</v>
      </c>
      <c r="C2956" s="63"/>
      <c r="D2956" s="63"/>
      <c r="F2956" s="64" t="s">
        <v>41</v>
      </c>
      <c r="G2956" s="36">
        <f t="shared" si="626"/>
        <v>21978</v>
      </c>
      <c r="H2956" s="36">
        <f t="shared" si="626"/>
        <v>5583</v>
      </c>
      <c r="I2956" s="36">
        <f t="shared" si="626"/>
        <v>11370</v>
      </c>
      <c r="J2956" s="36">
        <f t="shared" si="626"/>
        <v>1500</v>
      </c>
      <c r="K2956" s="36">
        <f t="shared" si="613"/>
        <v>40431</v>
      </c>
      <c r="L2956" s="36">
        <v>15000</v>
      </c>
      <c r="M2956" s="9">
        <f t="shared" si="614"/>
        <v>0.37100244861616088</v>
      </c>
      <c r="N2956" s="5">
        <v>1</v>
      </c>
      <c r="O2956" s="10">
        <f t="shared" si="615"/>
        <v>0.37100244861616088</v>
      </c>
    </row>
    <row r="2957" spans="1:15" ht="13.5" customHeight="1">
      <c r="B2957" s="33">
        <f t="shared" si="617"/>
        <v>17</v>
      </c>
      <c r="C2957" s="63"/>
      <c r="D2957" s="63"/>
      <c r="F2957" s="64" t="s">
        <v>41</v>
      </c>
      <c r="G2957" s="36">
        <f t="shared" si="626"/>
        <v>16650</v>
      </c>
      <c r="H2957" s="36">
        <f t="shared" si="626"/>
        <v>5583</v>
      </c>
      <c r="I2957" s="36">
        <f t="shared" si="626"/>
        <v>11370</v>
      </c>
      <c r="J2957" s="36">
        <f t="shared" si="626"/>
        <v>1500</v>
      </c>
      <c r="K2957" s="36">
        <f t="shared" si="613"/>
        <v>35103</v>
      </c>
      <c r="L2957" s="36">
        <v>15000</v>
      </c>
      <c r="M2957" s="9">
        <f t="shared" si="614"/>
        <v>0.42731390479446202</v>
      </c>
      <c r="N2957" s="5">
        <v>1</v>
      </c>
      <c r="O2957" s="10">
        <f t="shared" si="615"/>
        <v>0.42731390479446202</v>
      </c>
    </row>
    <row r="2958" spans="1:15" ht="13.5" customHeight="1">
      <c r="A2958" s="1" t="s">
        <v>1019</v>
      </c>
      <c r="B2958" s="33">
        <f t="shared" si="617"/>
        <v>18</v>
      </c>
      <c r="C2958" s="63"/>
      <c r="D2958" s="63"/>
      <c r="F2958" s="64" t="s">
        <v>42</v>
      </c>
      <c r="G2958" s="36">
        <f t="shared" si="626"/>
        <v>20646</v>
      </c>
      <c r="H2958" s="36">
        <f t="shared" si="626"/>
        <v>5583</v>
      </c>
      <c r="I2958" s="36">
        <f t="shared" si="626"/>
        <v>9720</v>
      </c>
      <c r="J2958" s="36">
        <f t="shared" si="626"/>
        <v>1500</v>
      </c>
      <c r="K2958" s="36">
        <v>16449</v>
      </c>
      <c r="L2958" s="36">
        <v>15000</v>
      </c>
      <c r="M2958" s="9">
        <f t="shared" si="614"/>
        <v>0.91190953857377344</v>
      </c>
      <c r="N2958" s="5">
        <v>1</v>
      </c>
      <c r="O2958" s="10">
        <f t="shared" si="615"/>
        <v>0.91190953857377344</v>
      </c>
    </row>
    <row r="2959" spans="1:15" ht="13.5" customHeight="1">
      <c r="B2959" s="33">
        <f t="shared" si="617"/>
        <v>19</v>
      </c>
      <c r="C2959" s="63"/>
      <c r="D2959" s="63"/>
      <c r="F2959" s="64" t="s">
        <v>42</v>
      </c>
      <c r="G2959" s="36">
        <f t="shared" si="626"/>
        <v>20646</v>
      </c>
      <c r="H2959" s="36">
        <f t="shared" si="626"/>
        <v>5583</v>
      </c>
      <c r="I2959" s="36">
        <f t="shared" si="626"/>
        <v>9720</v>
      </c>
      <c r="J2959" s="36">
        <f t="shared" si="626"/>
        <v>1500</v>
      </c>
      <c r="K2959" s="36">
        <f t="shared" si="613"/>
        <v>37449</v>
      </c>
      <c r="L2959" s="36">
        <v>15000</v>
      </c>
      <c r="M2959" s="9">
        <f t="shared" si="614"/>
        <v>0.40054474084755265</v>
      </c>
      <c r="N2959" s="5">
        <v>1</v>
      </c>
      <c r="O2959" s="10">
        <f t="shared" si="615"/>
        <v>0.40054474084755265</v>
      </c>
    </row>
    <row r="2960" spans="1:15" ht="13.5" customHeight="1">
      <c r="B2960" s="33">
        <f t="shared" si="617"/>
        <v>20</v>
      </c>
      <c r="C2960" s="63"/>
      <c r="D2960" s="63"/>
      <c r="F2960" s="64" t="s">
        <v>42</v>
      </c>
      <c r="G2960" s="36">
        <f t="shared" si="626"/>
        <v>20313</v>
      </c>
      <c r="H2960" s="36">
        <f t="shared" si="626"/>
        <v>5583</v>
      </c>
      <c r="I2960" s="36">
        <f t="shared" si="626"/>
        <v>9720</v>
      </c>
      <c r="J2960" s="36">
        <f t="shared" si="626"/>
        <v>1500</v>
      </c>
      <c r="K2960" s="36">
        <f t="shared" si="613"/>
        <v>37116</v>
      </c>
      <c r="L2960" s="36">
        <v>15000</v>
      </c>
      <c r="M2960" s="9">
        <f t="shared" si="614"/>
        <v>0.40413837698027805</v>
      </c>
      <c r="N2960" s="5">
        <v>1</v>
      </c>
      <c r="O2960" s="10">
        <f t="shared" si="615"/>
        <v>0.40413837698027805</v>
      </c>
    </row>
    <row r="2961" spans="1:15" ht="13.5" customHeight="1">
      <c r="B2961" s="33">
        <f t="shared" si="617"/>
        <v>21</v>
      </c>
      <c r="C2961" s="62"/>
      <c r="D2961" s="62"/>
      <c r="F2961" s="61" t="s">
        <v>25</v>
      </c>
      <c r="G2961" s="36">
        <f t="shared" si="626"/>
        <v>13500</v>
      </c>
      <c r="H2961" s="36">
        <f t="shared" si="626"/>
        <v>5583</v>
      </c>
      <c r="I2961" s="36">
        <f t="shared" si="626"/>
        <v>9720</v>
      </c>
      <c r="J2961" s="36">
        <f t="shared" si="626"/>
        <v>1500</v>
      </c>
      <c r="K2961" s="36">
        <f t="shared" si="613"/>
        <v>30303</v>
      </c>
      <c r="L2961" s="36">
        <v>15000</v>
      </c>
      <c r="M2961" s="9">
        <f t="shared" si="614"/>
        <v>0.49500049500049498</v>
      </c>
      <c r="N2961" s="5">
        <v>1</v>
      </c>
      <c r="O2961" s="10">
        <f t="shared" si="615"/>
        <v>0.49500049500049498</v>
      </c>
    </row>
    <row r="2962" spans="1:15" ht="13.5" customHeight="1">
      <c r="B2962" s="33">
        <f t="shared" si="617"/>
        <v>22</v>
      </c>
      <c r="C2962" s="62"/>
      <c r="D2962" s="62"/>
      <c r="F2962" s="61" t="s">
        <v>25</v>
      </c>
      <c r="G2962" s="36">
        <f t="shared" si="626"/>
        <v>4662</v>
      </c>
      <c r="H2962" s="36">
        <f t="shared" si="626"/>
        <v>5583</v>
      </c>
      <c r="I2962" s="36">
        <f t="shared" si="626"/>
        <v>9720</v>
      </c>
      <c r="J2962" s="36">
        <f t="shared" si="626"/>
        <v>1500</v>
      </c>
      <c r="K2962" s="36">
        <f t="shared" si="613"/>
        <v>21465</v>
      </c>
      <c r="L2962" s="36">
        <v>15000</v>
      </c>
      <c r="M2962" s="9">
        <f t="shared" si="614"/>
        <v>0.69881201956673655</v>
      </c>
      <c r="N2962" s="5">
        <v>1</v>
      </c>
      <c r="O2962" s="10">
        <f t="shared" si="615"/>
        <v>0.69881201956673655</v>
      </c>
    </row>
    <row r="2963" spans="1:15" ht="13.5" customHeight="1">
      <c r="B2963" s="33">
        <f t="shared" si="617"/>
        <v>23</v>
      </c>
      <c r="C2963" s="63"/>
      <c r="D2963" s="63"/>
      <c r="F2963" s="64" t="s">
        <v>417</v>
      </c>
      <c r="G2963" s="36">
        <f t="shared" si="626"/>
        <v>831</v>
      </c>
      <c r="H2963" s="36">
        <f t="shared" si="626"/>
        <v>1861</v>
      </c>
      <c r="I2963" s="36">
        <f t="shared" si="626"/>
        <v>7890</v>
      </c>
      <c r="J2963" s="36">
        <f t="shared" si="626"/>
        <v>500</v>
      </c>
      <c r="K2963" s="36">
        <f t="shared" si="613"/>
        <v>11082</v>
      </c>
      <c r="L2963" s="36">
        <v>15000</v>
      </c>
      <c r="M2963" s="9">
        <f t="shared" si="614"/>
        <v>1.353546291283162</v>
      </c>
      <c r="N2963" s="5">
        <v>1</v>
      </c>
      <c r="O2963" s="10">
        <f t="shared" si="615"/>
        <v>1</v>
      </c>
    </row>
    <row r="2964" spans="1:15" ht="13.5" customHeight="1">
      <c r="B2964" s="33">
        <f t="shared" si="617"/>
        <v>24</v>
      </c>
      <c r="C2964" s="63"/>
      <c r="D2964" s="63"/>
      <c r="F2964" s="64" t="s">
        <v>417</v>
      </c>
      <c r="G2964" s="36">
        <f t="shared" si="626"/>
        <v>2493</v>
      </c>
      <c r="H2964" s="36">
        <f t="shared" si="626"/>
        <v>1861</v>
      </c>
      <c r="I2964" s="36">
        <f t="shared" si="626"/>
        <v>7890</v>
      </c>
      <c r="J2964" s="36">
        <f t="shared" si="626"/>
        <v>500</v>
      </c>
      <c r="K2964" s="36">
        <f t="shared" si="613"/>
        <v>12744</v>
      </c>
      <c r="L2964" s="36">
        <v>15000</v>
      </c>
      <c r="M2964" s="9">
        <f t="shared" si="614"/>
        <v>1.1770244821092279</v>
      </c>
      <c r="N2964" s="5">
        <v>1</v>
      </c>
      <c r="O2964" s="10">
        <f t="shared" si="615"/>
        <v>1</v>
      </c>
    </row>
    <row r="2965" spans="1:15" ht="13.5" customHeight="1">
      <c r="B2965" s="33">
        <f t="shared" si="617"/>
        <v>25</v>
      </c>
      <c r="C2965" s="63"/>
      <c r="D2965" s="63"/>
      <c r="F2965" s="64" t="s">
        <v>417</v>
      </c>
      <c r="G2965" s="36">
        <f t="shared" si="626"/>
        <v>831</v>
      </c>
      <c r="H2965" s="36">
        <f t="shared" si="626"/>
        <v>1861</v>
      </c>
      <c r="I2965" s="36">
        <f t="shared" si="626"/>
        <v>7890</v>
      </c>
      <c r="J2965" s="36">
        <f t="shared" si="626"/>
        <v>500</v>
      </c>
      <c r="K2965" s="36">
        <f t="shared" si="613"/>
        <v>11082</v>
      </c>
      <c r="L2965" s="36">
        <v>15000</v>
      </c>
      <c r="M2965" s="9">
        <f t="shared" si="614"/>
        <v>1.353546291283162</v>
      </c>
      <c r="N2965" s="5">
        <v>1</v>
      </c>
      <c r="O2965" s="10">
        <f t="shared" si="615"/>
        <v>1</v>
      </c>
    </row>
    <row r="2966" spans="1:15" ht="13.5" customHeight="1">
      <c r="B2966" s="33">
        <f t="shared" si="617"/>
        <v>26</v>
      </c>
      <c r="C2966" s="62"/>
      <c r="D2966" s="62"/>
      <c r="F2966" s="61" t="s">
        <v>159</v>
      </c>
      <c r="G2966" s="36">
        <f>+G2777+G2586+G2395</f>
        <v>18648</v>
      </c>
      <c r="H2966" s="36">
        <f>+H2777+H2586+H2395</f>
        <v>5583</v>
      </c>
      <c r="I2966" s="36">
        <f>+I2777+I2586+I2395</f>
        <v>9720</v>
      </c>
      <c r="J2966" s="36">
        <f>+J2777+J2586+J2395</f>
        <v>2700</v>
      </c>
      <c r="K2966" s="36">
        <f t="shared" si="613"/>
        <v>36651</v>
      </c>
      <c r="L2966" s="36">
        <v>15000</v>
      </c>
      <c r="M2966" s="9">
        <f t="shared" si="614"/>
        <v>0.40926577719571089</v>
      </c>
      <c r="N2966" s="5">
        <v>1</v>
      </c>
      <c r="O2966" s="10">
        <f t="shared" si="615"/>
        <v>0.40926577719571089</v>
      </c>
    </row>
    <row r="2967" spans="1:15" ht="13.5" customHeight="1">
      <c r="B2967" s="33">
        <f t="shared" si="617"/>
        <v>27</v>
      </c>
      <c r="C2967" s="63"/>
      <c r="D2967" s="63"/>
      <c r="F2967" s="64" t="s">
        <v>159</v>
      </c>
      <c r="G2967" s="36">
        <f t="shared" ref="G2967:J2968" si="627">+G2779+G2588+G2397</f>
        <v>18648</v>
      </c>
      <c r="H2967" s="36">
        <f t="shared" si="627"/>
        <v>5583</v>
      </c>
      <c r="I2967" s="36">
        <f t="shared" si="627"/>
        <v>9720</v>
      </c>
      <c r="J2967" s="36">
        <f t="shared" si="627"/>
        <v>2700</v>
      </c>
      <c r="K2967" s="36">
        <f t="shared" si="613"/>
        <v>36651</v>
      </c>
      <c r="L2967" s="36">
        <v>15000</v>
      </c>
      <c r="M2967" s="9">
        <f t="shared" si="614"/>
        <v>0.40926577719571089</v>
      </c>
      <c r="N2967" s="5">
        <v>1</v>
      </c>
      <c r="O2967" s="10">
        <f t="shared" si="615"/>
        <v>0.40926577719571089</v>
      </c>
    </row>
    <row r="2968" spans="1:15" ht="13.5" customHeight="1">
      <c r="A2968" s="1" t="s">
        <v>1019</v>
      </c>
      <c r="B2968" s="33">
        <f t="shared" si="617"/>
        <v>28</v>
      </c>
      <c r="C2968" s="63"/>
      <c r="D2968" s="63"/>
      <c r="F2968" s="64" t="s">
        <v>159</v>
      </c>
      <c r="G2968" s="36">
        <f t="shared" si="627"/>
        <v>18648</v>
      </c>
      <c r="H2968" s="36">
        <f t="shared" si="627"/>
        <v>5583</v>
      </c>
      <c r="I2968" s="36">
        <f t="shared" si="627"/>
        <v>9720</v>
      </c>
      <c r="J2968" s="36">
        <f t="shared" si="627"/>
        <v>2700</v>
      </c>
      <c r="K2968" s="36">
        <v>15651</v>
      </c>
      <c r="L2968" s="36">
        <v>15000</v>
      </c>
      <c r="M2968" s="9">
        <f t="shared" si="614"/>
        <v>0.95840521372436271</v>
      </c>
      <c r="N2968" s="5">
        <v>1</v>
      </c>
      <c r="O2968" s="10">
        <f t="shared" si="615"/>
        <v>0.95840521372436271</v>
      </c>
    </row>
    <row r="2969" spans="1:15" ht="13.5" customHeight="1">
      <c r="B2969" s="33">
        <f t="shared" si="617"/>
        <v>29</v>
      </c>
      <c r="C2969" s="62"/>
      <c r="D2969" s="62"/>
      <c r="F2969" s="61" t="s">
        <v>37</v>
      </c>
      <c r="G2969" s="36">
        <f>+G2782+G2591+G2400</f>
        <v>17982</v>
      </c>
      <c r="H2969" s="36">
        <f>+H2782+H2591+H2400</f>
        <v>5583</v>
      </c>
      <c r="I2969" s="36">
        <f>+I2782+I2591+I2400</f>
        <v>9720</v>
      </c>
      <c r="J2969" s="36">
        <f>+J2782+J2591+J2400</f>
        <v>1500</v>
      </c>
      <c r="K2969" s="36">
        <f t="shared" si="613"/>
        <v>34785</v>
      </c>
      <c r="L2969" s="36">
        <v>15000</v>
      </c>
      <c r="M2969" s="9">
        <f t="shared" si="614"/>
        <v>0.43122035360068994</v>
      </c>
      <c r="N2969" s="5">
        <v>1</v>
      </c>
      <c r="O2969" s="10">
        <f t="shared" si="615"/>
        <v>0.43122035360068994</v>
      </c>
    </row>
    <row r="2970" spans="1:15" ht="13.5" customHeight="1">
      <c r="B2970" s="33">
        <f t="shared" si="617"/>
        <v>30</v>
      </c>
      <c r="C2970" s="63"/>
      <c r="D2970" s="63"/>
      <c r="F2970" s="64" t="s">
        <v>37</v>
      </c>
      <c r="G2970" s="36">
        <f t="shared" ref="G2970:J2993" si="628">+G2785+G2594+G2403</f>
        <v>19647</v>
      </c>
      <c r="H2970" s="36">
        <f t="shared" si="628"/>
        <v>5583</v>
      </c>
      <c r="I2970" s="36">
        <f t="shared" si="628"/>
        <v>9720</v>
      </c>
      <c r="J2970" s="36">
        <f t="shared" si="628"/>
        <v>500</v>
      </c>
      <c r="K2970" s="36">
        <f t="shared" si="613"/>
        <v>35450</v>
      </c>
      <c r="L2970" s="36">
        <v>15000</v>
      </c>
      <c r="M2970" s="9">
        <f t="shared" si="614"/>
        <v>0.42313117066290551</v>
      </c>
      <c r="N2970" s="5">
        <v>1</v>
      </c>
      <c r="O2970" s="10">
        <f t="shared" si="615"/>
        <v>0.42313117066290551</v>
      </c>
    </row>
    <row r="2971" spans="1:15" ht="13.5" customHeight="1">
      <c r="B2971" s="33">
        <f t="shared" si="617"/>
        <v>31</v>
      </c>
      <c r="C2971" s="63"/>
      <c r="D2971" s="63"/>
      <c r="F2971" s="64" t="s">
        <v>216</v>
      </c>
      <c r="G2971" s="36">
        <f t="shared" si="628"/>
        <v>11700</v>
      </c>
      <c r="H2971" s="36">
        <f t="shared" si="628"/>
        <v>5583</v>
      </c>
      <c r="I2971" s="36">
        <f t="shared" si="628"/>
        <v>9720</v>
      </c>
      <c r="J2971" s="36">
        <f t="shared" si="628"/>
        <v>500</v>
      </c>
      <c r="K2971" s="36">
        <f t="shared" si="613"/>
        <v>27503</v>
      </c>
      <c r="L2971" s="36">
        <v>15000</v>
      </c>
      <c r="M2971" s="9">
        <f t="shared" si="614"/>
        <v>0.54539504781296588</v>
      </c>
      <c r="N2971" s="5">
        <v>1</v>
      </c>
      <c r="O2971" s="10">
        <f t="shared" si="615"/>
        <v>0.54539504781296588</v>
      </c>
    </row>
    <row r="2972" spans="1:15" ht="13.5" customHeight="1">
      <c r="B2972" s="33">
        <f t="shared" si="617"/>
        <v>32</v>
      </c>
      <c r="C2972" s="63"/>
      <c r="D2972" s="63"/>
      <c r="F2972" s="64" t="s">
        <v>216</v>
      </c>
      <c r="G2972" s="36">
        <f t="shared" si="628"/>
        <v>13650</v>
      </c>
      <c r="H2972" s="36">
        <f t="shared" si="628"/>
        <v>5583</v>
      </c>
      <c r="I2972" s="36">
        <f t="shared" si="628"/>
        <v>9720</v>
      </c>
      <c r="J2972" s="36">
        <f t="shared" si="628"/>
        <v>500</v>
      </c>
      <c r="K2972" s="36">
        <f t="shared" si="613"/>
        <v>29453</v>
      </c>
      <c r="L2972" s="36">
        <v>15000</v>
      </c>
      <c r="M2972" s="9">
        <f t="shared" si="614"/>
        <v>0.50928598105456147</v>
      </c>
      <c r="N2972" s="5">
        <v>1</v>
      </c>
      <c r="O2972" s="10">
        <f t="shared" si="615"/>
        <v>0.50928598105456147</v>
      </c>
    </row>
    <row r="2973" spans="1:15" ht="13.5" customHeight="1">
      <c r="B2973" s="33">
        <f t="shared" si="617"/>
        <v>33</v>
      </c>
      <c r="C2973" s="62"/>
      <c r="D2973" s="62"/>
      <c r="F2973" s="61" t="s">
        <v>33</v>
      </c>
      <c r="G2973" s="36">
        <f t="shared" si="628"/>
        <v>18648</v>
      </c>
      <c r="H2973" s="36">
        <f t="shared" si="628"/>
        <v>5583</v>
      </c>
      <c r="I2973" s="36">
        <f t="shared" si="628"/>
        <v>11370</v>
      </c>
      <c r="J2973" s="36">
        <f t="shared" si="628"/>
        <v>2250</v>
      </c>
      <c r="K2973" s="36">
        <f t="shared" si="613"/>
        <v>37851</v>
      </c>
      <c r="L2973" s="36">
        <v>15000</v>
      </c>
      <c r="M2973" s="9">
        <f t="shared" si="614"/>
        <v>0.39629071887136402</v>
      </c>
      <c r="N2973" s="5">
        <v>1</v>
      </c>
      <c r="O2973" s="10">
        <f t="shared" si="615"/>
        <v>0.39629071887136402</v>
      </c>
    </row>
    <row r="2974" spans="1:15" ht="13.5" customHeight="1">
      <c r="B2974" s="33">
        <f t="shared" si="617"/>
        <v>34</v>
      </c>
      <c r="C2974" s="62"/>
      <c r="D2974" s="62"/>
      <c r="F2974" s="61" t="s">
        <v>33</v>
      </c>
      <c r="G2974" s="36">
        <f t="shared" si="628"/>
        <v>12822</v>
      </c>
      <c r="H2974" s="36">
        <f t="shared" si="628"/>
        <v>5583</v>
      </c>
      <c r="I2974" s="36">
        <f t="shared" si="628"/>
        <v>11370</v>
      </c>
      <c r="J2974" s="36">
        <f t="shared" si="628"/>
        <v>2250</v>
      </c>
      <c r="K2974" s="36">
        <f t="shared" si="613"/>
        <v>32025</v>
      </c>
      <c r="L2974" s="36">
        <v>15000</v>
      </c>
      <c r="M2974" s="9">
        <f t="shared" si="614"/>
        <v>0.46838407494145201</v>
      </c>
      <c r="N2974" s="5">
        <v>1</v>
      </c>
      <c r="O2974" s="10">
        <f t="shared" si="615"/>
        <v>0.46838407494145201</v>
      </c>
    </row>
    <row r="2975" spans="1:15" ht="13.5" customHeight="1">
      <c r="B2975" s="33">
        <f t="shared" si="617"/>
        <v>35</v>
      </c>
      <c r="C2975" s="62"/>
      <c r="D2975" s="62"/>
      <c r="F2975" s="61" t="s">
        <v>33</v>
      </c>
      <c r="G2975" s="36">
        <f t="shared" si="628"/>
        <v>18981</v>
      </c>
      <c r="H2975" s="36">
        <f t="shared" si="628"/>
        <v>5583</v>
      </c>
      <c r="I2975" s="36">
        <f t="shared" si="628"/>
        <v>11370</v>
      </c>
      <c r="J2975" s="36">
        <f t="shared" si="628"/>
        <v>2250</v>
      </c>
      <c r="K2975" s="36">
        <f t="shared" si="613"/>
        <v>38184</v>
      </c>
      <c r="L2975" s="36">
        <v>15000</v>
      </c>
      <c r="M2975" s="9">
        <f t="shared" si="614"/>
        <v>0.39283469516027658</v>
      </c>
      <c r="N2975" s="5">
        <v>1</v>
      </c>
      <c r="O2975" s="10">
        <f t="shared" si="615"/>
        <v>0.39283469516027658</v>
      </c>
    </row>
    <row r="2976" spans="1:15" ht="13.5" customHeight="1">
      <c r="B2976" s="33">
        <f t="shared" si="617"/>
        <v>36</v>
      </c>
      <c r="C2976" s="62"/>
      <c r="D2976" s="62"/>
      <c r="F2976" s="61" t="s">
        <v>33</v>
      </c>
      <c r="G2976" s="36">
        <f t="shared" si="628"/>
        <v>18981</v>
      </c>
      <c r="H2976" s="36">
        <f t="shared" si="628"/>
        <v>5583</v>
      </c>
      <c r="I2976" s="36">
        <f t="shared" si="628"/>
        <v>11370</v>
      </c>
      <c r="J2976" s="36">
        <f t="shared" si="628"/>
        <v>2250</v>
      </c>
      <c r="K2976" s="36">
        <f t="shared" si="613"/>
        <v>38184</v>
      </c>
      <c r="L2976" s="36">
        <v>15000</v>
      </c>
      <c r="M2976" s="9">
        <f t="shared" si="614"/>
        <v>0.39283469516027658</v>
      </c>
      <c r="N2976" s="5">
        <v>1</v>
      </c>
      <c r="O2976" s="10">
        <f t="shared" si="615"/>
        <v>0.39283469516027658</v>
      </c>
    </row>
    <row r="2977" spans="2:15" ht="13.5" customHeight="1">
      <c r="B2977" s="33">
        <f t="shared" si="617"/>
        <v>37</v>
      </c>
      <c r="C2977" s="62"/>
      <c r="D2977" s="62"/>
      <c r="F2977" s="61" t="s">
        <v>33</v>
      </c>
      <c r="G2977" s="36">
        <f t="shared" si="628"/>
        <v>18648</v>
      </c>
      <c r="H2977" s="36">
        <f t="shared" si="628"/>
        <v>5583</v>
      </c>
      <c r="I2977" s="36">
        <f t="shared" si="628"/>
        <v>11370</v>
      </c>
      <c r="J2977" s="36">
        <f t="shared" si="628"/>
        <v>2250</v>
      </c>
      <c r="K2977" s="36">
        <f t="shared" si="613"/>
        <v>37851</v>
      </c>
      <c r="L2977" s="36">
        <v>15000</v>
      </c>
      <c r="M2977" s="9">
        <f t="shared" si="614"/>
        <v>0.39629071887136402</v>
      </c>
      <c r="N2977" s="5">
        <v>1</v>
      </c>
      <c r="O2977" s="10">
        <f t="shared" si="615"/>
        <v>0.39629071887136402</v>
      </c>
    </row>
    <row r="2978" spans="2:15" ht="13.5" customHeight="1">
      <c r="B2978" s="33">
        <f t="shared" si="617"/>
        <v>38</v>
      </c>
      <c r="C2978" s="62"/>
      <c r="D2978" s="62"/>
      <c r="F2978" s="61" t="s">
        <v>33</v>
      </c>
      <c r="G2978" s="36">
        <f t="shared" si="628"/>
        <v>18814.5</v>
      </c>
      <c r="H2978" s="36">
        <f t="shared" si="628"/>
        <v>5583</v>
      </c>
      <c r="I2978" s="36">
        <f t="shared" si="628"/>
        <v>11370</v>
      </c>
      <c r="J2978" s="36">
        <f t="shared" si="628"/>
        <v>2250</v>
      </c>
      <c r="K2978" s="36">
        <f t="shared" si="613"/>
        <v>38017.5</v>
      </c>
      <c r="L2978" s="36">
        <v>15000</v>
      </c>
      <c r="M2978" s="9">
        <f t="shared" si="614"/>
        <v>0.39455513908068651</v>
      </c>
      <c r="N2978" s="5">
        <v>1</v>
      </c>
      <c r="O2978" s="10">
        <f t="shared" si="615"/>
        <v>0.39455513908068651</v>
      </c>
    </row>
    <row r="2979" spans="2:15" ht="13.5" customHeight="1">
      <c r="B2979" s="33">
        <f t="shared" si="617"/>
        <v>39</v>
      </c>
      <c r="C2979" s="62"/>
      <c r="D2979" s="62"/>
      <c r="F2979" s="61" t="s">
        <v>33</v>
      </c>
      <c r="G2979" s="36">
        <f t="shared" si="628"/>
        <v>18981</v>
      </c>
      <c r="H2979" s="36">
        <f t="shared" si="628"/>
        <v>5583</v>
      </c>
      <c r="I2979" s="36">
        <f t="shared" si="628"/>
        <v>11370</v>
      </c>
      <c r="J2979" s="36">
        <f t="shared" si="628"/>
        <v>2250</v>
      </c>
      <c r="K2979" s="36">
        <f t="shared" si="613"/>
        <v>38184</v>
      </c>
      <c r="L2979" s="36">
        <v>15000</v>
      </c>
      <c r="M2979" s="9">
        <f t="shared" si="614"/>
        <v>0.39283469516027658</v>
      </c>
      <c r="N2979" s="5">
        <v>1</v>
      </c>
      <c r="O2979" s="10">
        <f t="shared" si="615"/>
        <v>0.39283469516027658</v>
      </c>
    </row>
    <row r="2980" spans="2:15" ht="13.5" customHeight="1">
      <c r="B2980" s="33">
        <f t="shared" si="617"/>
        <v>40</v>
      </c>
      <c r="C2980" s="62"/>
      <c r="D2980" s="62"/>
      <c r="F2980" s="61" t="s">
        <v>33</v>
      </c>
      <c r="G2980" s="36">
        <f t="shared" si="628"/>
        <v>19147.5</v>
      </c>
      <c r="H2980" s="36">
        <f t="shared" si="628"/>
        <v>5583</v>
      </c>
      <c r="I2980" s="36">
        <f t="shared" si="628"/>
        <v>11370</v>
      </c>
      <c r="J2980" s="36">
        <f t="shared" si="628"/>
        <v>2250</v>
      </c>
      <c r="K2980" s="36">
        <f t="shared" si="613"/>
        <v>38350.5</v>
      </c>
      <c r="L2980" s="36">
        <v>15000</v>
      </c>
      <c r="M2980" s="9">
        <f t="shared" si="614"/>
        <v>0.39112918997144758</v>
      </c>
      <c r="N2980" s="5">
        <v>1</v>
      </c>
      <c r="O2980" s="10">
        <f t="shared" si="615"/>
        <v>0.39112918997144758</v>
      </c>
    </row>
    <row r="2981" spans="2:15" ht="13.5" customHeight="1">
      <c r="B2981" s="33">
        <f t="shared" si="617"/>
        <v>41</v>
      </c>
      <c r="C2981" s="63"/>
      <c r="D2981" s="63"/>
      <c r="F2981" s="64" t="s">
        <v>33</v>
      </c>
      <c r="G2981" s="36">
        <f t="shared" si="628"/>
        <v>18981</v>
      </c>
      <c r="H2981" s="36">
        <f t="shared" si="628"/>
        <v>5583</v>
      </c>
      <c r="I2981" s="36">
        <f t="shared" si="628"/>
        <v>11370</v>
      </c>
      <c r="J2981" s="36">
        <f t="shared" si="628"/>
        <v>2250</v>
      </c>
      <c r="K2981" s="36">
        <f t="shared" si="613"/>
        <v>38184</v>
      </c>
      <c r="L2981" s="36">
        <v>15000</v>
      </c>
      <c r="M2981" s="9">
        <f t="shared" si="614"/>
        <v>0.39283469516027658</v>
      </c>
      <c r="N2981" s="5">
        <v>1</v>
      </c>
      <c r="O2981" s="10">
        <f t="shared" si="615"/>
        <v>0.39283469516027658</v>
      </c>
    </row>
    <row r="2982" spans="2:15" ht="13.5" customHeight="1">
      <c r="B2982" s="33">
        <f t="shared" si="617"/>
        <v>42</v>
      </c>
      <c r="C2982" s="63"/>
      <c r="D2982" s="63"/>
      <c r="F2982" s="64" t="s">
        <v>33</v>
      </c>
      <c r="G2982" s="36">
        <f t="shared" si="628"/>
        <v>18981</v>
      </c>
      <c r="H2982" s="36">
        <f t="shared" si="628"/>
        <v>5583</v>
      </c>
      <c r="I2982" s="36">
        <f t="shared" si="628"/>
        <v>11370</v>
      </c>
      <c r="J2982" s="36">
        <f t="shared" si="628"/>
        <v>2250</v>
      </c>
      <c r="K2982" s="36">
        <f t="shared" si="613"/>
        <v>38184</v>
      </c>
      <c r="L2982" s="36">
        <v>15000</v>
      </c>
      <c r="M2982" s="9">
        <f t="shared" si="614"/>
        <v>0.39283469516027658</v>
      </c>
      <c r="N2982" s="5">
        <v>1</v>
      </c>
      <c r="O2982" s="10">
        <f t="shared" si="615"/>
        <v>0.39283469516027658</v>
      </c>
    </row>
    <row r="2983" spans="2:15" ht="13.5" customHeight="1">
      <c r="B2983" s="33">
        <f t="shared" si="617"/>
        <v>43</v>
      </c>
      <c r="C2983" s="63"/>
      <c r="D2983" s="63"/>
      <c r="F2983" s="64" t="s">
        <v>33</v>
      </c>
      <c r="G2983" s="36">
        <f t="shared" si="628"/>
        <v>18981</v>
      </c>
      <c r="H2983" s="36">
        <f t="shared" si="628"/>
        <v>5583</v>
      </c>
      <c r="I2983" s="36">
        <f t="shared" si="628"/>
        <v>11370</v>
      </c>
      <c r="J2983" s="36">
        <f t="shared" si="628"/>
        <v>2250</v>
      </c>
      <c r="K2983" s="36">
        <f t="shared" si="613"/>
        <v>38184</v>
      </c>
      <c r="L2983" s="36">
        <v>15000</v>
      </c>
      <c r="M2983" s="9">
        <f t="shared" si="614"/>
        <v>0.39283469516027658</v>
      </c>
      <c r="N2983" s="5">
        <v>1</v>
      </c>
      <c r="O2983" s="10">
        <f t="shared" si="615"/>
        <v>0.39283469516027658</v>
      </c>
    </row>
    <row r="2984" spans="2:15" ht="13.5" customHeight="1">
      <c r="B2984" s="33">
        <f t="shared" si="617"/>
        <v>44</v>
      </c>
      <c r="C2984" s="63"/>
      <c r="D2984" s="63"/>
      <c r="F2984" s="64" t="s">
        <v>33</v>
      </c>
      <c r="G2984" s="36">
        <f t="shared" si="628"/>
        <v>18981</v>
      </c>
      <c r="H2984" s="36">
        <f t="shared" si="628"/>
        <v>5583</v>
      </c>
      <c r="I2984" s="36">
        <f t="shared" si="628"/>
        <v>11370</v>
      </c>
      <c r="J2984" s="36">
        <f t="shared" si="628"/>
        <v>2250</v>
      </c>
      <c r="K2984" s="36">
        <f t="shared" si="613"/>
        <v>38184</v>
      </c>
      <c r="L2984" s="36">
        <v>15000</v>
      </c>
      <c r="M2984" s="9">
        <f t="shared" si="614"/>
        <v>0.39283469516027658</v>
      </c>
      <c r="N2984" s="5">
        <v>1</v>
      </c>
      <c r="O2984" s="10">
        <f t="shared" si="615"/>
        <v>0.39283469516027658</v>
      </c>
    </row>
    <row r="2985" spans="2:15" ht="13.5" customHeight="1">
      <c r="B2985" s="33">
        <f t="shared" si="617"/>
        <v>45</v>
      </c>
      <c r="C2985" s="63"/>
      <c r="D2985" s="63"/>
      <c r="F2985" s="64" t="s">
        <v>33</v>
      </c>
      <c r="G2985" s="36">
        <f t="shared" si="628"/>
        <v>18814.5</v>
      </c>
      <c r="H2985" s="36">
        <f t="shared" si="628"/>
        <v>5583</v>
      </c>
      <c r="I2985" s="36">
        <f t="shared" si="628"/>
        <v>11370</v>
      </c>
      <c r="J2985" s="36">
        <f t="shared" si="628"/>
        <v>2250</v>
      </c>
      <c r="K2985" s="36">
        <f t="shared" si="613"/>
        <v>38017.5</v>
      </c>
      <c r="L2985" s="36">
        <v>15000</v>
      </c>
      <c r="M2985" s="9">
        <f t="shared" si="614"/>
        <v>0.39455513908068651</v>
      </c>
      <c r="N2985" s="5">
        <v>1</v>
      </c>
      <c r="O2985" s="10">
        <f t="shared" si="615"/>
        <v>0.39455513908068651</v>
      </c>
    </row>
    <row r="2986" spans="2:15" ht="13.5" customHeight="1">
      <c r="B2986" s="33">
        <f t="shared" si="617"/>
        <v>46</v>
      </c>
      <c r="C2986" s="63"/>
      <c r="D2986" s="63"/>
      <c r="F2986" s="64" t="s">
        <v>33</v>
      </c>
      <c r="G2986" s="36">
        <f t="shared" si="628"/>
        <v>18981</v>
      </c>
      <c r="H2986" s="36">
        <f t="shared" si="628"/>
        <v>5583</v>
      </c>
      <c r="I2986" s="36">
        <f t="shared" si="628"/>
        <v>11370</v>
      </c>
      <c r="J2986" s="36">
        <f t="shared" si="628"/>
        <v>2250</v>
      </c>
      <c r="K2986" s="36">
        <f t="shared" si="613"/>
        <v>38184</v>
      </c>
      <c r="L2986" s="36">
        <v>15000</v>
      </c>
      <c r="M2986" s="9">
        <f t="shared" si="614"/>
        <v>0.39283469516027658</v>
      </c>
      <c r="N2986" s="5">
        <v>1</v>
      </c>
      <c r="O2986" s="10">
        <f t="shared" si="615"/>
        <v>0.39283469516027658</v>
      </c>
    </row>
    <row r="2987" spans="2:15" ht="13.5" customHeight="1">
      <c r="B2987" s="33">
        <f t="shared" si="617"/>
        <v>47</v>
      </c>
      <c r="C2987" s="62"/>
      <c r="D2987" s="62"/>
      <c r="F2987" s="61" t="s">
        <v>44</v>
      </c>
      <c r="G2987" s="36">
        <f t="shared" si="628"/>
        <v>15651</v>
      </c>
      <c r="H2987" s="36">
        <f t="shared" si="628"/>
        <v>5583</v>
      </c>
      <c r="I2987" s="36">
        <f t="shared" si="628"/>
        <v>9720</v>
      </c>
      <c r="J2987" s="36">
        <f t="shared" si="628"/>
        <v>2250</v>
      </c>
      <c r="K2987" s="36">
        <f t="shared" si="613"/>
        <v>33204</v>
      </c>
      <c r="L2987" s="36">
        <v>15000</v>
      </c>
      <c r="M2987" s="9">
        <f t="shared" si="614"/>
        <v>0.45175280086736536</v>
      </c>
      <c r="N2987" s="5">
        <v>1</v>
      </c>
      <c r="O2987" s="10">
        <f t="shared" si="615"/>
        <v>0.45175280086736536</v>
      </c>
    </row>
    <row r="2988" spans="2:15" ht="13.5" customHeight="1">
      <c r="B2988" s="33">
        <f t="shared" si="617"/>
        <v>48</v>
      </c>
      <c r="C2988" s="62"/>
      <c r="D2988" s="62"/>
      <c r="F2988" s="61" t="s">
        <v>44</v>
      </c>
      <c r="G2988" s="36">
        <f t="shared" si="628"/>
        <v>13653</v>
      </c>
      <c r="H2988" s="36">
        <f t="shared" si="628"/>
        <v>5583</v>
      </c>
      <c r="I2988" s="36">
        <f t="shared" si="628"/>
        <v>9720</v>
      </c>
      <c r="J2988" s="36">
        <f t="shared" si="628"/>
        <v>2250</v>
      </c>
      <c r="K2988" s="36">
        <f t="shared" si="613"/>
        <v>31206</v>
      </c>
      <c r="L2988" s="36">
        <v>15000</v>
      </c>
      <c r="M2988" s="9">
        <f t="shared" si="614"/>
        <v>0.4806767929244376</v>
      </c>
      <c r="N2988" s="5">
        <v>1</v>
      </c>
      <c r="O2988" s="10">
        <f t="shared" si="615"/>
        <v>0.4806767929244376</v>
      </c>
    </row>
    <row r="2989" spans="2:15" ht="13.5" customHeight="1">
      <c r="B2989" s="33">
        <f t="shared" si="617"/>
        <v>49</v>
      </c>
      <c r="C2989" s="62"/>
      <c r="D2989" s="62"/>
      <c r="F2989" s="61" t="s">
        <v>44</v>
      </c>
      <c r="G2989" s="36">
        <f t="shared" si="628"/>
        <v>15651</v>
      </c>
      <c r="H2989" s="36">
        <f t="shared" si="628"/>
        <v>5583</v>
      </c>
      <c r="I2989" s="36">
        <f t="shared" si="628"/>
        <v>9720</v>
      </c>
      <c r="J2989" s="36">
        <f t="shared" si="628"/>
        <v>2250</v>
      </c>
      <c r="K2989" s="36">
        <f t="shared" si="613"/>
        <v>33204</v>
      </c>
      <c r="L2989" s="36">
        <v>15000</v>
      </c>
      <c r="M2989" s="9">
        <f t="shared" si="614"/>
        <v>0.45175280086736536</v>
      </c>
      <c r="N2989" s="5">
        <v>1</v>
      </c>
      <c r="O2989" s="10">
        <f t="shared" si="615"/>
        <v>0.45175280086736536</v>
      </c>
    </row>
    <row r="2990" spans="2:15" ht="13.5" customHeight="1">
      <c r="B2990" s="33">
        <f t="shared" si="617"/>
        <v>50</v>
      </c>
      <c r="C2990" s="62"/>
      <c r="D2990" s="62"/>
      <c r="F2990" s="61" t="s">
        <v>44</v>
      </c>
      <c r="G2990" s="36">
        <f t="shared" si="628"/>
        <v>15651</v>
      </c>
      <c r="H2990" s="36">
        <f t="shared" si="628"/>
        <v>5583</v>
      </c>
      <c r="I2990" s="36">
        <f t="shared" si="628"/>
        <v>9720</v>
      </c>
      <c r="J2990" s="36">
        <f t="shared" si="628"/>
        <v>2250</v>
      </c>
      <c r="K2990" s="36">
        <f t="shared" si="613"/>
        <v>33204</v>
      </c>
      <c r="L2990" s="36">
        <v>15000</v>
      </c>
      <c r="M2990" s="9">
        <f t="shared" si="614"/>
        <v>0.45175280086736536</v>
      </c>
      <c r="N2990" s="5">
        <v>1</v>
      </c>
      <c r="O2990" s="10">
        <f t="shared" si="615"/>
        <v>0.45175280086736536</v>
      </c>
    </row>
    <row r="2991" spans="2:15" ht="13.5" customHeight="1">
      <c r="B2991" s="33">
        <f t="shared" si="617"/>
        <v>51</v>
      </c>
      <c r="C2991" s="62"/>
      <c r="D2991" s="62"/>
      <c r="F2991" s="61" t="s">
        <v>44</v>
      </c>
      <c r="G2991" s="36">
        <f t="shared" si="628"/>
        <v>15651</v>
      </c>
      <c r="H2991" s="36">
        <f t="shared" si="628"/>
        <v>5583</v>
      </c>
      <c r="I2991" s="36">
        <f t="shared" si="628"/>
        <v>9720</v>
      </c>
      <c r="J2991" s="36">
        <f t="shared" si="628"/>
        <v>2250</v>
      </c>
      <c r="K2991" s="36">
        <f>SUM(G2991:J2991)</f>
        <v>33204</v>
      </c>
      <c r="L2991" s="36">
        <v>15000</v>
      </c>
      <c r="M2991" s="9">
        <f t="shared" si="614"/>
        <v>0.45175280086736536</v>
      </c>
      <c r="N2991" s="5">
        <v>1</v>
      </c>
      <c r="O2991" s="10">
        <f t="shared" si="615"/>
        <v>0.45175280086736536</v>
      </c>
    </row>
    <row r="2992" spans="2:15" ht="13.5" customHeight="1">
      <c r="B2992" s="33">
        <f t="shared" si="617"/>
        <v>52</v>
      </c>
      <c r="C2992" s="62"/>
      <c r="D2992" s="62"/>
      <c r="F2992" s="61" t="s">
        <v>44</v>
      </c>
      <c r="G2992" s="36">
        <f t="shared" si="628"/>
        <v>11322</v>
      </c>
      <c r="H2992" s="36">
        <f t="shared" si="628"/>
        <v>3722</v>
      </c>
      <c r="I2992" s="36">
        <f t="shared" si="628"/>
        <v>6480</v>
      </c>
      <c r="J2992" s="36">
        <f t="shared" si="628"/>
        <v>1500</v>
      </c>
      <c r="K2992" s="36">
        <f t="shared" si="613"/>
        <v>23024</v>
      </c>
      <c r="L2992" s="36">
        <v>15000</v>
      </c>
      <c r="M2992" s="9">
        <f t="shared" si="614"/>
        <v>0.65149409312022233</v>
      </c>
      <c r="N2992" s="5">
        <v>1</v>
      </c>
      <c r="O2992" s="10">
        <f t="shared" si="615"/>
        <v>0.65149409312022233</v>
      </c>
    </row>
    <row r="2993" spans="1:15" ht="13.5" customHeight="1">
      <c r="B2993" s="33">
        <f t="shared" ref="B2993:B3056" si="629">+B2992+1</f>
        <v>53</v>
      </c>
      <c r="C2993" s="62"/>
      <c r="D2993" s="62"/>
      <c r="F2993" s="61" t="s">
        <v>44</v>
      </c>
      <c r="G2993" s="36">
        <f t="shared" si="628"/>
        <v>10656</v>
      </c>
      <c r="H2993" s="36">
        <f t="shared" si="628"/>
        <v>5583</v>
      </c>
      <c r="I2993" s="36">
        <f t="shared" si="628"/>
        <v>9720</v>
      </c>
      <c r="J2993" s="36">
        <f t="shared" si="628"/>
        <v>2250</v>
      </c>
      <c r="K2993" s="36">
        <f t="shared" si="613"/>
        <v>28209</v>
      </c>
      <c r="L2993" s="36">
        <v>15000</v>
      </c>
      <c r="M2993" s="9">
        <f t="shared" si="614"/>
        <v>0.53174518770605128</v>
      </c>
      <c r="N2993" s="5">
        <v>1</v>
      </c>
      <c r="O2993" s="10">
        <f t="shared" si="615"/>
        <v>0.53174518770605128</v>
      </c>
    </row>
    <row r="2994" spans="1:15" ht="13.5" customHeight="1">
      <c r="B2994" s="33">
        <f t="shared" si="629"/>
        <v>54</v>
      </c>
      <c r="C2994" s="62"/>
      <c r="D2994" s="62"/>
      <c r="F2994" s="61" t="s">
        <v>44</v>
      </c>
      <c r="G2994" s="36">
        <f t="shared" ref="G2994:J3002" si="630">+G2810+G2619+G2428</f>
        <v>13653</v>
      </c>
      <c r="H2994" s="36">
        <f t="shared" si="630"/>
        <v>5583</v>
      </c>
      <c r="I2994" s="36">
        <f t="shared" si="630"/>
        <v>9720</v>
      </c>
      <c r="J2994" s="36">
        <f t="shared" si="630"/>
        <v>2250</v>
      </c>
      <c r="K2994" s="36">
        <f t="shared" si="613"/>
        <v>31206</v>
      </c>
      <c r="L2994" s="36">
        <v>15000</v>
      </c>
      <c r="M2994" s="9">
        <f t="shared" si="614"/>
        <v>0.4806767929244376</v>
      </c>
      <c r="N2994" s="5">
        <v>1</v>
      </c>
      <c r="O2994" s="10">
        <f t="shared" si="615"/>
        <v>0.4806767929244376</v>
      </c>
    </row>
    <row r="2995" spans="1:15" ht="13.5" customHeight="1">
      <c r="A2995" s="1" t="s">
        <v>1019</v>
      </c>
      <c r="B2995" s="33">
        <f t="shared" si="629"/>
        <v>55</v>
      </c>
      <c r="C2995" s="62"/>
      <c r="D2995" s="62"/>
      <c r="F2995" s="61" t="s">
        <v>44</v>
      </c>
      <c r="G2995" s="36">
        <f t="shared" si="630"/>
        <v>13653</v>
      </c>
      <c r="H2995" s="36">
        <f t="shared" si="630"/>
        <v>5583</v>
      </c>
      <c r="I2995" s="36">
        <f t="shared" si="630"/>
        <v>9720</v>
      </c>
      <c r="J2995" s="36">
        <f t="shared" si="630"/>
        <v>2250</v>
      </c>
      <c r="K2995" s="36">
        <v>10206</v>
      </c>
      <c r="L2995" s="36">
        <v>15000</v>
      </c>
      <c r="M2995" s="9">
        <f t="shared" si="614"/>
        <v>1.4697236919459142</v>
      </c>
      <c r="N2995" s="5">
        <v>1</v>
      </c>
      <c r="O2995" s="10">
        <f t="shared" si="615"/>
        <v>1</v>
      </c>
    </row>
    <row r="2996" spans="1:15" ht="13.5" customHeight="1">
      <c r="B2996" s="33">
        <f t="shared" si="629"/>
        <v>56</v>
      </c>
      <c r="C2996" s="63"/>
      <c r="D2996" s="63"/>
      <c r="F2996" s="64" t="s">
        <v>44</v>
      </c>
      <c r="G2996" s="36">
        <f t="shared" si="630"/>
        <v>13653</v>
      </c>
      <c r="H2996" s="36">
        <f t="shared" si="630"/>
        <v>5583</v>
      </c>
      <c r="I2996" s="36">
        <f t="shared" si="630"/>
        <v>9720</v>
      </c>
      <c r="J2996" s="36">
        <f t="shared" si="630"/>
        <v>2250</v>
      </c>
      <c r="K2996" s="36">
        <f t="shared" si="613"/>
        <v>31206</v>
      </c>
      <c r="L2996" s="36">
        <v>15000</v>
      </c>
      <c r="M2996" s="9">
        <f t="shared" si="614"/>
        <v>0.4806767929244376</v>
      </c>
      <c r="N2996" s="5">
        <v>1</v>
      </c>
      <c r="O2996" s="10">
        <f t="shared" si="615"/>
        <v>0.4806767929244376</v>
      </c>
    </row>
    <row r="2997" spans="1:15" ht="13.5" customHeight="1">
      <c r="B2997" s="33">
        <f t="shared" si="629"/>
        <v>57</v>
      </c>
      <c r="C2997" s="63"/>
      <c r="D2997" s="63"/>
      <c r="F2997" s="64" t="s">
        <v>44</v>
      </c>
      <c r="G2997" s="36">
        <f t="shared" si="630"/>
        <v>15651</v>
      </c>
      <c r="H2997" s="36">
        <f t="shared" si="630"/>
        <v>5583</v>
      </c>
      <c r="I2997" s="36">
        <f t="shared" si="630"/>
        <v>9720</v>
      </c>
      <c r="J2997" s="36">
        <f t="shared" si="630"/>
        <v>2250</v>
      </c>
      <c r="K2997" s="36">
        <f t="shared" si="613"/>
        <v>33204</v>
      </c>
      <c r="L2997" s="36">
        <v>15000</v>
      </c>
      <c r="M2997" s="9">
        <f t="shared" si="614"/>
        <v>0.45175280086736536</v>
      </c>
      <c r="N2997" s="5">
        <v>1</v>
      </c>
      <c r="O2997" s="10">
        <f t="shared" si="615"/>
        <v>0.45175280086736536</v>
      </c>
    </row>
    <row r="2998" spans="1:15" ht="13.5" customHeight="1">
      <c r="B2998" s="33">
        <f t="shared" si="629"/>
        <v>58</v>
      </c>
      <c r="C2998" s="63"/>
      <c r="D2998" s="63"/>
      <c r="F2998" s="64" t="s">
        <v>44</v>
      </c>
      <c r="G2998" s="36">
        <f t="shared" si="630"/>
        <v>15651</v>
      </c>
      <c r="H2998" s="36">
        <f t="shared" si="630"/>
        <v>5583</v>
      </c>
      <c r="I2998" s="36">
        <f t="shared" si="630"/>
        <v>9720</v>
      </c>
      <c r="J2998" s="36">
        <f t="shared" si="630"/>
        <v>2250</v>
      </c>
      <c r="K2998" s="36">
        <f t="shared" si="613"/>
        <v>33204</v>
      </c>
      <c r="L2998" s="36">
        <v>15000</v>
      </c>
      <c r="M2998" s="9">
        <f t="shared" si="614"/>
        <v>0.45175280086736536</v>
      </c>
      <c r="N2998" s="5">
        <v>1</v>
      </c>
      <c r="O2998" s="10">
        <f t="shared" si="615"/>
        <v>0.45175280086736536</v>
      </c>
    </row>
    <row r="2999" spans="1:15" ht="13.5" customHeight="1">
      <c r="B2999" s="33">
        <f t="shared" si="629"/>
        <v>59</v>
      </c>
      <c r="C2999" s="63"/>
      <c r="D2999" s="63"/>
      <c r="F2999" s="64" t="s">
        <v>44</v>
      </c>
      <c r="G2999" s="36">
        <f t="shared" si="630"/>
        <v>13653</v>
      </c>
      <c r="H2999" s="36">
        <f t="shared" si="630"/>
        <v>5583</v>
      </c>
      <c r="I2999" s="36">
        <f t="shared" si="630"/>
        <v>9720</v>
      </c>
      <c r="J2999" s="36">
        <f t="shared" si="630"/>
        <v>2250</v>
      </c>
      <c r="K2999" s="36">
        <f t="shared" si="613"/>
        <v>31206</v>
      </c>
      <c r="L2999" s="36">
        <v>15000</v>
      </c>
      <c r="M2999" s="9">
        <f t="shared" si="614"/>
        <v>0.4806767929244376</v>
      </c>
      <c r="N2999" s="5">
        <v>1</v>
      </c>
      <c r="O2999" s="10">
        <f t="shared" si="615"/>
        <v>0.4806767929244376</v>
      </c>
    </row>
    <row r="3000" spans="1:15" ht="13.5" customHeight="1">
      <c r="B3000" s="33">
        <f t="shared" si="629"/>
        <v>60</v>
      </c>
      <c r="C3000" s="63"/>
      <c r="D3000" s="63"/>
      <c r="F3000" s="64" t="s">
        <v>44</v>
      </c>
      <c r="G3000" s="36">
        <f t="shared" si="630"/>
        <v>15651</v>
      </c>
      <c r="H3000" s="36">
        <f t="shared" si="630"/>
        <v>5583</v>
      </c>
      <c r="I3000" s="36">
        <f t="shared" si="630"/>
        <v>9720</v>
      </c>
      <c r="J3000" s="36">
        <f t="shared" si="630"/>
        <v>2250</v>
      </c>
      <c r="K3000" s="36">
        <f t="shared" si="613"/>
        <v>33204</v>
      </c>
      <c r="L3000" s="36">
        <v>15000</v>
      </c>
      <c r="M3000" s="9">
        <f t="shared" si="614"/>
        <v>0.45175280086736536</v>
      </c>
      <c r="N3000" s="5">
        <v>1</v>
      </c>
      <c r="O3000" s="10">
        <f t="shared" si="615"/>
        <v>0.45175280086736536</v>
      </c>
    </row>
    <row r="3001" spans="1:15" ht="13.5" customHeight="1">
      <c r="B3001" s="33">
        <f t="shared" si="629"/>
        <v>61</v>
      </c>
      <c r="C3001" s="63"/>
      <c r="D3001" s="63"/>
      <c r="F3001" s="64" t="s">
        <v>44</v>
      </c>
      <c r="G3001" s="36">
        <f t="shared" si="630"/>
        <v>15651</v>
      </c>
      <c r="H3001" s="36">
        <f t="shared" si="630"/>
        <v>5583</v>
      </c>
      <c r="I3001" s="36">
        <f t="shared" si="630"/>
        <v>9720</v>
      </c>
      <c r="J3001" s="36">
        <f t="shared" si="630"/>
        <v>2250</v>
      </c>
      <c r="K3001" s="36">
        <f t="shared" si="613"/>
        <v>33204</v>
      </c>
      <c r="L3001" s="36">
        <v>15000</v>
      </c>
      <c r="M3001" s="9">
        <f t="shared" si="614"/>
        <v>0.45175280086736536</v>
      </c>
      <c r="N3001" s="5">
        <v>1</v>
      </c>
      <c r="O3001" s="10">
        <f t="shared" si="615"/>
        <v>0.45175280086736536</v>
      </c>
    </row>
    <row r="3002" spans="1:15" ht="13.5" customHeight="1">
      <c r="B3002" s="33">
        <f t="shared" si="629"/>
        <v>62</v>
      </c>
      <c r="C3002" s="63"/>
      <c r="D3002" s="63"/>
      <c r="F3002" s="64" t="s">
        <v>44</v>
      </c>
      <c r="G3002" s="36">
        <f t="shared" si="630"/>
        <v>15651</v>
      </c>
      <c r="H3002" s="36">
        <f t="shared" si="630"/>
        <v>5583</v>
      </c>
      <c r="I3002" s="36">
        <f t="shared" si="630"/>
        <v>9720</v>
      </c>
      <c r="J3002" s="36">
        <f t="shared" si="630"/>
        <v>2250</v>
      </c>
      <c r="K3002" s="36">
        <f t="shared" si="613"/>
        <v>33204</v>
      </c>
      <c r="L3002" s="36">
        <v>15000</v>
      </c>
      <c r="M3002" s="9">
        <f t="shared" si="614"/>
        <v>0.45175280086736536</v>
      </c>
      <c r="N3002" s="5">
        <v>1</v>
      </c>
      <c r="O3002" s="10">
        <f t="shared" si="615"/>
        <v>0.45175280086736536</v>
      </c>
    </row>
    <row r="3003" spans="1:15" ht="13.5" customHeight="1">
      <c r="B3003" s="33">
        <f t="shared" si="629"/>
        <v>63</v>
      </c>
      <c r="C3003" s="63"/>
      <c r="D3003" s="63"/>
      <c r="F3003" s="64" t="s">
        <v>44</v>
      </c>
      <c r="G3003" s="36">
        <f t="shared" ref="G3003:J3022" si="631">+G2820+G2629+G2438</f>
        <v>15651</v>
      </c>
      <c r="H3003" s="36">
        <f t="shared" si="631"/>
        <v>5583</v>
      </c>
      <c r="I3003" s="36">
        <f t="shared" si="631"/>
        <v>9720</v>
      </c>
      <c r="J3003" s="36">
        <f t="shared" si="631"/>
        <v>2250</v>
      </c>
      <c r="K3003" s="36">
        <f t="shared" si="613"/>
        <v>33204</v>
      </c>
      <c r="L3003" s="36">
        <v>15000</v>
      </c>
      <c r="M3003" s="9">
        <f t="shared" si="614"/>
        <v>0.45175280086736536</v>
      </c>
      <c r="N3003" s="5">
        <v>1</v>
      </c>
      <c r="O3003" s="10">
        <f t="shared" si="615"/>
        <v>0.45175280086736536</v>
      </c>
    </row>
    <row r="3004" spans="1:15" ht="13.5" customHeight="1">
      <c r="B3004" s="33">
        <f t="shared" si="629"/>
        <v>64</v>
      </c>
      <c r="C3004" s="63"/>
      <c r="D3004" s="63"/>
      <c r="F3004" s="64" t="s">
        <v>44</v>
      </c>
      <c r="G3004" s="36">
        <f t="shared" si="631"/>
        <v>13653</v>
      </c>
      <c r="H3004" s="36">
        <f t="shared" si="631"/>
        <v>5583</v>
      </c>
      <c r="I3004" s="36">
        <f t="shared" si="631"/>
        <v>9720</v>
      </c>
      <c r="J3004" s="36">
        <f t="shared" si="631"/>
        <v>2250</v>
      </c>
      <c r="K3004" s="36">
        <f t="shared" si="613"/>
        <v>31206</v>
      </c>
      <c r="L3004" s="36">
        <v>15000</v>
      </c>
      <c r="M3004" s="9">
        <f t="shared" si="614"/>
        <v>0.4806767929244376</v>
      </c>
      <c r="N3004" s="5">
        <v>1</v>
      </c>
      <c r="O3004" s="10">
        <f t="shared" si="615"/>
        <v>0.4806767929244376</v>
      </c>
    </row>
    <row r="3005" spans="1:15" ht="13.5" customHeight="1">
      <c r="B3005" s="33">
        <f t="shared" si="629"/>
        <v>65</v>
      </c>
      <c r="C3005" s="63"/>
      <c r="D3005" s="63"/>
      <c r="F3005" s="64" t="s">
        <v>44</v>
      </c>
      <c r="G3005" s="36">
        <f t="shared" si="631"/>
        <v>15651</v>
      </c>
      <c r="H3005" s="36">
        <f t="shared" si="631"/>
        <v>5583</v>
      </c>
      <c r="I3005" s="36">
        <f t="shared" si="631"/>
        <v>9720</v>
      </c>
      <c r="J3005" s="36">
        <f t="shared" si="631"/>
        <v>2250</v>
      </c>
      <c r="K3005" s="36">
        <f t="shared" si="613"/>
        <v>33204</v>
      </c>
      <c r="L3005" s="36">
        <v>15000</v>
      </c>
      <c r="M3005" s="9">
        <f t="shared" si="614"/>
        <v>0.45175280086736536</v>
      </c>
      <c r="N3005" s="5">
        <v>1</v>
      </c>
      <c r="O3005" s="10">
        <f t="shared" ref="O3005:O3068" si="632">IF(M3005&gt;1,1,M3005)</f>
        <v>0.45175280086736536</v>
      </c>
    </row>
    <row r="3006" spans="1:15" ht="13.5" customHeight="1">
      <c r="B3006" s="33">
        <f t="shared" si="629"/>
        <v>66</v>
      </c>
      <c r="C3006" s="63"/>
      <c r="D3006" s="63"/>
      <c r="F3006" s="64" t="s">
        <v>44</v>
      </c>
      <c r="G3006" s="36">
        <f t="shared" si="631"/>
        <v>15318</v>
      </c>
      <c r="H3006" s="36">
        <f t="shared" si="631"/>
        <v>5583</v>
      </c>
      <c r="I3006" s="36">
        <f t="shared" si="631"/>
        <v>9720</v>
      </c>
      <c r="J3006" s="36">
        <f t="shared" si="631"/>
        <v>2250</v>
      </c>
      <c r="K3006" s="36">
        <f t="shared" si="613"/>
        <v>32871</v>
      </c>
      <c r="L3006" s="36">
        <v>15000</v>
      </c>
      <c r="M3006" s="9">
        <f t="shared" si="614"/>
        <v>0.45632928721365335</v>
      </c>
      <c r="N3006" s="5">
        <v>1</v>
      </c>
      <c r="O3006" s="10">
        <f t="shared" si="632"/>
        <v>0.45632928721365335</v>
      </c>
    </row>
    <row r="3007" spans="1:15" ht="13.5" customHeight="1">
      <c r="B3007" s="33">
        <f t="shared" si="629"/>
        <v>67</v>
      </c>
      <c r="C3007" s="63"/>
      <c r="D3007" s="63"/>
      <c r="F3007" s="64" t="s">
        <v>44</v>
      </c>
      <c r="G3007" s="36">
        <f t="shared" si="631"/>
        <v>13959</v>
      </c>
      <c r="H3007" s="36">
        <f t="shared" si="631"/>
        <v>5583</v>
      </c>
      <c r="I3007" s="36">
        <f t="shared" si="631"/>
        <v>9720</v>
      </c>
      <c r="J3007" s="36">
        <f t="shared" si="631"/>
        <v>2250</v>
      </c>
      <c r="K3007" s="36">
        <f t="shared" ref="K3007:K3068" si="633">SUM(G3007:J3007)</f>
        <v>31512</v>
      </c>
      <c r="L3007" s="36">
        <v>15000</v>
      </c>
      <c r="M3007" s="9">
        <f t="shared" ref="M3007:M3068" si="634">L3007/K3007</f>
        <v>0.47600913937547601</v>
      </c>
      <c r="N3007" s="5">
        <v>1</v>
      </c>
      <c r="O3007" s="10">
        <f t="shared" si="632"/>
        <v>0.47600913937547601</v>
      </c>
    </row>
    <row r="3008" spans="1:15" ht="13.5" customHeight="1">
      <c r="B3008" s="33">
        <f t="shared" si="629"/>
        <v>68</v>
      </c>
      <c r="C3008" s="63"/>
      <c r="D3008" s="63"/>
      <c r="F3008" s="64" t="s">
        <v>44</v>
      </c>
      <c r="G3008" s="36">
        <f t="shared" si="631"/>
        <v>13959</v>
      </c>
      <c r="H3008" s="36">
        <f t="shared" si="631"/>
        <v>5583</v>
      </c>
      <c r="I3008" s="36">
        <f t="shared" si="631"/>
        <v>9720</v>
      </c>
      <c r="J3008" s="36">
        <f t="shared" si="631"/>
        <v>2250</v>
      </c>
      <c r="K3008" s="36">
        <f t="shared" si="633"/>
        <v>31512</v>
      </c>
      <c r="L3008" s="36">
        <v>15000</v>
      </c>
      <c r="M3008" s="9">
        <f t="shared" si="634"/>
        <v>0.47600913937547601</v>
      </c>
      <c r="N3008" s="5">
        <v>1</v>
      </c>
      <c r="O3008" s="10">
        <f t="shared" si="632"/>
        <v>0.47600913937547601</v>
      </c>
    </row>
    <row r="3009" spans="1:15" ht="13.5" customHeight="1">
      <c r="B3009" s="33">
        <f t="shared" si="629"/>
        <v>69</v>
      </c>
      <c r="C3009" s="62"/>
      <c r="D3009" s="62"/>
      <c r="F3009" s="61" t="s">
        <v>28</v>
      </c>
      <c r="G3009" s="36">
        <f t="shared" si="631"/>
        <v>16500</v>
      </c>
      <c r="H3009" s="36">
        <f t="shared" si="631"/>
        <v>5583</v>
      </c>
      <c r="I3009" s="36">
        <f t="shared" si="631"/>
        <v>9720</v>
      </c>
      <c r="J3009" s="36">
        <f t="shared" si="631"/>
        <v>2250</v>
      </c>
      <c r="K3009" s="36">
        <f t="shared" si="633"/>
        <v>34053</v>
      </c>
      <c r="L3009" s="36">
        <v>15000</v>
      </c>
      <c r="M3009" s="9">
        <f t="shared" si="634"/>
        <v>0.44048982468504977</v>
      </c>
      <c r="N3009" s="5">
        <v>1</v>
      </c>
      <c r="O3009" s="10">
        <f t="shared" si="632"/>
        <v>0.44048982468504977</v>
      </c>
    </row>
    <row r="3010" spans="1:15" ht="13.5" customHeight="1">
      <c r="B3010" s="33">
        <f t="shared" si="629"/>
        <v>70</v>
      </c>
      <c r="C3010" s="62"/>
      <c r="D3010" s="62"/>
      <c r="F3010" s="61" t="s">
        <v>28</v>
      </c>
      <c r="G3010" s="36">
        <f t="shared" si="631"/>
        <v>18300</v>
      </c>
      <c r="H3010" s="36">
        <f t="shared" si="631"/>
        <v>5583</v>
      </c>
      <c r="I3010" s="36">
        <f t="shared" si="631"/>
        <v>9720</v>
      </c>
      <c r="J3010" s="36">
        <f t="shared" si="631"/>
        <v>2250</v>
      </c>
      <c r="K3010" s="36">
        <f t="shared" si="633"/>
        <v>35853</v>
      </c>
      <c r="L3010" s="36">
        <v>15000</v>
      </c>
      <c r="M3010" s="9">
        <f t="shared" si="634"/>
        <v>0.41837503137812737</v>
      </c>
      <c r="N3010" s="5">
        <v>1</v>
      </c>
      <c r="O3010" s="10">
        <f t="shared" si="632"/>
        <v>0.41837503137812737</v>
      </c>
    </row>
    <row r="3011" spans="1:15" ht="13.5" customHeight="1">
      <c r="B3011" s="33">
        <f t="shared" si="629"/>
        <v>71</v>
      </c>
      <c r="C3011" s="62"/>
      <c r="D3011" s="62"/>
      <c r="F3011" s="61" t="s">
        <v>28</v>
      </c>
      <c r="G3011" s="36">
        <f t="shared" si="631"/>
        <v>17400</v>
      </c>
      <c r="H3011" s="36">
        <f t="shared" si="631"/>
        <v>5583</v>
      </c>
      <c r="I3011" s="36">
        <f t="shared" si="631"/>
        <v>9720</v>
      </c>
      <c r="J3011" s="36">
        <f t="shared" si="631"/>
        <v>2250</v>
      </c>
      <c r="K3011" s="36">
        <f t="shared" si="633"/>
        <v>34953</v>
      </c>
      <c r="L3011" s="36">
        <v>15000</v>
      </c>
      <c r="M3011" s="9">
        <f t="shared" si="634"/>
        <v>0.42914771264269164</v>
      </c>
      <c r="N3011" s="5">
        <v>1</v>
      </c>
      <c r="O3011" s="10">
        <f t="shared" si="632"/>
        <v>0.42914771264269164</v>
      </c>
    </row>
    <row r="3012" spans="1:15" ht="13.5" customHeight="1">
      <c r="B3012" s="33">
        <f t="shared" si="629"/>
        <v>72</v>
      </c>
      <c r="C3012" s="63"/>
      <c r="D3012" s="63"/>
      <c r="F3012" s="64" t="s">
        <v>28</v>
      </c>
      <c r="G3012" s="36">
        <f t="shared" si="631"/>
        <v>13108</v>
      </c>
      <c r="H3012" s="36">
        <f t="shared" si="631"/>
        <v>5583</v>
      </c>
      <c r="I3012" s="36">
        <f t="shared" si="631"/>
        <v>9720</v>
      </c>
      <c r="J3012" s="36">
        <f t="shared" si="631"/>
        <v>2250</v>
      </c>
      <c r="K3012" s="36">
        <f t="shared" si="633"/>
        <v>30661</v>
      </c>
      <c r="L3012" s="36">
        <v>15000</v>
      </c>
      <c r="M3012" s="9">
        <f t="shared" si="634"/>
        <v>0.48922083428459606</v>
      </c>
      <c r="N3012" s="5">
        <v>1</v>
      </c>
      <c r="O3012" s="10">
        <f t="shared" si="632"/>
        <v>0.48922083428459606</v>
      </c>
    </row>
    <row r="3013" spans="1:15" ht="13.5" customHeight="1">
      <c r="B3013" s="33">
        <f t="shared" si="629"/>
        <v>73</v>
      </c>
      <c r="C3013" s="63"/>
      <c r="D3013" s="63"/>
      <c r="F3013" s="64" t="s">
        <v>28</v>
      </c>
      <c r="G3013" s="36">
        <f t="shared" si="631"/>
        <v>18160.5</v>
      </c>
      <c r="H3013" s="36">
        <f t="shared" si="631"/>
        <v>5583</v>
      </c>
      <c r="I3013" s="36">
        <f t="shared" si="631"/>
        <v>9720</v>
      </c>
      <c r="J3013" s="36">
        <f t="shared" si="631"/>
        <v>2250</v>
      </c>
      <c r="K3013" s="36">
        <f t="shared" si="633"/>
        <v>35713.5</v>
      </c>
      <c r="L3013" s="36">
        <v>15000</v>
      </c>
      <c r="M3013" s="9">
        <f t="shared" si="634"/>
        <v>0.42000924020328445</v>
      </c>
      <c r="N3013" s="5">
        <v>1</v>
      </c>
      <c r="O3013" s="10">
        <f t="shared" si="632"/>
        <v>0.42000924020328445</v>
      </c>
    </row>
    <row r="3014" spans="1:15" ht="13.5" customHeight="1">
      <c r="B3014" s="33">
        <f t="shared" si="629"/>
        <v>74</v>
      </c>
      <c r="C3014" s="63"/>
      <c r="D3014" s="63"/>
      <c r="F3014" s="64" t="s">
        <v>693</v>
      </c>
      <c r="G3014" s="36">
        <f t="shared" si="631"/>
        <v>1108</v>
      </c>
      <c r="H3014" s="36">
        <f t="shared" si="631"/>
        <v>1861</v>
      </c>
      <c r="I3014" s="36">
        <f t="shared" si="631"/>
        <v>7890</v>
      </c>
      <c r="J3014" s="36">
        <f t="shared" si="631"/>
        <v>750</v>
      </c>
      <c r="K3014" s="36">
        <f t="shared" si="633"/>
        <v>11609</v>
      </c>
      <c r="L3014" s="36">
        <v>15000</v>
      </c>
      <c r="M3014" s="9">
        <f t="shared" si="634"/>
        <v>1.2921009561547077</v>
      </c>
      <c r="N3014" s="5">
        <v>1</v>
      </c>
      <c r="O3014" s="10">
        <f t="shared" si="632"/>
        <v>1</v>
      </c>
    </row>
    <row r="3015" spans="1:15" ht="13.5" customHeight="1">
      <c r="B3015" s="33">
        <f t="shared" si="629"/>
        <v>75</v>
      </c>
      <c r="C3015" s="63"/>
      <c r="D3015" s="63"/>
      <c r="F3015" s="64" t="s">
        <v>214</v>
      </c>
      <c r="G3015" s="36">
        <f t="shared" si="631"/>
        <v>18981</v>
      </c>
      <c r="H3015" s="36">
        <f t="shared" si="631"/>
        <v>5583</v>
      </c>
      <c r="I3015" s="36">
        <f t="shared" si="631"/>
        <v>11370</v>
      </c>
      <c r="J3015" s="36">
        <f t="shared" si="631"/>
        <v>2250</v>
      </c>
      <c r="K3015" s="36">
        <f t="shared" si="633"/>
        <v>38184</v>
      </c>
      <c r="L3015" s="36">
        <v>15000</v>
      </c>
      <c r="M3015" s="9">
        <f t="shared" si="634"/>
        <v>0.39283469516027658</v>
      </c>
      <c r="N3015" s="5">
        <v>1</v>
      </c>
      <c r="O3015" s="10">
        <f t="shared" si="632"/>
        <v>0.39283469516027658</v>
      </c>
    </row>
    <row r="3016" spans="1:15" ht="13.5" customHeight="1">
      <c r="B3016" s="33">
        <f t="shared" si="629"/>
        <v>76</v>
      </c>
      <c r="C3016" s="63"/>
      <c r="D3016" s="63"/>
      <c r="F3016" s="64" t="s">
        <v>214</v>
      </c>
      <c r="G3016" s="36">
        <f t="shared" si="631"/>
        <v>18981</v>
      </c>
      <c r="H3016" s="36">
        <f t="shared" si="631"/>
        <v>5583</v>
      </c>
      <c r="I3016" s="36">
        <f t="shared" si="631"/>
        <v>11370</v>
      </c>
      <c r="J3016" s="36">
        <f t="shared" si="631"/>
        <v>2250</v>
      </c>
      <c r="K3016" s="36">
        <f t="shared" si="633"/>
        <v>38184</v>
      </c>
      <c r="L3016" s="36">
        <v>15000</v>
      </c>
      <c r="M3016" s="9">
        <f t="shared" si="634"/>
        <v>0.39283469516027658</v>
      </c>
      <c r="N3016" s="5">
        <v>1</v>
      </c>
      <c r="O3016" s="10">
        <f t="shared" si="632"/>
        <v>0.39283469516027658</v>
      </c>
    </row>
    <row r="3017" spans="1:15" ht="13.5" customHeight="1">
      <c r="B3017" s="33">
        <f t="shared" si="629"/>
        <v>77</v>
      </c>
      <c r="C3017" s="63"/>
      <c r="D3017" s="63"/>
      <c r="F3017" s="64" t="s">
        <v>214</v>
      </c>
      <c r="G3017" s="36">
        <f t="shared" si="631"/>
        <v>18981</v>
      </c>
      <c r="H3017" s="36">
        <f t="shared" si="631"/>
        <v>5583</v>
      </c>
      <c r="I3017" s="36">
        <f t="shared" si="631"/>
        <v>11370</v>
      </c>
      <c r="J3017" s="36">
        <f t="shared" si="631"/>
        <v>2250</v>
      </c>
      <c r="K3017" s="36">
        <f t="shared" si="633"/>
        <v>38184</v>
      </c>
      <c r="L3017" s="36">
        <v>15000</v>
      </c>
      <c r="M3017" s="9">
        <f t="shared" si="634"/>
        <v>0.39283469516027658</v>
      </c>
      <c r="N3017" s="5">
        <v>1</v>
      </c>
      <c r="O3017" s="10">
        <f t="shared" si="632"/>
        <v>0.39283469516027658</v>
      </c>
    </row>
    <row r="3018" spans="1:15" ht="13.5" customHeight="1">
      <c r="B3018" s="33">
        <f t="shared" si="629"/>
        <v>78</v>
      </c>
      <c r="C3018" s="63"/>
      <c r="D3018" s="63"/>
      <c r="F3018" s="64" t="s">
        <v>214</v>
      </c>
      <c r="G3018" s="36">
        <f t="shared" si="631"/>
        <v>18981</v>
      </c>
      <c r="H3018" s="36">
        <f t="shared" si="631"/>
        <v>5583</v>
      </c>
      <c r="I3018" s="36">
        <f t="shared" si="631"/>
        <v>11370</v>
      </c>
      <c r="J3018" s="36">
        <f t="shared" si="631"/>
        <v>2250</v>
      </c>
      <c r="K3018" s="36">
        <f t="shared" si="633"/>
        <v>38184</v>
      </c>
      <c r="L3018" s="36">
        <v>15000</v>
      </c>
      <c r="M3018" s="9">
        <f t="shared" si="634"/>
        <v>0.39283469516027658</v>
      </c>
      <c r="N3018" s="5">
        <v>1</v>
      </c>
      <c r="O3018" s="10">
        <f t="shared" si="632"/>
        <v>0.39283469516027658</v>
      </c>
    </row>
    <row r="3019" spans="1:15" ht="13.5" customHeight="1">
      <c r="B3019" s="33">
        <f t="shared" si="629"/>
        <v>79</v>
      </c>
      <c r="C3019" s="62"/>
      <c r="D3019" s="62"/>
      <c r="F3019" s="61" t="s">
        <v>327</v>
      </c>
      <c r="G3019" s="36">
        <f t="shared" si="631"/>
        <v>12321</v>
      </c>
      <c r="H3019" s="36">
        <f t="shared" si="631"/>
        <v>3722</v>
      </c>
      <c r="I3019" s="36">
        <f t="shared" si="631"/>
        <v>6480</v>
      </c>
      <c r="J3019" s="36">
        <f t="shared" si="631"/>
        <v>1500</v>
      </c>
      <c r="K3019" s="36">
        <f t="shared" si="633"/>
        <v>24023</v>
      </c>
      <c r="L3019" s="36">
        <v>15000</v>
      </c>
      <c r="M3019" s="9">
        <f t="shared" si="634"/>
        <v>0.6244016151188444</v>
      </c>
      <c r="N3019" s="5">
        <v>1</v>
      </c>
      <c r="O3019" s="10">
        <f t="shared" si="632"/>
        <v>0.6244016151188444</v>
      </c>
    </row>
    <row r="3020" spans="1:15" ht="13.5" customHeight="1">
      <c r="B3020" s="33">
        <f t="shared" si="629"/>
        <v>80</v>
      </c>
      <c r="C3020" s="62"/>
      <c r="D3020" s="62"/>
      <c r="F3020" s="61" t="s">
        <v>327</v>
      </c>
      <c r="G3020" s="36">
        <f t="shared" si="631"/>
        <v>13653</v>
      </c>
      <c r="H3020" s="36">
        <f t="shared" si="631"/>
        <v>5583</v>
      </c>
      <c r="I3020" s="36">
        <f t="shared" si="631"/>
        <v>9720</v>
      </c>
      <c r="J3020" s="36">
        <f t="shared" si="631"/>
        <v>2250</v>
      </c>
      <c r="K3020" s="36">
        <f t="shared" si="633"/>
        <v>31206</v>
      </c>
      <c r="L3020" s="36">
        <v>15000</v>
      </c>
      <c r="M3020" s="9">
        <f t="shared" si="634"/>
        <v>0.4806767929244376</v>
      </c>
      <c r="N3020" s="5">
        <v>1</v>
      </c>
      <c r="O3020" s="10">
        <f t="shared" si="632"/>
        <v>0.4806767929244376</v>
      </c>
    </row>
    <row r="3021" spans="1:15" ht="13.5" customHeight="1">
      <c r="B3021" s="33">
        <f t="shared" si="629"/>
        <v>81</v>
      </c>
      <c r="C3021" s="62"/>
      <c r="D3021" s="62"/>
      <c r="F3021" s="61" t="s">
        <v>327</v>
      </c>
      <c r="G3021" s="36">
        <f t="shared" si="631"/>
        <v>14652</v>
      </c>
      <c r="H3021" s="36">
        <f t="shared" si="631"/>
        <v>5583</v>
      </c>
      <c r="I3021" s="36">
        <f t="shared" si="631"/>
        <v>9720</v>
      </c>
      <c r="J3021" s="36">
        <f t="shared" si="631"/>
        <v>2250</v>
      </c>
      <c r="K3021" s="36">
        <f t="shared" si="633"/>
        <v>32205</v>
      </c>
      <c r="L3021" s="36">
        <v>15000</v>
      </c>
      <c r="M3021" s="9">
        <f t="shared" si="634"/>
        <v>0.4657661853749418</v>
      </c>
      <c r="N3021" s="5">
        <v>1</v>
      </c>
      <c r="O3021" s="10">
        <f t="shared" si="632"/>
        <v>0.4657661853749418</v>
      </c>
    </row>
    <row r="3022" spans="1:15" ht="13.5" customHeight="1">
      <c r="B3022" s="33">
        <f t="shared" si="629"/>
        <v>82</v>
      </c>
      <c r="C3022" s="62"/>
      <c r="D3022" s="62"/>
      <c r="F3022" s="61" t="s">
        <v>31</v>
      </c>
      <c r="G3022" s="36">
        <f t="shared" si="631"/>
        <v>20979</v>
      </c>
      <c r="H3022" s="36">
        <f t="shared" si="631"/>
        <v>5583</v>
      </c>
      <c r="I3022" s="36">
        <f t="shared" si="631"/>
        <v>11370</v>
      </c>
      <c r="J3022" s="36">
        <f t="shared" si="631"/>
        <v>2700</v>
      </c>
      <c r="K3022" s="36">
        <f t="shared" si="633"/>
        <v>40632</v>
      </c>
      <c r="L3022" s="36">
        <v>15000</v>
      </c>
      <c r="M3022" s="9">
        <f t="shared" si="634"/>
        <v>0.36916715888954521</v>
      </c>
      <c r="N3022" s="5">
        <v>1</v>
      </c>
      <c r="O3022" s="10">
        <f t="shared" si="632"/>
        <v>0.36916715888954521</v>
      </c>
    </row>
    <row r="3023" spans="1:15" ht="13.5" customHeight="1">
      <c r="A3023" s="65" t="s">
        <v>1019</v>
      </c>
      <c r="B3023" s="33">
        <f t="shared" si="629"/>
        <v>83</v>
      </c>
      <c r="C3023" s="62"/>
      <c r="D3023" s="62"/>
      <c r="F3023" s="61" t="s">
        <v>31</v>
      </c>
      <c r="G3023" s="36">
        <f t="shared" ref="G3023:J3042" si="635">+G2840+G2649+G2458</f>
        <v>20979</v>
      </c>
      <c r="H3023" s="36">
        <f t="shared" si="635"/>
        <v>5583</v>
      </c>
      <c r="I3023" s="36">
        <f t="shared" si="635"/>
        <v>11370</v>
      </c>
      <c r="J3023" s="36">
        <f t="shared" si="635"/>
        <v>2700</v>
      </c>
      <c r="K3023" s="36">
        <v>19632</v>
      </c>
      <c r="L3023" s="36">
        <v>15000</v>
      </c>
      <c r="M3023" s="9">
        <f t="shared" si="634"/>
        <v>0.76405867970660146</v>
      </c>
      <c r="N3023" s="5">
        <v>1</v>
      </c>
      <c r="O3023" s="10">
        <f t="shared" si="632"/>
        <v>0.76405867970660146</v>
      </c>
    </row>
    <row r="3024" spans="1:15" ht="13.5" customHeight="1">
      <c r="A3024" s="1" t="s">
        <v>1019</v>
      </c>
      <c r="B3024" s="33">
        <f t="shared" si="629"/>
        <v>84</v>
      </c>
      <c r="C3024" s="62"/>
      <c r="D3024" s="62"/>
      <c r="F3024" s="61" t="s">
        <v>31</v>
      </c>
      <c r="G3024" s="36">
        <f t="shared" si="635"/>
        <v>20979</v>
      </c>
      <c r="H3024" s="36">
        <f t="shared" si="635"/>
        <v>5583</v>
      </c>
      <c r="I3024" s="36">
        <f t="shared" si="635"/>
        <v>11370</v>
      </c>
      <c r="J3024" s="36">
        <f t="shared" si="635"/>
        <v>2700</v>
      </c>
      <c r="K3024" s="36">
        <v>11982</v>
      </c>
      <c r="L3024" s="36">
        <v>15000</v>
      </c>
      <c r="M3024" s="9">
        <f t="shared" si="634"/>
        <v>1.2518778167250877</v>
      </c>
      <c r="N3024" s="5">
        <v>1</v>
      </c>
      <c r="O3024" s="10">
        <f t="shared" si="632"/>
        <v>1</v>
      </c>
    </row>
    <row r="3025" spans="1:15" ht="13.5" customHeight="1">
      <c r="B3025" s="33">
        <f t="shared" si="629"/>
        <v>85</v>
      </c>
      <c r="C3025" s="62"/>
      <c r="D3025" s="62"/>
      <c r="F3025" s="61" t="s">
        <v>31</v>
      </c>
      <c r="G3025" s="36">
        <f t="shared" si="635"/>
        <v>20979</v>
      </c>
      <c r="H3025" s="36">
        <f t="shared" si="635"/>
        <v>5583</v>
      </c>
      <c r="I3025" s="36">
        <f t="shared" si="635"/>
        <v>11370</v>
      </c>
      <c r="J3025" s="36">
        <f t="shared" si="635"/>
        <v>2700</v>
      </c>
      <c r="K3025" s="36">
        <f t="shared" si="633"/>
        <v>40632</v>
      </c>
      <c r="L3025" s="36">
        <v>15000</v>
      </c>
      <c r="M3025" s="9">
        <f t="shared" si="634"/>
        <v>0.36916715888954521</v>
      </c>
      <c r="N3025" s="5">
        <v>1</v>
      </c>
      <c r="O3025" s="10">
        <f t="shared" si="632"/>
        <v>0.36916715888954521</v>
      </c>
    </row>
    <row r="3026" spans="1:15" ht="13.5" customHeight="1">
      <c r="B3026" s="33">
        <f t="shared" si="629"/>
        <v>86</v>
      </c>
      <c r="C3026" s="62"/>
      <c r="D3026" s="62"/>
      <c r="F3026" s="61" t="s">
        <v>31</v>
      </c>
      <c r="G3026" s="36">
        <f t="shared" si="635"/>
        <v>20979</v>
      </c>
      <c r="H3026" s="36">
        <f t="shared" si="635"/>
        <v>5583</v>
      </c>
      <c r="I3026" s="36">
        <f t="shared" si="635"/>
        <v>11370</v>
      </c>
      <c r="J3026" s="36">
        <f t="shared" si="635"/>
        <v>2700</v>
      </c>
      <c r="K3026" s="36">
        <f t="shared" si="633"/>
        <v>40632</v>
      </c>
      <c r="L3026" s="36">
        <v>15000</v>
      </c>
      <c r="M3026" s="9">
        <f t="shared" si="634"/>
        <v>0.36916715888954521</v>
      </c>
      <c r="N3026" s="5">
        <v>1</v>
      </c>
      <c r="O3026" s="10">
        <f t="shared" si="632"/>
        <v>0.36916715888954521</v>
      </c>
    </row>
    <row r="3027" spans="1:15" ht="13.5" customHeight="1">
      <c r="B3027" s="33">
        <f t="shared" si="629"/>
        <v>87</v>
      </c>
      <c r="C3027" s="62"/>
      <c r="D3027" s="62"/>
      <c r="F3027" s="61" t="s">
        <v>31</v>
      </c>
      <c r="G3027" s="36">
        <f t="shared" si="635"/>
        <v>20979</v>
      </c>
      <c r="H3027" s="36">
        <f t="shared" si="635"/>
        <v>5583</v>
      </c>
      <c r="I3027" s="36">
        <f t="shared" si="635"/>
        <v>11370</v>
      </c>
      <c r="J3027" s="36">
        <f t="shared" si="635"/>
        <v>2700</v>
      </c>
      <c r="K3027" s="36">
        <f t="shared" si="633"/>
        <v>40632</v>
      </c>
      <c r="L3027" s="36">
        <v>15000</v>
      </c>
      <c r="M3027" s="9">
        <f t="shared" si="634"/>
        <v>0.36916715888954521</v>
      </c>
      <c r="N3027" s="5">
        <v>1</v>
      </c>
      <c r="O3027" s="10">
        <f t="shared" si="632"/>
        <v>0.36916715888954521</v>
      </c>
    </row>
    <row r="3028" spans="1:15" ht="13.5" customHeight="1">
      <c r="B3028" s="33">
        <f t="shared" si="629"/>
        <v>88</v>
      </c>
      <c r="C3028" s="62"/>
      <c r="D3028" s="62"/>
      <c r="F3028" s="61" t="s">
        <v>31</v>
      </c>
      <c r="G3028" s="36">
        <f t="shared" si="635"/>
        <v>19813.5</v>
      </c>
      <c r="H3028" s="36">
        <f t="shared" si="635"/>
        <v>5583</v>
      </c>
      <c r="I3028" s="36">
        <f t="shared" si="635"/>
        <v>11370</v>
      </c>
      <c r="J3028" s="36">
        <f t="shared" si="635"/>
        <v>2700</v>
      </c>
      <c r="K3028" s="36">
        <f t="shared" si="633"/>
        <v>39466.5</v>
      </c>
      <c r="L3028" s="36">
        <v>15000</v>
      </c>
      <c r="M3028" s="9">
        <f t="shared" si="634"/>
        <v>0.38006917258941125</v>
      </c>
      <c r="N3028" s="5">
        <v>1</v>
      </c>
      <c r="O3028" s="10">
        <f t="shared" si="632"/>
        <v>0.38006917258941125</v>
      </c>
    </row>
    <row r="3029" spans="1:15" ht="13.5" customHeight="1">
      <c r="B3029" s="33">
        <f t="shared" si="629"/>
        <v>89</v>
      </c>
      <c r="C3029" s="62"/>
      <c r="D3029" s="62"/>
      <c r="F3029" s="61" t="s">
        <v>31</v>
      </c>
      <c r="G3029" s="36">
        <f t="shared" si="635"/>
        <v>16650</v>
      </c>
      <c r="H3029" s="36">
        <f t="shared" si="635"/>
        <v>5583</v>
      </c>
      <c r="I3029" s="36">
        <f t="shared" si="635"/>
        <v>11370</v>
      </c>
      <c r="J3029" s="36">
        <f t="shared" si="635"/>
        <v>2700</v>
      </c>
      <c r="K3029" s="36">
        <f t="shared" si="633"/>
        <v>36303</v>
      </c>
      <c r="L3029" s="36">
        <v>15000</v>
      </c>
      <c r="M3029" s="9">
        <f t="shared" si="634"/>
        <v>0.41318899264523595</v>
      </c>
      <c r="N3029" s="5">
        <v>1</v>
      </c>
      <c r="O3029" s="10">
        <f t="shared" si="632"/>
        <v>0.41318899264523595</v>
      </c>
    </row>
    <row r="3030" spans="1:15" ht="13.5" customHeight="1">
      <c r="B3030" s="33">
        <f t="shared" si="629"/>
        <v>90</v>
      </c>
      <c r="C3030" s="62"/>
      <c r="D3030" s="62"/>
      <c r="F3030" s="61" t="s">
        <v>31</v>
      </c>
      <c r="G3030" s="36">
        <f t="shared" si="635"/>
        <v>20979</v>
      </c>
      <c r="H3030" s="36">
        <f t="shared" si="635"/>
        <v>5583</v>
      </c>
      <c r="I3030" s="36">
        <f t="shared" si="635"/>
        <v>11370</v>
      </c>
      <c r="J3030" s="36">
        <f t="shared" si="635"/>
        <v>2700</v>
      </c>
      <c r="K3030" s="36">
        <f t="shared" si="633"/>
        <v>40632</v>
      </c>
      <c r="L3030" s="36">
        <v>15000</v>
      </c>
      <c r="M3030" s="9">
        <f t="shared" si="634"/>
        <v>0.36916715888954521</v>
      </c>
      <c r="N3030" s="5">
        <v>1</v>
      </c>
      <c r="O3030" s="10">
        <f t="shared" si="632"/>
        <v>0.36916715888954521</v>
      </c>
    </row>
    <row r="3031" spans="1:15" ht="13.5" customHeight="1">
      <c r="B3031" s="33">
        <f t="shared" si="629"/>
        <v>91</v>
      </c>
      <c r="C3031" s="62"/>
      <c r="D3031" s="62"/>
      <c r="F3031" s="61" t="s">
        <v>31</v>
      </c>
      <c r="G3031" s="36">
        <f t="shared" si="635"/>
        <v>20979</v>
      </c>
      <c r="H3031" s="36">
        <f t="shared" si="635"/>
        <v>5583</v>
      </c>
      <c r="I3031" s="36">
        <f t="shared" si="635"/>
        <v>11370</v>
      </c>
      <c r="J3031" s="36">
        <f t="shared" si="635"/>
        <v>2700</v>
      </c>
      <c r="K3031" s="36">
        <f t="shared" si="633"/>
        <v>40632</v>
      </c>
      <c r="L3031" s="36">
        <v>15000</v>
      </c>
      <c r="M3031" s="9">
        <f t="shared" si="634"/>
        <v>0.36916715888954521</v>
      </c>
      <c r="N3031" s="5">
        <v>1</v>
      </c>
      <c r="O3031" s="10">
        <f t="shared" si="632"/>
        <v>0.36916715888954521</v>
      </c>
    </row>
    <row r="3032" spans="1:15" ht="13.5" customHeight="1">
      <c r="B3032" s="33">
        <f t="shared" si="629"/>
        <v>92</v>
      </c>
      <c r="C3032" s="63"/>
      <c r="D3032" s="63"/>
      <c r="F3032" s="64" t="s">
        <v>31</v>
      </c>
      <c r="G3032" s="36">
        <f t="shared" si="635"/>
        <v>20979</v>
      </c>
      <c r="H3032" s="36">
        <f t="shared" si="635"/>
        <v>5583</v>
      </c>
      <c r="I3032" s="36">
        <f t="shared" si="635"/>
        <v>11370</v>
      </c>
      <c r="J3032" s="36">
        <f t="shared" si="635"/>
        <v>2700</v>
      </c>
      <c r="K3032" s="36">
        <f t="shared" si="633"/>
        <v>40632</v>
      </c>
      <c r="L3032" s="36">
        <v>15000</v>
      </c>
      <c r="M3032" s="9">
        <f t="shared" si="634"/>
        <v>0.36916715888954521</v>
      </c>
      <c r="N3032" s="5">
        <v>1</v>
      </c>
      <c r="O3032" s="10">
        <f t="shared" si="632"/>
        <v>0.36916715888954521</v>
      </c>
    </row>
    <row r="3033" spans="1:15" ht="13.5" customHeight="1">
      <c r="B3033" s="33">
        <f t="shared" si="629"/>
        <v>93</v>
      </c>
      <c r="C3033" s="63"/>
      <c r="D3033" s="63"/>
      <c r="F3033" s="64" t="s">
        <v>31</v>
      </c>
      <c r="G3033" s="36">
        <f t="shared" si="635"/>
        <v>20979</v>
      </c>
      <c r="H3033" s="36">
        <f t="shared" si="635"/>
        <v>5583</v>
      </c>
      <c r="I3033" s="36">
        <f t="shared" si="635"/>
        <v>11370</v>
      </c>
      <c r="J3033" s="36">
        <f t="shared" si="635"/>
        <v>2700</v>
      </c>
      <c r="K3033" s="36">
        <f t="shared" si="633"/>
        <v>40632</v>
      </c>
      <c r="L3033" s="36">
        <v>15000</v>
      </c>
      <c r="M3033" s="9">
        <f t="shared" si="634"/>
        <v>0.36916715888954521</v>
      </c>
      <c r="N3033" s="5">
        <v>1</v>
      </c>
      <c r="O3033" s="10">
        <f t="shared" si="632"/>
        <v>0.36916715888954521</v>
      </c>
    </row>
    <row r="3034" spans="1:15" ht="13.5" customHeight="1">
      <c r="B3034" s="33">
        <f t="shared" si="629"/>
        <v>94</v>
      </c>
      <c r="C3034" s="63"/>
      <c r="D3034" s="63"/>
      <c r="F3034" s="64" t="s">
        <v>31</v>
      </c>
      <c r="G3034" s="36">
        <f t="shared" si="635"/>
        <v>18981</v>
      </c>
      <c r="H3034" s="36">
        <f t="shared" si="635"/>
        <v>5583</v>
      </c>
      <c r="I3034" s="36">
        <f t="shared" si="635"/>
        <v>11370</v>
      </c>
      <c r="J3034" s="36">
        <f t="shared" si="635"/>
        <v>2700</v>
      </c>
      <c r="K3034" s="36">
        <f t="shared" si="633"/>
        <v>38634</v>
      </c>
      <c r="L3034" s="36">
        <v>15000</v>
      </c>
      <c r="M3034" s="9">
        <f t="shared" si="634"/>
        <v>0.38825904643578196</v>
      </c>
      <c r="N3034" s="5">
        <v>1</v>
      </c>
      <c r="O3034" s="10">
        <f t="shared" si="632"/>
        <v>0.38825904643578196</v>
      </c>
    </row>
    <row r="3035" spans="1:15" ht="13.5" customHeight="1">
      <c r="B3035" s="33">
        <f t="shared" si="629"/>
        <v>95</v>
      </c>
      <c r="C3035" s="63"/>
      <c r="D3035" s="63"/>
      <c r="F3035" s="64" t="s">
        <v>31</v>
      </c>
      <c r="G3035" s="36">
        <f t="shared" si="635"/>
        <v>20979</v>
      </c>
      <c r="H3035" s="36">
        <f t="shared" si="635"/>
        <v>5583</v>
      </c>
      <c r="I3035" s="36">
        <f t="shared" si="635"/>
        <v>11370</v>
      </c>
      <c r="J3035" s="36">
        <f t="shared" si="635"/>
        <v>2700</v>
      </c>
      <c r="K3035" s="36">
        <f t="shared" si="633"/>
        <v>40632</v>
      </c>
      <c r="L3035" s="36">
        <v>15000</v>
      </c>
      <c r="M3035" s="9">
        <f t="shared" si="634"/>
        <v>0.36916715888954521</v>
      </c>
      <c r="N3035" s="5">
        <v>1</v>
      </c>
      <c r="O3035" s="10">
        <f t="shared" si="632"/>
        <v>0.36916715888954521</v>
      </c>
    </row>
    <row r="3036" spans="1:15" ht="13.5" customHeight="1">
      <c r="A3036" s="1" t="s">
        <v>1019</v>
      </c>
      <c r="B3036" s="33">
        <f t="shared" si="629"/>
        <v>96</v>
      </c>
      <c r="C3036" s="63"/>
      <c r="D3036" s="63"/>
      <c r="F3036" s="64" t="s">
        <v>31</v>
      </c>
      <c r="G3036" s="36">
        <f t="shared" si="635"/>
        <v>20979</v>
      </c>
      <c r="H3036" s="36">
        <f t="shared" si="635"/>
        <v>5583</v>
      </c>
      <c r="I3036" s="36">
        <f t="shared" si="635"/>
        <v>11370</v>
      </c>
      <c r="J3036" s="36">
        <f t="shared" si="635"/>
        <v>2700</v>
      </c>
      <c r="K3036" s="36">
        <v>19632</v>
      </c>
      <c r="L3036" s="36">
        <v>15000</v>
      </c>
      <c r="M3036" s="9">
        <f t="shared" si="634"/>
        <v>0.76405867970660146</v>
      </c>
      <c r="N3036" s="5">
        <v>1</v>
      </c>
      <c r="O3036" s="10">
        <f t="shared" si="632"/>
        <v>0.76405867970660146</v>
      </c>
    </row>
    <row r="3037" spans="1:15" ht="13.5" customHeight="1">
      <c r="B3037" s="33">
        <f t="shared" si="629"/>
        <v>97</v>
      </c>
      <c r="C3037" s="63"/>
      <c r="D3037" s="63"/>
      <c r="F3037" s="64" t="s">
        <v>31</v>
      </c>
      <c r="G3037" s="36">
        <f t="shared" si="635"/>
        <v>20979</v>
      </c>
      <c r="H3037" s="36">
        <f t="shared" si="635"/>
        <v>5583</v>
      </c>
      <c r="I3037" s="36">
        <f t="shared" si="635"/>
        <v>11370</v>
      </c>
      <c r="J3037" s="36">
        <f t="shared" si="635"/>
        <v>2700</v>
      </c>
      <c r="K3037" s="36">
        <f t="shared" si="633"/>
        <v>40632</v>
      </c>
      <c r="L3037" s="36">
        <v>15000</v>
      </c>
      <c r="M3037" s="9">
        <f t="shared" si="634"/>
        <v>0.36916715888954521</v>
      </c>
      <c r="N3037" s="5">
        <v>1</v>
      </c>
      <c r="O3037" s="10">
        <f t="shared" si="632"/>
        <v>0.36916715888954521</v>
      </c>
    </row>
    <row r="3038" spans="1:15" ht="13.5" customHeight="1">
      <c r="B3038" s="33">
        <f t="shared" si="629"/>
        <v>98</v>
      </c>
      <c r="C3038" s="63"/>
      <c r="D3038" s="63"/>
      <c r="F3038" s="64" t="s">
        <v>31</v>
      </c>
      <c r="G3038" s="36">
        <f t="shared" si="635"/>
        <v>20979</v>
      </c>
      <c r="H3038" s="36">
        <f t="shared" si="635"/>
        <v>5583</v>
      </c>
      <c r="I3038" s="36">
        <f t="shared" si="635"/>
        <v>11370</v>
      </c>
      <c r="J3038" s="36">
        <f t="shared" si="635"/>
        <v>2700</v>
      </c>
      <c r="K3038" s="36">
        <f t="shared" si="633"/>
        <v>40632</v>
      </c>
      <c r="L3038" s="36">
        <v>15000</v>
      </c>
      <c r="M3038" s="9">
        <f t="shared" si="634"/>
        <v>0.36916715888954521</v>
      </c>
      <c r="N3038" s="5">
        <v>1</v>
      </c>
      <c r="O3038" s="10">
        <f t="shared" si="632"/>
        <v>0.36916715888954521</v>
      </c>
    </row>
    <row r="3039" spans="1:15" ht="13.5" customHeight="1">
      <c r="B3039" s="33">
        <f t="shared" si="629"/>
        <v>99</v>
      </c>
      <c r="C3039" s="63"/>
      <c r="D3039" s="63"/>
      <c r="F3039" s="64" t="s">
        <v>31</v>
      </c>
      <c r="G3039" s="36">
        <f t="shared" si="635"/>
        <v>20979</v>
      </c>
      <c r="H3039" s="36">
        <f t="shared" si="635"/>
        <v>5583</v>
      </c>
      <c r="I3039" s="36">
        <f t="shared" si="635"/>
        <v>11370</v>
      </c>
      <c r="J3039" s="36">
        <f t="shared" si="635"/>
        <v>2700</v>
      </c>
      <c r="K3039" s="36">
        <f t="shared" si="633"/>
        <v>40632</v>
      </c>
      <c r="L3039" s="36">
        <v>15000</v>
      </c>
      <c r="M3039" s="9">
        <f t="shared" si="634"/>
        <v>0.36916715888954521</v>
      </c>
      <c r="N3039" s="5">
        <v>1</v>
      </c>
      <c r="O3039" s="10">
        <f t="shared" si="632"/>
        <v>0.36916715888954521</v>
      </c>
    </row>
    <row r="3040" spans="1:15" ht="13.5" customHeight="1">
      <c r="B3040" s="33">
        <f t="shared" si="629"/>
        <v>100</v>
      </c>
      <c r="C3040" s="63"/>
      <c r="D3040" s="63"/>
      <c r="F3040" s="64" t="s">
        <v>31</v>
      </c>
      <c r="G3040" s="36">
        <f t="shared" si="635"/>
        <v>20979</v>
      </c>
      <c r="H3040" s="36">
        <f t="shared" si="635"/>
        <v>5583</v>
      </c>
      <c r="I3040" s="36">
        <f t="shared" si="635"/>
        <v>11370</v>
      </c>
      <c r="J3040" s="36">
        <f t="shared" si="635"/>
        <v>2700</v>
      </c>
      <c r="K3040" s="36">
        <f t="shared" si="633"/>
        <v>40632</v>
      </c>
      <c r="L3040" s="36">
        <v>15000</v>
      </c>
      <c r="M3040" s="9">
        <f t="shared" si="634"/>
        <v>0.36916715888954521</v>
      </c>
      <c r="N3040" s="5">
        <v>1</v>
      </c>
      <c r="O3040" s="10">
        <f t="shared" si="632"/>
        <v>0.36916715888954521</v>
      </c>
    </row>
    <row r="3041" spans="2:15" ht="13.5" customHeight="1">
      <c r="B3041" s="33">
        <f t="shared" si="629"/>
        <v>101</v>
      </c>
      <c r="C3041" s="63"/>
      <c r="D3041" s="63"/>
      <c r="F3041" s="64" t="s">
        <v>31</v>
      </c>
      <c r="G3041" s="36">
        <f t="shared" si="635"/>
        <v>20979</v>
      </c>
      <c r="H3041" s="36">
        <f t="shared" si="635"/>
        <v>5583</v>
      </c>
      <c r="I3041" s="36">
        <f t="shared" si="635"/>
        <v>11370</v>
      </c>
      <c r="J3041" s="36">
        <f t="shared" si="635"/>
        <v>2700</v>
      </c>
      <c r="K3041" s="36">
        <f t="shared" si="633"/>
        <v>40632</v>
      </c>
      <c r="L3041" s="36">
        <v>15000</v>
      </c>
      <c r="M3041" s="9">
        <f t="shared" si="634"/>
        <v>0.36916715888954521</v>
      </c>
      <c r="N3041" s="5">
        <v>1</v>
      </c>
      <c r="O3041" s="10">
        <f t="shared" si="632"/>
        <v>0.36916715888954521</v>
      </c>
    </row>
    <row r="3042" spans="2:15" ht="13.5" customHeight="1">
      <c r="B3042" s="33">
        <f t="shared" si="629"/>
        <v>102</v>
      </c>
      <c r="C3042" s="63"/>
      <c r="D3042" s="63"/>
      <c r="F3042" s="64" t="s">
        <v>31</v>
      </c>
      <c r="G3042" s="36">
        <f t="shared" si="635"/>
        <v>20979</v>
      </c>
      <c r="H3042" s="36">
        <f t="shared" si="635"/>
        <v>5583</v>
      </c>
      <c r="I3042" s="36">
        <f t="shared" si="635"/>
        <v>11370</v>
      </c>
      <c r="J3042" s="36">
        <f t="shared" si="635"/>
        <v>2700</v>
      </c>
      <c r="K3042" s="36">
        <f t="shared" si="633"/>
        <v>40632</v>
      </c>
      <c r="L3042" s="36">
        <v>15000</v>
      </c>
      <c r="M3042" s="9">
        <f t="shared" si="634"/>
        <v>0.36916715888954521</v>
      </c>
      <c r="N3042" s="5">
        <v>1</v>
      </c>
      <c r="O3042" s="10">
        <f t="shared" si="632"/>
        <v>0.36916715888954521</v>
      </c>
    </row>
    <row r="3043" spans="2:15" ht="13.5" customHeight="1">
      <c r="B3043" s="33">
        <f t="shared" si="629"/>
        <v>103</v>
      </c>
      <c r="C3043" s="63"/>
      <c r="D3043" s="63"/>
      <c r="F3043" s="64" t="s">
        <v>31</v>
      </c>
      <c r="G3043" s="36">
        <f t="shared" ref="G3043:J3062" si="636">+G2860+G2669+G2478</f>
        <v>20979</v>
      </c>
      <c r="H3043" s="36">
        <f t="shared" si="636"/>
        <v>5583</v>
      </c>
      <c r="I3043" s="36">
        <f t="shared" si="636"/>
        <v>11370</v>
      </c>
      <c r="J3043" s="36">
        <f t="shared" si="636"/>
        <v>2700</v>
      </c>
      <c r="K3043" s="36">
        <f t="shared" si="633"/>
        <v>40632</v>
      </c>
      <c r="L3043" s="36">
        <v>15000</v>
      </c>
      <c r="M3043" s="9">
        <f t="shared" si="634"/>
        <v>0.36916715888954521</v>
      </c>
      <c r="N3043" s="5">
        <v>1</v>
      </c>
      <c r="O3043" s="10">
        <f t="shared" si="632"/>
        <v>0.36916715888954521</v>
      </c>
    </row>
    <row r="3044" spans="2:15" ht="13.5" customHeight="1">
      <c r="B3044" s="33">
        <f t="shared" si="629"/>
        <v>104</v>
      </c>
      <c r="C3044" s="63"/>
      <c r="D3044" s="63"/>
      <c r="F3044" s="64" t="s">
        <v>31</v>
      </c>
      <c r="G3044" s="36">
        <f t="shared" si="636"/>
        <v>20979</v>
      </c>
      <c r="H3044" s="36">
        <f t="shared" si="636"/>
        <v>5583</v>
      </c>
      <c r="I3044" s="36">
        <f t="shared" si="636"/>
        <v>11370</v>
      </c>
      <c r="J3044" s="36">
        <f t="shared" si="636"/>
        <v>2700</v>
      </c>
      <c r="K3044" s="36">
        <v>19632</v>
      </c>
      <c r="L3044" s="36">
        <v>15000</v>
      </c>
      <c r="M3044" s="9">
        <f t="shared" si="634"/>
        <v>0.76405867970660146</v>
      </c>
      <c r="N3044" s="5">
        <v>1</v>
      </c>
      <c r="O3044" s="10">
        <f t="shared" si="632"/>
        <v>0.76405867970660146</v>
      </c>
    </row>
    <row r="3045" spans="2:15" ht="13.5" customHeight="1">
      <c r="B3045" s="33">
        <f t="shared" si="629"/>
        <v>105</v>
      </c>
      <c r="C3045" s="63"/>
      <c r="D3045" s="63"/>
      <c r="F3045" s="64" t="s">
        <v>31</v>
      </c>
      <c r="G3045" s="36">
        <f t="shared" si="636"/>
        <v>17316</v>
      </c>
      <c r="H3045" s="36">
        <f t="shared" si="636"/>
        <v>5583</v>
      </c>
      <c r="I3045" s="36">
        <f t="shared" si="636"/>
        <v>11370</v>
      </c>
      <c r="J3045" s="36">
        <f t="shared" si="636"/>
        <v>2700</v>
      </c>
      <c r="K3045" s="36">
        <f t="shared" si="633"/>
        <v>36969</v>
      </c>
      <c r="L3045" s="36">
        <v>15000</v>
      </c>
      <c r="M3045" s="9">
        <f t="shared" si="634"/>
        <v>0.40574535421569424</v>
      </c>
      <c r="N3045" s="5">
        <v>1</v>
      </c>
      <c r="O3045" s="10">
        <f t="shared" si="632"/>
        <v>0.40574535421569424</v>
      </c>
    </row>
    <row r="3046" spans="2:15" ht="13.5" customHeight="1">
      <c r="B3046" s="33">
        <f t="shared" si="629"/>
        <v>106</v>
      </c>
      <c r="C3046" s="63"/>
      <c r="D3046" s="63"/>
      <c r="F3046" s="64" t="s">
        <v>31</v>
      </c>
      <c r="G3046" s="36">
        <f t="shared" si="636"/>
        <v>20812.5</v>
      </c>
      <c r="H3046" s="36">
        <f t="shared" si="636"/>
        <v>5583</v>
      </c>
      <c r="I3046" s="36">
        <f t="shared" si="636"/>
        <v>11370</v>
      </c>
      <c r="J3046" s="36">
        <f t="shared" si="636"/>
        <v>2700</v>
      </c>
      <c r="K3046" s="36">
        <f t="shared" si="633"/>
        <v>40465.5</v>
      </c>
      <c r="L3046" s="36">
        <v>15000</v>
      </c>
      <c r="M3046" s="9">
        <f t="shared" si="634"/>
        <v>0.37068614004522371</v>
      </c>
      <c r="N3046" s="5">
        <v>1</v>
      </c>
      <c r="O3046" s="10">
        <f t="shared" si="632"/>
        <v>0.37068614004522371</v>
      </c>
    </row>
    <row r="3047" spans="2:15" ht="13.5" customHeight="1">
      <c r="B3047" s="33">
        <f t="shared" si="629"/>
        <v>107</v>
      </c>
      <c r="C3047" s="63"/>
      <c r="D3047" s="63"/>
      <c r="F3047" s="64" t="s">
        <v>31</v>
      </c>
      <c r="G3047" s="36">
        <f t="shared" si="636"/>
        <v>18315</v>
      </c>
      <c r="H3047" s="36">
        <f t="shared" si="636"/>
        <v>5583</v>
      </c>
      <c r="I3047" s="36">
        <f t="shared" si="636"/>
        <v>11370</v>
      </c>
      <c r="J3047" s="36">
        <f t="shared" si="636"/>
        <v>2700</v>
      </c>
      <c r="K3047" s="36">
        <f t="shared" si="633"/>
        <v>37968</v>
      </c>
      <c r="L3047" s="36">
        <v>15000</v>
      </c>
      <c r="M3047" s="9">
        <f t="shared" si="634"/>
        <v>0.39506953223767383</v>
      </c>
      <c r="N3047" s="5">
        <v>1</v>
      </c>
      <c r="O3047" s="10">
        <f t="shared" si="632"/>
        <v>0.39506953223767383</v>
      </c>
    </row>
    <row r="3048" spans="2:15" ht="13.5" customHeight="1">
      <c r="B3048" s="33">
        <f t="shared" si="629"/>
        <v>108</v>
      </c>
      <c r="C3048" s="63"/>
      <c r="D3048" s="63"/>
      <c r="F3048" s="64" t="s">
        <v>31</v>
      </c>
      <c r="G3048" s="36">
        <f t="shared" si="636"/>
        <v>20979</v>
      </c>
      <c r="H3048" s="36">
        <f t="shared" si="636"/>
        <v>5583</v>
      </c>
      <c r="I3048" s="36">
        <f t="shared" si="636"/>
        <v>11370</v>
      </c>
      <c r="J3048" s="36">
        <f t="shared" si="636"/>
        <v>2700</v>
      </c>
      <c r="K3048" s="36">
        <f t="shared" si="633"/>
        <v>40632</v>
      </c>
      <c r="L3048" s="36">
        <v>15000</v>
      </c>
      <c r="M3048" s="9">
        <f t="shared" si="634"/>
        <v>0.36916715888954521</v>
      </c>
      <c r="N3048" s="5">
        <v>1</v>
      </c>
      <c r="O3048" s="10">
        <f t="shared" si="632"/>
        <v>0.36916715888954521</v>
      </c>
    </row>
    <row r="3049" spans="2:15" ht="13.5" customHeight="1">
      <c r="B3049" s="33">
        <f t="shared" si="629"/>
        <v>109</v>
      </c>
      <c r="C3049" s="63"/>
      <c r="D3049" s="63"/>
      <c r="F3049" s="64" t="s">
        <v>31</v>
      </c>
      <c r="G3049" s="36">
        <f t="shared" si="636"/>
        <v>20979</v>
      </c>
      <c r="H3049" s="36">
        <f t="shared" si="636"/>
        <v>5583</v>
      </c>
      <c r="I3049" s="36">
        <f t="shared" si="636"/>
        <v>11370</v>
      </c>
      <c r="J3049" s="36">
        <f t="shared" si="636"/>
        <v>2700</v>
      </c>
      <c r="K3049" s="36">
        <f t="shared" si="633"/>
        <v>40632</v>
      </c>
      <c r="L3049" s="36">
        <v>15000</v>
      </c>
      <c r="M3049" s="9">
        <f t="shared" si="634"/>
        <v>0.36916715888954521</v>
      </c>
      <c r="N3049" s="5">
        <v>1</v>
      </c>
      <c r="O3049" s="10">
        <f t="shared" si="632"/>
        <v>0.36916715888954521</v>
      </c>
    </row>
    <row r="3050" spans="2:15" ht="13.5" customHeight="1">
      <c r="B3050" s="33">
        <f t="shared" si="629"/>
        <v>110</v>
      </c>
      <c r="C3050" s="63"/>
      <c r="D3050" s="63"/>
      <c r="F3050" s="64" t="s">
        <v>31</v>
      </c>
      <c r="G3050" s="36">
        <f t="shared" si="636"/>
        <v>20979</v>
      </c>
      <c r="H3050" s="36">
        <f t="shared" si="636"/>
        <v>5583</v>
      </c>
      <c r="I3050" s="36">
        <f t="shared" si="636"/>
        <v>11370</v>
      </c>
      <c r="J3050" s="36">
        <f t="shared" si="636"/>
        <v>2700</v>
      </c>
      <c r="K3050" s="36">
        <f t="shared" si="633"/>
        <v>40632</v>
      </c>
      <c r="L3050" s="36">
        <v>15000</v>
      </c>
      <c r="M3050" s="9">
        <f t="shared" si="634"/>
        <v>0.36916715888954521</v>
      </c>
      <c r="N3050" s="5">
        <v>1</v>
      </c>
      <c r="O3050" s="10">
        <f t="shared" si="632"/>
        <v>0.36916715888954521</v>
      </c>
    </row>
    <row r="3051" spans="2:15" ht="13.5" customHeight="1">
      <c r="B3051" s="33">
        <f t="shared" si="629"/>
        <v>111</v>
      </c>
      <c r="C3051" s="63"/>
      <c r="D3051" s="63"/>
      <c r="F3051" s="64" t="s">
        <v>31</v>
      </c>
      <c r="G3051" s="36">
        <f t="shared" si="636"/>
        <v>17316</v>
      </c>
      <c r="H3051" s="36">
        <f t="shared" si="636"/>
        <v>5583</v>
      </c>
      <c r="I3051" s="36">
        <f t="shared" si="636"/>
        <v>11370</v>
      </c>
      <c r="J3051" s="36">
        <f t="shared" si="636"/>
        <v>2700</v>
      </c>
      <c r="K3051" s="36">
        <f t="shared" si="633"/>
        <v>36969</v>
      </c>
      <c r="L3051" s="36">
        <v>15000</v>
      </c>
      <c r="M3051" s="9">
        <f t="shared" si="634"/>
        <v>0.40574535421569424</v>
      </c>
      <c r="N3051" s="5">
        <v>1</v>
      </c>
      <c r="O3051" s="10">
        <f t="shared" si="632"/>
        <v>0.40574535421569424</v>
      </c>
    </row>
    <row r="3052" spans="2:15" ht="13.5" customHeight="1">
      <c r="B3052" s="33">
        <f t="shared" si="629"/>
        <v>112</v>
      </c>
      <c r="C3052" s="63"/>
      <c r="D3052" s="63"/>
      <c r="F3052" s="64" t="s">
        <v>31</v>
      </c>
      <c r="G3052" s="36">
        <f t="shared" si="636"/>
        <v>20979</v>
      </c>
      <c r="H3052" s="36">
        <f t="shared" si="636"/>
        <v>5583</v>
      </c>
      <c r="I3052" s="36">
        <f t="shared" si="636"/>
        <v>11370</v>
      </c>
      <c r="J3052" s="36">
        <f t="shared" si="636"/>
        <v>2700</v>
      </c>
      <c r="K3052" s="36">
        <f t="shared" si="633"/>
        <v>40632</v>
      </c>
      <c r="L3052" s="36">
        <v>15000</v>
      </c>
      <c r="M3052" s="9">
        <f t="shared" si="634"/>
        <v>0.36916715888954521</v>
      </c>
      <c r="N3052" s="5">
        <v>1</v>
      </c>
      <c r="O3052" s="10">
        <f t="shared" si="632"/>
        <v>0.36916715888954521</v>
      </c>
    </row>
    <row r="3053" spans="2:15" ht="13.5" customHeight="1">
      <c r="B3053" s="33">
        <f t="shared" si="629"/>
        <v>113</v>
      </c>
      <c r="C3053" s="62"/>
      <c r="D3053" s="62"/>
      <c r="F3053" s="61" t="s">
        <v>26</v>
      </c>
      <c r="G3053" s="36">
        <f t="shared" si="636"/>
        <v>19980</v>
      </c>
      <c r="H3053" s="36">
        <f t="shared" si="636"/>
        <v>5583</v>
      </c>
      <c r="I3053" s="36">
        <f t="shared" si="636"/>
        <v>9720</v>
      </c>
      <c r="J3053" s="36">
        <f t="shared" si="636"/>
        <v>5400</v>
      </c>
      <c r="K3053" s="36">
        <f t="shared" si="633"/>
        <v>40683</v>
      </c>
      <c r="L3053" s="36">
        <v>15000</v>
      </c>
      <c r="M3053" s="9">
        <f t="shared" si="634"/>
        <v>0.36870437283386182</v>
      </c>
      <c r="N3053" s="5">
        <v>1</v>
      </c>
      <c r="O3053" s="10">
        <f t="shared" si="632"/>
        <v>0.36870437283386182</v>
      </c>
    </row>
    <row r="3054" spans="2:15" ht="13.5" customHeight="1">
      <c r="B3054" s="33">
        <f t="shared" si="629"/>
        <v>114</v>
      </c>
      <c r="C3054" s="62"/>
      <c r="D3054" s="62"/>
      <c r="F3054" s="61" t="s">
        <v>26</v>
      </c>
      <c r="G3054" s="36">
        <f t="shared" si="636"/>
        <v>12321</v>
      </c>
      <c r="H3054" s="36">
        <f t="shared" si="636"/>
        <v>5583</v>
      </c>
      <c r="I3054" s="36">
        <f t="shared" si="636"/>
        <v>9720</v>
      </c>
      <c r="J3054" s="36">
        <f t="shared" si="636"/>
        <v>5400</v>
      </c>
      <c r="K3054" s="36">
        <f t="shared" si="633"/>
        <v>33024</v>
      </c>
      <c r="L3054" s="36">
        <v>15000</v>
      </c>
      <c r="M3054" s="9">
        <f t="shared" si="634"/>
        <v>0.45421511627906974</v>
      </c>
      <c r="N3054" s="5">
        <v>1</v>
      </c>
      <c r="O3054" s="10">
        <f t="shared" si="632"/>
        <v>0.45421511627906974</v>
      </c>
    </row>
    <row r="3055" spans="2:15" ht="13.5" customHeight="1">
      <c r="B3055" s="33">
        <f t="shared" si="629"/>
        <v>115</v>
      </c>
      <c r="C3055" s="62"/>
      <c r="D3055" s="62"/>
      <c r="F3055" s="61" t="s">
        <v>26</v>
      </c>
      <c r="G3055" s="36">
        <f t="shared" si="636"/>
        <v>15651</v>
      </c>
      <c r="H3055" s="36">
        <f t="shared" si="636"/>
        <v>5583</v>
      </c>
      <c r="I3055" s="36">
        <f t="shared" si="636"/>
        <v>9720</v>
      </c>
      <c r="J3055" s="36">
        <f t="shared" si="636"/>
        <v>5400</v>
      </c>
      <c r="K3055" s="36">
        <f t="shared" si="633"/>
        <v>36354</v>
      </c>
      <c r="L3055" s="36">
        <v>15000</v>
      </c>
      <c r="M3055" s="9">
        <f t="shared" si="634"/>
        <v>0.412609341475491</v>
      </c>
      <c r="N3055" s="5">
        <v>1</v>
      </c>
      <c r="O3055" s="10">
        <f t="shared" si="632"/>
        <v>0.412609341475491</v>
      </c>
    </row>
    <row r="3056" spans="2:15" ht="13.5" customHeight="1">
      <c r="B3056" s="33">
        <f t="shared" si="629"/>
        <v>116</v>
      </c>
      <c r="C3056" s="62"/>
      <c r="D3056" s="62"/>
      <c r="F3056" s="61" t="s">
        <v>26</v>
      </c>
      <c r="G3056" s="36">
        <f t="shared" si="636"/>
        <v>19980</v>
      </c>
      <c r="H3056" s="36">
        <f t="shared" si="636"/>
        <v>5583</v>
      </c>
      <c r="I3056" s="36">
        <f t="shared" si="636"/>
        <v>9720</v>
      </c>
      <c r="J3056" s="36">
        <f t="shared" si="636"/>
        <v>5400</v>
      </c>
      <c r="K3056" s="36">
        <f t="shared" si="633"/>
        <v>40683</v>
      </c>
      <c r="L3056" s="36">
        <v>15000</v>
      </c>
      <c r="M3056" s="9">
        <f t="shared" si="634"/>
        <v>0.36870437283386182</v>
      </c>
      <c r="N3056" s="5">
        <v>1</v>
      </c>
      <c r="O3056" s="10">
        <f t="shared" si="632"/>
        <v>0.36870437283386182</v>
      </c>
    </row>
    <row r="3057" spans="2:15" ht="13.5" customHeight="1">
      <c r="B3057" s="33">
        <f t="shared" ref="B3057:B3117" si="637">+B3056+1</f>
        <v>117</v>
      </c>
      <c r="C3057" s="62"/>
      <c r="D3057" s="62"/>
      <c r="F3057" s="61" t="s">
        <v>26</v>
      </c>
      <c r="G3057" s="36">
        <f t="shared" si="636"/>
        <v>19980</v>
      </c>
      <c r="H3057" s="36">
        <f t="shared" si="636"/>
        <v>5583</v>
      </c>
      <c r="I3057" s="36">
        <f t="shared" si="636"/>
        <v>9720</v>
      </c>
      <c r="J3057" s="36">
        <f t="shared" si="636"/>
        <v>5400</v>
      </c>
      <c r="K3057" s="36">
        <f t="shared" si="633"/>
        <v>40683</v>
      </c>
      <c r="L3057" s="36">
        <v>15000</v>
      </c>
      <c r="M3057" s="9">
        <f t="shared" si="634"/>
        <v>0.36870437283386182</v>
      </c>
      <c r="N3057" s="5">
        <v>1</v>
      </c>
      <c r="O3057" s="10">
        <f t="shared" si="632"/>
        <v>0.36870437283386182</v>
      </c>
    </row>
    <row r="3058" spans="2:15" ht="13.5" customHeight="1">
      <c r="B3058" s="33">
        <f t="shared" si="637"/>
        <v>118</v>
      </c>
      <c r="C3058" s="62"/>
      <c r="D3058" s="62"/>
      <c r="F3058" s="61" t="s">
        <v>26</v>
      </c>
      <c r="G3058" s="36">
        <f t="shared" si="636"/>
        <v>19980</v>
      </c>
      <c r="H3058" s="36">
        <f t="shared" si="636"/>
        <v>5583</v>
      </c>
      <c r="I3058" s="36">
        <f t="shared" si="636"/>
        <v>9720</v>
      </c>
      <c r="J3058" s="36">
        <f t="shared" si="636"/>
        <v>5400</v>
      </c>
      <c r="K3058" s="36">
        <f t="shared" si="633"/>
        <v>40683</v>
      </c>
      <c r="L3058" s="36">
        <v>15000</v>
      </c>
      <c r="M3058" s="9">
        <f t="shared" si="634"/>
        <v>0.36870437283386182</v>
      </c>
      <c r="N3058" s="5">
        <v>1</v>
      </c>
      <c r="O3058" s="10">
        <f t="shared" si="632"/>
        <v>0.36870437283386182</v>
      </c>
    </row>
    <row r="3059" spans="2:15" ht="13.5" customHeight="1">
      <c r="B3059" s="33">
        <f t="shared" si="637"/>
        <v>119</v>
      </c>
      <c r="C3059" s="63"/>
      <c r="D3059" s="63"/>
      <c r="F3059" s="64" t="s">
        <v>26</v>
      </c>
      <c r="G3059" s="36">
        <f t="shared" si="636"/>
        <v>19980</v>
      </c>
      <c r="H3059" s="36">
        <f t="shared" si="636"/>
        <v>5583</v>
      </c>
      <c r="I3059" s="36">
        <f t="shared" si="636"/>
        <v>9720</v>
      </c>
      <c r="J3059" s="36">
        <f t="shared" si="636"/>
        <v>5400</v>
      </c>
      <c r="K3059" s="36">
        <f t="shared" si="633"/>
        <v>40683</v>
      </c>
      <c r="L3059" s="36">
        <v>15000</v>
      </c>
      <c r="M3059" s="9">
        <f t="shared" si="634"/>
        <v>0.36870437283386182</v>
      </c>
      <c r="N3059" s="5">
        <v>1</v>
      </c>
      <c r="O3059" s="10">
        <f t="shared" si="632"/>
        <v>0.36870437283386182</v>
      </c>
    </row>
    <row r="3060" spans="2:15" ht="13.5" customHeight="1">
      <c r="B3060" s="33">
        <f t="shared" si="637"/>
        <v>120</v>
      </c>
      <c r="C3060" s="63"/>
      <c r="D3060" s="63"/>
      <c r="F3060" s="64" t="s">
        <v>26</v>
      </c>
      <c r="G3060" s="36">
        <f t="shared" si="636"/>
        <v>19980</v>
      </c>
      <c r="H3060" s="36">
        <f t="shared" si="636"/>
        <v>5583</v>
      </c>
      <c r="I3060" s="36">
        <f t="shared" si="636"/>
        <v>9720</v>
      </c>
      <c r="J3060" s="36">
        <f t="shared" si="636"/>
        <v>5400</v>
      </c>
      <c r="K3060" s="36">
        <f t="shared" si="633"/>
        <v>40683</v>
      </c>
      <c r="L3060" s="36">
        <v>15000</v>
      </c>
      <c r="M3060" s="9">
        <f t="shared" si="634"/>
        <v>0.36870437283386182</v>
      </c>
      <c r="N3060" s="5">
        <v>1</v>
      </c>
      <c r="O3060" s="10">
        <f t="shared" si="632"/>
        <v>0.36870437283386182</v>
      </c>
    </row>
    <row r="3061" spans="2:15" ht="13.5" customHeight="1">
      <c r="B3061" s="33">
        <f t="shared" si="637"/>
        <v>121</v>
      </c>
      <c r="C3061" s="63"/>
      <c r="D3061" s="63"/>
      <c r="F3061" s="64" t="s">
        <v>26</v>
      </c>
      <c r="G3061" s="36">
        <f t="shared" si="636"/>
        <v>19980</v>
      </c>
      <c r="H3061" s="36">
        <f t="shared" si="636"/>
        <v>5583</v>
      </c>
      <c r="I3061" s="36">
        <f t="shared" si="636"/>
        <v>9720</v>
      </c>
      <c r="J3061" s="36">
        <f t="shared" si="636"/>
        <v>5400</v>
      </c>
      <c r="K3061" s="36">
        <f t="shared" si="633"/>
        <v>40683</v>
      </c>
      <c r="L3061" s="36">
        <v>15000</v>
      </c>
      <c r="M3061" s="9">
        <f t="shared" si="634"/>
        <v>0.36870437283386182</v>
      </c>
      <c r="N3061" s="5">
        <v>1</v>
      </c>
      <c r="O3061" s="10">
        <f t="shared" si="632"/>
        <v>0.36870437283386182</v>
      </c>
    </row>
    <row r="3062" spans="2:15" ht="13.5" customHeight="1">
      <c r="B3062" s="33">
        <f t="shared" si="637"/>
        <v>122</v>
      </c>
      <c r="C3062" s="63"/>
      <c r="D3062" s="63"/>
      <c r="F3062" s="64" t="s">
        <v>26</v>
      </c>
      <c r="G3062" s="36">
        <f t="shared" si="636"/>
        <v>19980</v>
      </c>
      <c r="H3062" s="36">
        <f t="shared" si="636"/>
        <v>5583</v>
      </c>
      <c r="I3062" s="36">
        <f t="shared" si="636"/>
        <v>9720</v>
      </c>
      <c r="J3062" s="36">
        <f t="shared" si="636"/>
        <v>5400</v>
      </c>
      <c r="K3062" s="36">
        <f t="shared" si="633"/>
        <v>40683</v>
      </c>
      <c r="L3062" s="36">
        <v>15000</v>
      </c>
      <c r="M3062" s="9">
        <f t="shared" si="634"/>
        <v>0.36870437283386182</v>
      </c>
      <c r="N3062" s="5">
        <v>1</v>
      </c>
      <c r="O3062" s="10">
        <f t="shared" si="632"/>
        <v>0.36870437283386182</v>
      </c>
    </row>
    <row r="3063" spans="2:15" ht="13.5" customHeight="1">
      <c r="B3063" s="33">
        <f t="shared" si="637"/>
        <v>123</v>
      </c>
      <c r="C3063" s="63"/>
      <c r="D3063" s="63"/>
      <c r="F3063" s="64" t="s">
        <v>26</v>
      </c>
      <c r="G3063" s="36">
        <f t="shared" ref="G3063:J3067" si="638">+G2880+G2689+G2498</f>
        <v>19980</v>
      </c>
      <c r="H3063" s="36">
        <f t="shared" si="638"/>
        <v>5583</v>
      </c>
      <c r="I3063" s="36">
        <f t="shared" si="638"/>
        <v>9720</v>
      </c>
      <c r="J3063" s="36">
        <f t="shared" si="638"/>
        <v>5400</v>
      </c>
      <c r="K3063" s="36">
        <f t="shared" si="633"/>
        <v>40683</v>
      </c>
      <c r="L3063" s="36">
        <v>15000</v>
      </c>
      <c r="M3063" s="9">
        <f t="shared" si="634"/>
        <v>0.36870437283386182</v>
      </c>
      <c r="N3063" s="5">
        <v>1</v>
      </c>
      <c r="O3063" s="10">
        <f t="shared" si="632"/>
        <v>0.36870437283386182</v>
      </c>
    </row>
    <row r="3064" spans="2:15" ht="13.5" customHeight="1">
      <c r="B3064" s="33">
        <f t="shared" si="637"/>
        <v>124</v>
      </c>
      <c r="C3064" s="63"/>
      <c r="D3064" s="63"/>
      <c r="F3064" s="64" t="s">
        <v>26</v>
      </c>
      <c r="G3064" s="36">
        <f t="shared" si="638"/>
        <v>19980</v>
      </c>
      <c r="H3064" s="36">
        <f t="shared" si="638"/>
        <v>5583</v>
      </c>
      <c r="I3064" s="36">
        <f t="shared" si="638"/>
        <v>9720</v>
      </c>
      <c r="J3064" s="36">
        <f t="shared" si="638"/>
        <v>5400</v>
      </c>
      <c r="K3064" s="36">
        <f t="shared" si="633"/>
        <v>40683</v>
      </c>
      <c r="L3064" s="36">
        <v>15000</v>
      </c>
      <c r="M3064" s="9">
        <f t="shared" si="634"/>
        <v>0.36870437283386182</v>
      </c>
      <c r="N3064" s="5">
        <v>1</v>
      </c>
      <c r="O3064" s="10">
        <f t="shared" si="632"/>
        <v>0.36870437283386182</v>
      </c>
    </row>
    <row r="3065" spans="2:15" ht="13.5" customHeight="1">
      <c r="B3065" s="33">
        <f t="shared" si="637"/>
        <v>125</v>
      </c>
      <c r="C3065" s="63"/>
      <c r="D3065" s="63"/>
      <c r="F3065" s="64" t="s">
        <v>26</v>
      </c>
      <c r="G3065" s="36">
        <f t="shared" si="638"/>
        <v>19980</v>
      </c>
      <c r="H3065" s="36">
        <f t="shared" si="638"/>
        <v>5583</v>
      </c>
      <c r="I3065" s="36">
        <f t="shared" si="638"/>
        <v>9720</v>
      </c>
      <c r="J3065" s="36">
        <f t="shared" si="638"/>
        <v>5400</v>
      </c>
      <c r="K3065" s="36">
        <f t="shared" si="633"/>
        <v>40683</v>
      </c>
      <c r="L3065" s="36">
        <v>15000</v>
      </c>
      <c r="M3065" s="9">
        <f t="shared" si="634"/>
        <v>0.36870437283386182</v>
      </c>
      <c r="N3065" s="5">
        <v>1</v>
      </c>
      <c r="O3065" s="10">
        <f t="shared" si="632"/>
        <v>0.36870437283386182</v>
      </c>
    </row>
    <row r="3066" spans="2:15" ht="13.5" customHeight="1">
      <c r="B3066" s="33">
        <f t="shared" si="637"/>
        <v>126</v>
      </c>
      <c r="C3066" s="63"/>
      <c r="D3066" s="63"/>
      <c r="F3066" s="64" t="s">
        <v>26</v>
      </c>
      <c r="G3066" s="36">
        <f t="shared" si="638"/>
        <v>17316</v>
      </c>
      <c r="H3066" s="36">
        <f t="shared" si="638"/>
        <v>5583</v>
      </c>
      <c r="I3066" s="36">
        <f t="shared" si="638"/>
        <v>9720</v>
      </c>
      <c r="J3066" s="36">
        <f t="shared" si="638"/>
        <v>5400</v>
      </c>
      <c r="K3066" s="36">
        <f t="shared" si="633"/>
        <v>38019</v>
      </c>
      <c r="L3066" s="36">
        <v>15000</v>
      </c>
      <c r="M3066" s="9">
        <f t="shared" si="634"/>
        <v>0.39453957231910358</v>
      </c>
      <c r="N3066" s="5">
        <v>1</v>
      </c>
      <c r="O3066" s="10">
        <f t="shared" si="632"/>
        <v>0.39453957231910358</v>
      </c>
    </row>
    <row r="3067" spans="2:15" ht="13.5" customHeight="1">
      <c r="B3067" s="33">
        <f t="shared" si="637"/>
        <v>127</v>
      </c>
      <c r="C3067" s="63"/>
      <c r="D3067" s="63"/>
      <c r="F3067" s="64" t="s">
        <v>26</v>
      </c>
      <c r="G3067" s="36">
        <f t="shared" si="638"/>
        <v>19980</v>
      </c>
      <c r="H3067" s="36">
        <f t="shared" si="638"/>
        <v>5583</v>
      </c>
      <c r="I3067" s="36">
        <f t="shared" si="638"/>
        <v>9720</v>
      </c>
      <c r="J3067" s="36">
        <f t="shared" si="638"/>
        <v>5400</v>
      </c>
      <c r="K3067" s="36">
        <f t="shared" si="633"/>
        <v>40683</v>
      </c>
      <c r="L3067" s="36">
        <v>15000</v>
      </c>
      <c r="M3067" s="9">
        <f t="shared" si="634"/>
        <v>0.36870437283386182</v>
      </c>
      <c r="N3067" s="5">
        <v>1</v>
      </c>
      <c r="O3067" s="10">
        <f t="shared" si="632"/>
        <v>0.36870437283386182</v>
      </c>
    </row>
    <row r="3068" spans="2:15" ht="13.5" customHeight="1">
      <c r="B3068" s="33">
        <f t="shared" si="637"/>
        <v>128</v>
      </c>
      <c r="C3068" s="63"/>
      <c r="D3068" s="63"/>
      <c r="F3068" s="64" t="s">
        <v>26</v>
      </c>
      <c r="G3068" s="36">
        <f>+G2886+G2695+G2504</f>
        <v>19980</v>
      </c>
      <c r="H3068" s="36">
        <f>+H2886+H2695+H2504</f>
        <v>5583</v>
      </c>
      <c r="I3068" s="36">
        <f>+I2886+I2695+I2504</f>
        <v>9720</v>
      </c>
      <c r="J3068" s="36">
        <f>+J2886+J2695+J2504</f>
        <v>5400</v>
      </c>
      <c r="K3068" s="36">
        <f t="shared" si="633"/>
        <v>40683</v>
      </c>
      <c r="L3068" s="36">
        <v>15000</v>
      </c>
      <c r="M3068" s="9">
        <f t="shared" si="634"/>
        <v>0.36870437283386182</v>
      </c>
      <c r="N3068" s="5">
        <v>1</v>
      </c>
      <c r="O3068" s="10">
        <f t="shared" si="632"/>
        <v>0.36870437283386182</v>
      </c>
    </row>
    <row r="3069" spans="2:15" ht="13.5" customHeight="1">
      <c r="B3069" s="33">
        <f t="shared" si="637"/>
        <v>129</v>
      </c>
      <c r="C3069" s="63"/>
      <c r="D3069" s="63"/>
      <c r="F3069" s="64" t="s">
        <v>26</v>
      </c>
      <c r="G3069" s="36">
        <f>+G2888+G2697+G2506</f>
        <v>19980</v>
      </c>
      <c r="H3069" s="36">
        <f>+H2888+H2697+H2506</f>
        <v>5583</v>
      </c>
      <c r="I3069" s="36">
        <f>+I2888+I2697+I2506</f>
        <v>9720</v>
      </c>
      <c r="J3069" s="36">
        <f>+J2888+J2697+J2506</f>
        <v>5400</v>
      </c>
      <c r="K3069" s="36">
        <f t="shared" ref="K3069:K3117" si="639">SUM(G3069:J3069)</f>
        <v>40683</v>
      </c>
      <c r="L3069" s="36">
        <v>15000</v>
      </c>
      <c r="M3069" s="9">
        <f t="shared" ref="M3069:M3117" si="640">L3069/K3069</f>
        <v>0.36870437283386182</v>
      </c>
      <c r="N3069" s="5">
        <v>1</v>
      </c>
      <c r="O3069" s="10">
        <f t="shared" ref="O3069:O3117" si="641">IF(M3069&gt;1,1,M3069)</f>
        <v>0.36870437283386182</v>
      </c>
    </row>
    <row r="3070" spans="2:15" ht="13.5" customHeight="1">
      <c r="B3070" s="33">
        <f t="shared" si="637"/>
        <v>130</v>
      </c>
      <c r="C3070" s="63"/>
      <c r="D3070" s="63"/>
      <c r="F3070" s="64" t="s">
        <v>26</v>
      </c>
      <c r="G3070" s="36">
        <f t="shared" ref="G3070:J3078" si="642">+G2890+G2699+G2508</f>
        <v>19980</v>
      </c>
      <c r="H3070" s="36">
        <f t="shared" si="642"/>
        <v>5583</v>
      </c>
      <c r="I3070" s="36">
        <f t="shared" si="642"/>
        <v>9720</v>
      </c>
      <c r="J3070" s="36">
        <f t="shared" si="642"/>
        <v>5400</v>
      </c>
      <c r="K3070" s="36">
        <f t="shared" si="639"/>
        <v>40683</v>
      </c>
      <c r="L3070" s="36">
        <v>15000</v>
      </c>
      <c r="M3070" s="9">
        <f t="shared" si="640"/>
        <v>0.36870437283386182</v>
      </c>
      <c r="N3070" s="5">
        <v>1</v>
      </c>
      <c r="O3070" s="10">
        <f t="shared" si="641"/>
        <v>0.36870437283386182</v>
      </c>
    </row>
    <row r="3071" spans="2:15" ht="13.5" customHeight="1">
      <c r="B3071" s="33">
        <f t="shared" si="637"/>
        <v>131</v>
      </c>
      <c r="C3071" s="63"/>
      <c r="D3071" s="63"/>
      <c r="F3071" s="64" t="s">
        <v>26</v>
      </c>
      <c r="G3071" s="36">
        <f t="shared" si="642"/>
        <v>19980</v>
      </c>
      <c r="H3071" s="36">
        <f t="shared" si="642"/>
        <v>5583</v>
      </c>
      <c r="I3071" s="36">
        <f t="shared" si="642"/>
        <v>9720</v>
      </c>
      <c r="J3071" s="36">
        <f t="shared" si="642"/>
        <v>5400</v>
      </c>
      <c r="K3071" s="36">
        <f t="shared" si="639"/>
        <v>40683</v>
      </c>
      <c r="L3071" s="36">
        <v>15000</v>
      </c>
      <c r="M3071" s="9">
        <f t="shared" si="640"/>
        <v>0.36870437283386182</v>
      </c>
      <c r="N3071" s="5">
        <v>1</v>
      </c>
      <c r="O3071" s="10">
        <f t="shared" si="641"/>
        <v>0.36870437283386182</v>
      </c>
    </row>
    <row r="3072" spans="2:15" ht="13.5" customHeight="1">
      <c r="B3072" s="33">
        <f t="shared" si="637"/>
        <v>132</v>
      </c>
      <c r="C3072" s="63"/>
      <c r="D3072" s="63"/>
      <c r="F3072" s="64" t="s">
        <v>26</v>
      </c>
      <c r="G3072" s="36">
        <f t="shared" si="642"/>
        <v>19980</v>
      </c>
      <c r="H3072" s="36">
        <f t="shared" si="642"/>
        <v>5583</v>
      </c>
      <c r="I3072" s="36">
        <f t="shared" si="642"/>
        <v>9720</v>
      </c>
      <c r="J3072" s="36">
        <f t="shared" si="642"/>
        <v>5400</v>
      </c>
      <c r="K3072" s="36">
        <f t="shared" si="639"/>
        <v>40683</v>
      </c>
      <c r="L3072" s="36">
        <v>15000</v>
      </c>
      <c r="M3072" s="9">
        <f t="shared" si="640"/>
        <v>0.36870437283386182</v>
      </c>
      <c r="N3072" s="5">
        <v>1</v>
      </c>
      <c r="O3072" s="10">
        <f t="shared" si="641"/>
        <v>0.36870437283386182</v>
      </c>
    </row>
    <row r="3073" spans="1:15" ht="13.5" customHeight="1">
      <c r="B3073" s="33">
        <f t="shared" si="637"/>
        <v>133</v>
      </c>
      <c r="C3073" s="63"/>
      <c r="D3073" s="63"/>
      <c r="F3073" s="64" t="s">
        <v>26</v>
      </c>
      <c r="G3073" s="36">
        <f t="shared" si="642"/>
        <v>10656</v>
      </c>
      <c r="H3073" s="36">
        <f t="shared" si="642"/>
        <v>3722</v>
      </c>
      <c r="I3073" s="36">
        <f t="shared" si="642"/>
        <v>6480</v>
      </c>
      <c r="J3073" s="36">
        <f t="shared" si="642"/>
        <v>3600</v>
      </c>
      <c r="K3073" s="36">
        <f t="shared" si="639"/>
        <v>24458</v>
      </c>
      <c r="L3073" s="36">
        <v>15000</v>
      </c>
      <c r="M3073" s="9">
        <f t="shared" si="640"/>
        <v>0.61329626298143758</v>
      </c>
      <c r="N3073" s="5">
        <v>1</v>
      </c>
      <c r="O3073" s="10">
        <f t="shared" si="641"/>
        <v>0.61329626298143758</v>
      </c>
    </row>
    <row r="3074" spans="1:15" ht="13.5" customHeight="1">
      <c r="B3074" s="33">
        <f t="shared" si="637"/>
        <v>134</v>
      </c>
      <c r="C3074" s="62"/>
      <c r="D3074" s="62"/>
      <c r="F3074" s="61" t="s">
        <v>32</v>
      </c>
      <c r="G3074" s="36">
        <f t="shared" si="642"/>
        <v>14400</v>
      </c>
      <c r="H3074" s="36">
        <f t="shared" si="642"/>
        <v>5583</v>
      </c>
      <c r="I3074" s="36">
        <f t="shared" si="642"/>
        <v>9720</v>
      </c>
      <c r="J3074" s="36">
        <f t="shared" si="642"/>
        <v>2700</v>
      </c>
      <c r="K3074" s="36">
        <f t="shared" si="639"/>
        <v>32403</v>
      </c>
      <c r="L3074" s="36">
        <v>15000</v>
      </c>
      <c r="M3074" s="9">
        <f t="shared" si="640"/>
        <v>0.46292009999074157</v>
      </c>
      <c r="N3074" s="5">
        <v>1</v>
      </c>
      <c r="O3074" s="10">
        <f t="shared" si="641"/>
        <v>0.46292009999074157</v>
      </c>
    </row>
    <row r="3075" spans="1:15" ht="13.5" customHeight="1">
      <c r="B3075" s="33">
        <f t="shared" si="637"/>
        <v>135</v>
      </c>
      <c r="C3075" s="62"/>
      <c r="D3075" s="62"/>
      <c r="F3075" s="61" t="s">
        <v>32</v>
      </c>
      <c r="G3075" s="36">
        <f t="shared" si="642"/>
        <v>14400</v>
      </c>
      <c r="H3075" s="36">
        <f t="shared" si="642"/>
        <v>5583</v>
      </c>
      <c r="I3075" s="36">
        <f t="shared" si="642"/>
        <v>9720</v>
      </c>
      <c r="J3075" s="36">
        <f t="shared" si="642"/>
        <v>2700</v>
      </c>
      <c r="K3075" s="36">
        <f t="shared" si="639"/>
        <v>32403</v>
      </c>
      <c r="L3075" s="36">
        <v>15000</v>
      </c>
      <c r="M3075" s="9">
        <f t="shared" si="640"/>
        <v>0.46292009999074157</v>
      </c>
      <c r="N3075" s="5">
        <v>1</v>
      </c>
      <c r="O3075" s="10">
        <f t="shared" si="641"/>
        <v>0.46292009999074157</v>
      </c>
    </row>
    <row r="3076" spans="1:15" ht="13.5" customHeight="1">
      <c r="A3076" s="1" t="s">
        <v>1019</v>
      </c>
      <c r="B3076" s="33">
        <f t="shared" si="637"/>
        <v>136</v>
      </c>
      <c r="C3076" s="62"/>
      <c r="D3076" s="62"/>
      <c r="F3076" s="61" t="s">
        <v>32</v>
      </c>
      <c r="G3076" s="36">
        <f t="shared" si="642"/>
        <v>14400</v>
      </c>
      <c r="H3076" s="36">
        <f t="shared" si="642"/>
        <v>5583</v>
      </c>
      <c r="I3076" s="36">
        <f t="shared" si="642"/>
        <v>9720</v>
      </c>
      <c r="J3076" s="36">
        <f t="shared" si="642"/>
        <v>2700</v>
      </c>
      <c r="K3076" s="36">
        <v>11928</v>
      </c>
      <c r="L3076" s="36">
        <v>15000</v>
      </c>
      <c r="M3076" s="9">
        <f t="shared" si="640"/>
        <v>1.2575452716297786</v>
      </c>
      <c r="N3076" s="5">
        <v>1</v>
      </c>
      <c r="O3076" s="10">
        <f t="shared" si="641"/>
        <v>1</v>
      </c>
    </row>
    <row r="3077" spans="1:15" ht="13.5" customHeight="1">
      <c r="B3077" s="33">
        <f t="shared" si="637"/>
        <v>137</v>
      </c>
      <c r="C3077" s="62" t="s">
        <v>50</v>
      </c>
      <c r="D3077" s="62" t="s">
        <v>748</v>
      </c>
      <c r="F3077" s="61" t="s">
        <v>32</v>
      </c>
      <c r="G3077" s="36">
        <f t="shared" si="642"/>
        <v>14400</v>
      </c>
      <c r="H3077" s="36">
        <f t="shared" si="642"/>
        <v>5583</v>
      </c>
      <c r="I3077" s="36">
        <f t="shared" si="642"/>
        <v>9720</v>
      </c>
      <c r="J3077" s="36">
        <f t="shared" si="642"/>
        <v>2700</v>
      </c>
      <c r="K3077" s="36">
        <f t="shared" si="639"/>
        <v>32403</v>
      </c>
      <c r="L3077" s="36">
        <v>15000</v>
      </c>
      <c r="M3077" s="9">
        <f t="shared" si="640"/>
        <v>0.46292009999074157</v>
      </c>
      <c r="N3077" s="5">
        <v>1</v>
      </c>
      <c r="O3077" s="10">
        <f t="shared" si="641"/>
        <v>0.46292009999074157</v>
      </c>
    </row>
    <row r="3078" spans="1:15" ht="13.5" customHeight="1">
      <c r="B3078" s="33">
        <f t="shared" si="637"/>
        <v>138</v>
      </c>
      <c r="C3078" s="62"/>
      <c r="D3078" s="62"/>
      <c r="F3078" s="61" t="s">
        <v>32</v>
      </c>
      <c r="G3078" s="36">
        <f t="shared" si="642"/>
        <v>14400</v>
      </c>
      <c r="H3078" s="36">
        <f t="shared" si="642"/>
        <v>5583</v>
      </c>
      <c r="I3078" s="36">
        <f t="shared" si="642"/>
        <v>9720</v>
      </c>
      <c r="J3078" s="36">
        <f t="shared" si="642"/>
        <v>2700</v>
      </c>
      <c r="K3078" s="36">
        <f t="shared" si="639"/>
        <v>32403</v>
      </c>
      <c r="L3078" s="36">
        <v>15000</v>
      </c>
      <c r="M3078" s="9">
        <f t="shared" si="640"/>
        <v>0.46292009999074157</v>
      </c>
      <c r="N3078" s="5">
        <v>1</v>
      </c>
      <c r="O3078" s="10">
        <f t="shared" si="641"/>
        <v>0.46292009999074157</v>
      </c>
    </row>
    <row r="3079" spans="1:15" ht="13.5" customHeight="1">
      <c r="B3079" s="33">
        <f t="shared" si="637"/>
        <v>139</v>
      </c>
      <c r="C3079" s="62"/>
      <c r="D3079" s="62"/>
      <c r="F3079" s="61" t="s">
        <v>32</v>
      </c>
      <c r="G3079" s="36">
        <f t="shared" ref="G3079:J3098" si="643">+G2900+G2709+G2518</f>
        <v>14400</v>
      </c>
      <c r="H3079" s="36">
        <f t="shared" si="643"/>
        <v>5583</v>
      </c>
      <c r="I3079" s="36">
        <f t="shared" si="643"/>
        <v>9720</v>
      </c>
      <c r="J3079" s="36">
        <f t="shared" si="643"/>
        <v>2700</v>
      </c>
      <c r="K3079" s="36">
        <f t="shared" si="639"/>
        <v>32403</v>
      </c>
      <c r="L3079" s="36">
        <v>15000</v>
      </c>
      <c r="M3079" s="9">
        <f t="shared" si="640"/>
        <v>0.46292009999074157</v>
      </c>
      <c r="N3079" s="5">
        <v>1</v>
      </c>
      <c r="O3079" s="10">
        <f t="shared" si="641"/>
        <v>0.46292009999074157</v>
      </c>
    </row>
    <row r="3080" spans="1:15" ht="13.5" customHeight="1">
      <c r="B3080" s="33">
        <f t="shared" si="637"/>
        <v>140</v>
      </c>
      <c r="C3080" s="62"/>
      <c r="D3080" s="62"/>
      <c r="F3080" s="61" t="s">
        <v>32</v>
      </c>
      <c r="G3080" s="36">
        <f t="shared" si="643"/>
        <v>14400</v>
      </c>
      <c r="H3080" s="36">
        <f t="shared" si="643"/>
        <v>5583</v>
      </c>
      <c r="I3080" s="36">
        <f t="shared" si="643"/>
        <v>9720</v>
      </c>
      <c r="J3080" s="36">
        <f t="shared" si="643"/>
        <v>2700</v>
      </c>
      <c r="K3080" s="36">
        <f t="shared" si="639"/>
        <v>32403</v>
      </c>
      <c r="L3080" s="36">
        <v>15000</v>
      </c>
      <c r="M3080" s="9">
        <f t="shared" si="640"/>
        <v>0.46292009999074157</v>
      </c>
      <c r="N3080" s="5">
        <v>1</v>
      </c>
      <c r="O3080" s="10">
        <f t="shared" si="641"/>
        <v>0.46292009999074157</v>
      </c>
    </row>
    <row r="3081" spans="1:15" ht="13.5" customHeight="1">
      <c r="B3081" s="33">
        <f t="shared" si="637"/>
        <v>141</v>
      </c>
      <c r="C3081" s="62"/>
      <c r="D3081" s="62"/>
      <c r="F3081" s="61" t="s">
        <v>32</v>
      </c>
      <c r="G3081" s="36">
        <f t="shared" si="643"/>
        <v>14400</v>
      </c>
      <c r="H3081" s="36">
        <f t="shared" si="643"/>
        <v>5583</v>
      </c>
      <c r="I3081" s="36">
        <f t="shared" si="643"/>
        <v>9720</v>
      </c>
      <c r="J3081" s="36">
        <f t="shared" si="643"/>
        <v>2700</v>
      </c>
      <c r="K3081" s="36">
        <f t="shared" si="639"/>
        <v>32403</v>
      </c>
      <c r="L3081" s="36">
        <v>15000</v>
      </c>
      <c r="M3081" s="9">
        <f t="shared" si="640"/>
        <v>0.46292009999074157</v>
      </c>
      <c r="N3081" s="5">
        <v>1</v>
      </c>
      <c r="O3081" s="10">
        <f t="shared" si="641"/>
        <v>0.46292009999074157</v>
      </c>
    </row>
    <row r="3082" spans="1:15" ht="13.5" customHeight="1">
      <c r="B3082" s="33">
        <f t="shared" si="637"/>
        <v>142</v>
      </c>
      <c r="C3082" s="62"/>
      <c r="D3082" s="62"/>
      <c r="F3082" s="61" t="s">
        <v>32</v>
      </c>
      <c r="G3082" s="36">
        <f t="shared" si="643"/>
        <v>14400</v>
      </c>
      <c r="H3082" s="36">
        <f t="shared" si="643"/>
        <v>5583</v>
      </c>
      <c r="I3082" s="36">
        <f t="shared" si="643"/>
        <v>9720</v>
      </c>
      <c r="J3082" s="36">
        <f t="shared" si="643"/>
        <v>2700</v>
      </c>
      <c r="K3082" s="36">
        <f t="shared" si="639"/>
        <v>32403</v>
      </c>
      <c r="L3082" s="36">
        <v>15000</v>
      </c>
      <c r="M3082" s="9">
        <f t="shared" si="640"/>
        <v>0.46292009999074157</v>
      </c>
      <c r="N3082" s="5">
        <v>1</v>
      </c>
      <c r="O3082" s="10">
        <f t="shared" si="641"/>
        <v>0.46292009999074157</v>
      </c>
    </row>
    <row r="3083" spans="1:15" ht="13.5" customHeight="1">
      <c r="A3083" s="1" t="s">
        <v>1019</v>
      </c>
      <c r="B3083" s="33">
        <f t="shared" si="637"/>
        <v>143</v>
      </c>
      <c r="C3083" s="63"/>
      <c r="D3083" s="63"/>
      <c r="F3083" s="64" t="s">
        <v>32</v>
      </c>
      <c r="G3083" s="36">
        <f t="shared" si="643"/>
        <v>14400</v>
      </c>
      <c r="H3083" s="36">
        <f t="shared" si="643"/>
        <v>5583</v>
      </c>
      <c r="I3083" s="36">
        <f t="shared" si="643"/>
        <v>9720</v>
      </c>
      <c r="J3083" s="36">
        <f t="shared" si="643"/>
        <v>2700</v>
      </c>
      <c r="K3083" s="36">
        <v>11403</v>
      </c>
      <c r="L3083" s="36">
        <v>15000</v>
      </c>
      <c r="M3083" s="9">
        <f t="shared" si="640"/>
        <v>1.3154433043935807</v>
      </c>
      <c r="N3083" s="5">
        <v>1</v>
      </c>
      <c r="O3083" s="10">
        <f t="shared" si="641"/>
        <v>1</v>
      </c>
    </row>
    <row r="3084" spans="1:15" ht="13.5" customHeight="1">
      <c r="B3084" s="33">
        <f t="shared" si="637"/>
        <v>144</v>
      </c>
      <c r="C3084" s="63"/>
      <c r="D3084" s="63"/>
      <c r="F3084" s="64" t="s">
        <v>32</v>
      </c>
      <c r="G3084" s="36">
        <f t="shared" si="643"/>
        <v>14400</v>
      </c>
      <c r="H3084" s="36">
        <f t="shared" si="643"/>
        <v>5583</v>
      </c>
      <c r="I3084" s="36">
        <f t="shared" si="643"/>
        <v>9720</v>
      </c>
      <c r="J3084" s="36">
        <f t="shared" si="643"/>
        <v>2700</v>
      </c>
      <c r="K3084" s="36">
        <f t="shared" si="639"/>
        <v>32403</v>
      </c>
      <c r="L3084" s="36">
        <v>15000</v>
      </c>
      <c r="M3084" s="9">
        <f t="shared" si="640"/>
        <v>0.46292009999074157</v>
      </c>
      <c r="N3084" s="5">
        <v>1</v>
      </c>
      <c r="O3084" s="10">
        <f t="shared" si="641"/>
        <v>0.46292009999074157</v>
      </c>
    </row>
    <row r="3085" spans="1:15" ht="13.5" customHeight="1">
      <c r="B3085" s="33">
        <f t="shared" si="637"/>
        <v>145</v>
      </c>
      <c r="C3085" s="63"/>
      <c r="D3085" s="63"/>
      <c r="F3085" s="64" t="s">
        <v>32</v>
      </c>
      <c r="G3085" s="36">
        <f t="shared" si="643"/>
        <v>14400</v>
      </c>
      <c r="H3085" s="36">
        <f t="shared" si="643"/>
        <v>5583</v>
      </c>
      <c r="I3085" s="36">
        <f t="shared" si="643"/>
        <v>9720</v>
      </c>
      <c r="J3085" s="36">
        <f t="shared" si="643"/>
        <v>2700</v>
      </c>
      <c r="K3085" s="36">
        <f t="shared" si="639"/>
        <v>32403</v>
      </c>
      <c r="L3085" s="36">
        <v>15000</v>
      </c>
      <c r="M3085" s="9">
        <f t="shared" si="640"/>
        <v>0.46292009999074157</v>
      </c>
      <c r="N3085" s="5">
        <v>1</v>
      </c>
      <c r="O3085" s="10">
        <f t="shared" si="641"/>
        <v>0.46292009999074157</v>
      </c>
    </row>
    <row r="3086" spans="1:15" ht="13.5" customHeight="1">
      <c r="B3086" s="33">
        <f t="shared" si="637"/>
        <v>146</v>
      </c>
      <c r="C3086" s="63"/>
      <c r="D3086" s="63"/>
      <c r="F3086" s="64" t="s">
        <v>32</v>
      </c>
      <c r="G3086" s="36">
        <f t="shared" si="643"/>
        <v>14400</v>
      </c>
      <c r="H3086" s="36">
        <f t="shared" si="643"/>
        <v>5583</v>
      </c>
      <c r="I3086" s="36">
        <f t="shared" si="643"/>
        <v>9720</v>
      </c>
      <c r="J3086" s="36">
        <f t="shared" si="643"/>
        <v>2700</v>
      </c>
      <c r="K3086" s="36">
        <f t="shared" si="639"/>
        <v>32403</v>
      </c>
      <c r="L3086" s="36">
        <v>15000</v>
      </c>
      <c r="M3086" s="9">
        <f t="shared" si="640"/>
        <v>0.46292009999074157</v>
      </c>
      <c r="N3086" s="5">
        <v>1</v>
      </c>
      <c r="O3086" s="10">
        <f t="shared" si="641"/>
        <v>0.46292009999074157</v>
      </c>
    </row>
    <row r="3087" spans="1:15" ht="13.5" customHeight="1">
      <c r="B3087" s="33">
        <f t="shared" si="637"/>
        <v>147</v>
      </c>
      <c r="C3087" s="63"/>
      <c r="D3087" s="63"/>
      <c r="F3087" s="64" t="s">
        <v>32</v>
      </c>
      <c r="G3087" s="36">
        <f t="shared" si="643"/>
        <v>14400</v>
      </c>
      <c r="H3087" s="36">
        <f t="shared" si="643"/>
        <v>5583</v>
      </c>
      <c r="I3087" s="36">
        <f t="shared" si="643"/>
        <v>9720</v>
      </c>
      <c r="J3087" s="36">
        <f t="shared" si="643"/>
        <v>2700</v>
      </c>
      <c r="K3087" s="36">
        <f t="shared" si="639"/>
        <v>32403</v>
      </c>
      <c r="L3087" s="36">
        <v>15000</v>
      </c>
      <c r="M3087" s="9">
        <f t="shared" si="640"/>
        <v>0.46292009999074157</v>
      </c>
      <c r="N3087" s="5">
        <v>1</v>
      </c>
      <c r="O3087" s="10">
        <f t="shared" si="641"/>
        <v>0.46292009999074157</v>
      </c>
    </row>
    <row r="3088" spans="1:15" ht="13.5" customHeight="1">
      <c r="B3088" s="33">
        <f t="shared" si="637"/>
        <v>148</v>
      </c>
      <c r="C3088" s="63"/>
      <c r="D3088" s="63"/>
      <c r="F3088" s="64" t="s">
        <v>32</v>
      </c>
      <c r="G3088" s="36">
        <f t="shared" si="643"/>
        <v>14400</v>
      </c>
      <c r="H3088" s="36">
        <f t="shared" si="643"/>
        <v>5583</v>
      </c>
      <c r="I3088" s="36">
        <f t="shared" si="643"/>
        <v>9720</v>
      </c>
      <c r="J3088" s="36">
        <f t="shared" si="643"/>
        <v>2700</v>
      </c>
      <c r="K3088" s="36">
        <f t="shared" si="639"/>
        <v>32403</v>
      </c>
      <c r="L3088" s="36">
        <v>15000</v>
      </c>
      <c r="M3088" s="9">
        <f t="shared" si="640"/>
        <v>0.46292009999074157</v>
      </c>
      <c r="N3088" s="5">
        <v>1</v>
      </c>
      <c r="O3088" s="10">
        <f t="shared" si="641"/>
        <v>0.46292009999074157</v>
      </c>
    </row>
    <row r="3089" spans="1:15" ht="13.5" customHeight="1">
      <c r="B3089" s="33">
        <f t="shared" si="637"/>
        <v>149</v>
      </c>
      <c r="C3089" s="62"/>
      <c r="D3089" s="62"/>
      <c r="F3089" s="61" t="s">
        <v>24</v>
      </c>
      <c r="G3089" s="36">
        <f t="shared" si="643"/>
        <v>1662</v>
      </c>
      <c r="H3089" s="36">
        <f t="shared" si="643"/>
        <v>1861</v>
      </c>
      <c r="I3089" s="36">
        <f t="shared" si="643"/>
        <v>7890</v>
      </c>
      <c r="J3089" s="36">
        <f t="shared" si="643"/>
        <v>0</v>
      </c>
      <c r="K3089" s="36">
        <f t="shared" si="639"/>
        <v>11413</v>
      </c>
      <c r="L3089" s="36">
        <v>15000</v>
      </c>
      <c r="M3089" s="9">
        <f t="shared" si="640"/>
        <v>1.314290721107509</v>
      </c>
      <c r="N3089" s="5">
        <v>1</v>
      </c>
      <c r="O3089" s="10">
        <f t="shared" si="641"/>
        <v>1</v>
      </c>
    </row>
    <row r="3090" spans="1:15" ht="13.5" customHeight="1">
      <c r="B3090" s="33">
        <f t="shared" si="637"/>
        <v>150</v>
      </c>
      <c r="C3090" s="63"/>
      <c r="D3090" s="63"/>
      <c r="F3090" s="64" t="s">
        <v>24</v>
      </c>
      <c r="G3090" s="36">
        <f t="shared" si="643"/>
        <v>1662</v>
      </c>
      <c r="H3090" s="36">
        <f t="shared" si="643"/>
        <v>1861</v>
      </c>
      <c r="I3090" s="36">
        <f t="shared" si="643"/>
        <v>7890</v>
      </c>
      <c r="J3090" s="36">
        <f t="shared" si="643"/>
        <v>0</v>
      </c>
      <c r="K3090" s="36">
        <f t="shared" si="639"/>
        <v>11413</v>
      </c>
      <c r="L3090" s="36">
        <v>15000</v>
      </c>
      <c r="M3090" s="9">
        <f t="shared" si="640"/>
        <v>1.314290721107509</v>
      </c>
      <c r="N3090" s="5">
        <v>1</v>
      </c>
      <c r="O3090" s="10">
        <f t="shared" si="641"/>
        <v>1</v>
      </c>
    </row>
    <row r="3091" spans="1:15" ht="13.5" customHeight="1">
      <c r="B3091" s="33">
        <f t="shared" si="637"/>
        <v>151</v>
      </c>
      <c r="C3091" s="63"/>
      <c r="D3091" s="63"/>
      <c r="F3091" s="64" t="s">
        <v>24</v>
      </c>
      <c r="G3091" s="36">
        <f t="shared" si="643"/>
        <v>1662</v>
      </c>
      <c r="H3091" s="36">
        <f t="shared" si="643"/>
        <v>1861</v>
      </c>
      <c r="I3091" s="36">
        <f t="shared" si="643"/>
        <v>7890</v>
      </c>
      <c r="J3091" s="36">
        <f t="shared" si="643"/>
        <v>0</v>
      </c>
      <c r="K3091" s="36">
        <f t="shared" si="639"/>
        <v>11413</v>
      </c>
      <c r="L3091" s="36">
        <v>15000</v>
      </c>
      <c r="M3091" s="9">
        <f t="shared" si="640"/>
        <v>1.314290721107509</v>
      </c>
      <c r="N3091" s="5">
        <v>1</v>
      </c>
      <c r="O3091" s="10">
        <f t="shared" si="641"/>
        <v>1</v>
      </c>
    </row>
    <row r="3092" spans="1:15" ht="13.5" customHeight="1">
      <c r="B3092" s="33">
        <f t="shared" si="637"/>
        <v>152</v>
      </c>
      <c r="C3092" s="63"/>
      <c r="D3092" s="63"/>
      <c r="F3092" s="64" t="s">
        <v>24</v>
      </c>
      <c r="G3092" s="36">
        <f t="shared" si="643"/>
        <v>1662</v>
      </c>
      <c r="H3092" s="36">
        <f t="shared" si="643"/>
        <v>1861</v>
      </c>
      <c r="I3092" s="36">
        <f t="shared" si="643"/>
        <v>7890</v>
      </c>
      <c r="J3092" s="36">
        <f t="shared" si="643"/>
        <v>0</v>
      </c>
      <c r="K3092" s="36">
        <f t="shared" si="639"/>
        <v>11413</v>
      </c>
      <c r="L3092" s="36">
        <v>15000</v>
      </c>
      <c r="M3092" s="9">
        <f t="shared" si="640"/>
        <v>1.314290721107509</v>
      </c>
      <c r="N3092" s="5">
        <v>1</v>
      </c>
      <c r="O3092" s="10">
        <f t="shared" si="641"/>
        <v>1</v>
      </c>
    </row>
    <row r="3093" spans="1:15" ht="13.5" customHeight="1">
      <c r="B3093" s="33">
        <f t="shared" si="637"/>
        <v>153</v>
      </c>
      <c r="C3093" s="63"/>
      <c r="D3093" s="63"/>
      <c r="F3093" s="64" t="s">
        <v>24</v>
      </c>
      <c r="G3093" s="36">
        <f t="shared" si="643"/>
        <v>1662</v>
      </c>
      <c r="H3093" s="36">
        <f t="shared" si="643"/>
        <v>1861</v>
      </c>
      <c r="I3093" s="36">
        <f t="shared" si="643"/>
        <v>7890</v>
      </c>
      <c r="J3093" s="36">
        <f t="shared" si="643"/>
        <v>0</v>
      </c>
      <c r="K3093" s="36">
        <f t="shared" si="639"/>
        <v>11413</v>
      </c>
      <c r="L3093" s="36">
        <v>15000</v>
      </c>
      <c r="M3093" s="9">
        <f t="shared" si="640"/>
        <v>1.314290721107509</v>
      </c>
      <c r="N3093" s="5">
        <v>1</v>
      </c>
      <c r="O3093" s="10">
        <f t="shared" si="641"/>
        <v>1</v>
      </c>
    </row>
    <row r="3094" spans="1:15" ht="13.5" customHeight="1">
      <c r="B3094" s="33">
        <f t="shared" si="637"/>
        <v>154</v>
      </c>
      <c r="C3094" s="63"/>
      <c r="D3094" s="63"/>
      <c r="F3094" s="64" t="s">
        <v>24</v>
      </c>
      <c r="G3094" s="36">
        <f t="shared" si="643"/>
        <v>1662</v>
      </c>
      <c r="H3094" s="36">
        <f t="shared" si="643"/>
        <v>1861</v>
      </c>
      <c r="I3094" s="36">
        <f t="shared" si="643"/>
        <v>7890</v>
      </c>
      <c r="J3094" s="36">
        <f t="shared" si="643"/>
        <v>0</v>
      </c>
      <c r="K3094" s="36">
        <f t="shared" si="639"/>
        <v>11413</v>
      </c>
      <c r="L3094" s="36">
        <v>15000</v>
      </c>
      <c r="M3094" s="9">
        <f t="shared" si="640"/>
        <v>1.314290721107509</v>
      </c>
      <c r="N3094" s="5">
        <v>1</v>
      </c>
      <c r="O3094" s="10">
        <f t="shared" si="641"/>
        <v>1</v>
      </c>
    </row>
    <row r="3095" spans="1:15" ht="13.5" customHeight="1">
      <c r="B3095" s="33">
        <f t="shared" si="637"/>
        <v>155</v>
      </c>
      <c r="C3095" s="62"/>
      <c r="D3095" s="62"/>
      <c r="F3095" s="61" t="s">
        <v>43</v>
      </c>
      <c r="G3095" s="36">
        <f t="shared" si="643"/>
        <v>18981</v>
      </c>
      <c r="H3095" s="36">
        <f t="shared" si="643"/>
        <v>5583</v>
      </c>
      <c r="I3095" s="36">
        <f t="shared" si="643"/>
        <v>11370</v>
      </c>
      <c r="J3095" s="36">
        <f t="shared" si="643"/>
        <v>1500</v>
      </c>
      <c r="K3095" s="36">
        <f t="shared" si="639"/>
        <v>37434</v>
      </c>
      <c r="L3095" s="36">
        <v>15000</v>
      </c>
      <c r="M3095" s="9">
        <f t="shared" si="640"/>
        <v>0.4007052412245552</v>
      </c>
      <c r="N3095" s="5">
        <v>1</v>
      </c>
      <c r="O3095" s="10">
        <f t="shared" si="641"/>
        <v>0.4007052412245552</v>
      </c>
    </row>
    <row r="3096" spans="1:15" ht="13.5" customHeight="1">
      <c r="B3096" s="33">
        <f t="shared" si="637"/>
        <v>156</v>
      </c>
      <c r="C3096" s="62"/>
      <c r="D3096" s="62"/>
      <c r="F3096" s="61" t="s">
        <v>43</v>
      </c>
      <c r="G3096" s="36">
        <f t="shared" si="643"/>
        <v>18981</v>
      </c>
      <c r="H3096" s="36">
        <f t="shared" si="643"/>
        <v>5583</v>
      </c>
      <c r="I3096" s="36">
        <f t="shared" si="643"/>
        <v>11370</v>
      </c>
      <c r="J3096" s="36">
        <f t="shared" si="643"/>
        <v>1500</v>
      </c>
      <c r="K3096" s="36">
        <f t="shared" si="639"/>
        <v>37434</v>
      </c>
      <c r="L3096" s="36">
        <v>15000</v>
      </c>
      <c r="M3096" s="9">
        <f t="shared" si="640"/>
        <v>0.4007052412245552</v>
      </c>
      <c r="N3096" s="5">
        <v>1</v>
      </c>
      <c r="O3096" s="10">
        <f t="shared" si="641"/>
        <v>0.4007052412245552</v>
      </c>
    </row>
    <row r="3097" spans="1:15" ht="13.5" customHeight="1">
      <c r="B3097" s="33">
        <f t="shared" si="637"/>
        <v>157</v>
      </c>
      <c r="C3097" s="62"/>
      <c r="D3097" s="62"/>
      <c r="F3097" s="61" t="s">
        <v>43</v>
      </c>
      <c r="G3097" s="36">
        <f t="shared" si="643"/>
        <v>18981</v>
      </c>
      <c r="H3097" s="36">
        <f t="shared" si="643"/>
        <v>5583</v>
      </c>
      <c r="I3097" s="36">
        <f t="shared" si="643"/>
        <v>11370</v>
      </c>
      <c r="J3097" s="36">
        <f t="shared" si="643"/>
        <v>1500</v>
      </c>
      <c r="K3097" s="36">
        <f t="shared" si="639"/>
        <v>37434</v>
      </c>
      <c r="L3097" s="36">
        <v>15000</v>
      </c>
      <c r="M3097" s="9">
        <f t="shared" si="640"/>
        <v>0.4007052412245552</v>
      </c>
      <c r="N3097" s="5">
        <v>1</v>
      </c>
      <c r="O3097" s="10">
        <f t="shared" si="641"/>
        <v>0.4007052412245552</v>
      </c>
    </row>
    <row r="3098" spans="1:15" ht="13.5" customHeight="1">
      <c r="B3098" s="33">
        <f t="shared" si="637"/>
        <v>158</v>
      </c>
      <c r="C3098" s="63"/>
      <c r="D3098" s="63"/>
      <c r="F3098" s="64" t="s">
        <v>43</v>
      </c>
      <c r="G3098" s="36">
        <f t="shared" si="643"/>
        <v>18981</v>
      </c>
      <c r="H3098" s="36">
        <f t="shared" si="643"/>
        <v>5583</v>
      </c>
      <c r="I3098" s="36">
        <f t="shared" si="643"/>
        <v>11370</v>
      </c>
      <c r="J3098" s="36">
        <f t="shared" si="643"/>
        <v>1500</v>
      </c>
      <c r="K3098" s="36">
        <f t="shared" si="639"/>
        <v>37434</v>
      </c>
      <c r="L3098" s="36">
        <v>15000</v>
      </c>
      <c r="M3098" s="9">
        <f t="shared" si="640"/>
        <v>0.4007052412245552</v>
      </c>
      <c r="N3098" s="5">
        <v>1</v>
      </c>
      <c r="O3098" s="10">
        <f t="shared" si="641"/>
        <v>0.4007052412245552</v>
      </c>
    </row>
    <row r="3099" spans="1:15" ht="13.5" customHeight="1">
      <c r="B3099" s="33">
        <f t="shared" si="637"/>
        <v>159</v>
      </c>
      <c r="C3099" s="63"/>
      <c r="D3099" s="63"/>
      <c r="F3099" s="64" t="s">
        <v>43</v>
      </c>
      <c r="G3099" s="36">
        <f t="shared" ref="G3099:J3117" si="644">+G2920+G2729+G2538</f>
        <v>18981</v>
      </c>
      <c r="H3099" s="36">
        <f t="shared" si="644"/>
        <v>5583</v>
      </c>
      <c r="I3099" s="36">
        <f t="shared" si="644"/>
        <v>11370</v>
      </c>
      <c r="J3099" s="36">
        <f t="shared" si="644"/>
        <v>1500</v>
      </c>
      <c r="K3099" s="36">
        <f t="shared" si="639"/>
        <v>37434</v>
      </c>
      <c r="L3099" s="36">
        <v>15000</v>
      </c>
      <c r="M3099" s="9">
        <f t="shared" si="640"/>
        <v>0.4007052412245552</v>
      </c>
      <c r="N3099" s="5">
        <v>1</v>
      </c>
      <c r="O3099" s="10">
        <f t="shared" si="641"/>
        <v>0.4007052412245552</v>
      </c>
    </row>
    <row r="3100" spans="1:15" ht="13.5" customHeight="1">
      <c r="B3100" s="33">
        <f t="shared" si="637"/>
        <v>160</v>
      </c>
      <c r="C3100" s="63"/>
      <c r="D3100" s="63"/>
      <c r="F3100" s="64" t="s">
        <v>43</v>
      </c>
      <c r="G3100" s="36">
        <f t="shared" si="644"/>
        <v>18981</v>
      </c>
      <c r="H3100" s="36">
        <f t="shared" si="644"/>
        <v>5583</v>
      </c>
      <c r="I3100" s="36">
        <f t="shared" si="644"/>
        <v>11370</v>
      </c>
      <c r="J3100" s="36">
        <f t="shared" si="644"/>
        <v>1500</v>
      </c>
      <c r="K3100" s="36">
        <f t="shared" si="639"/>
        <v>37434</v>
      </c>
      <c r="L3100" s="36">
        <v>15000</v>
      </c>
      <c r="M3100" s="9">
        <f t="shared" si="640"/>
        <v>0.4007052412245552</v>
      </c>
      <c r="N3100" s="5">
        <v>1</v>
      </c>
      <c r="O3100" s="10">
        <f t="shared" si="641"/>
        <v>0.4007052412245552</v>
      </c>
    </row>
    <row r="3101" spans="1:15" ht="13.5" customHeight="1">
      <c r="B3101" s="33">
        <f t="shared" si="637"/>
        <v>161</v>
      </c>
      <c r="C3101" s="63"/>
      <c r="D3101" s="63"/>
      <c r="F3101" s="64" t="s">
        <v>43</v>
      </c>
      <c r="G3101" s="36">
        <f t="shared" si="644"/>
        <v>18981</v>
      </c>
      <c r="H3101" s="36">
        <f t="shared" si="644"/>
        <v>5583</v>
      </c>
      <c r="I3101" s="36">
        <f t="shared" si="644"/>
        <v>11370</v>
      </c>
      <c r="J3101" s="36">
        <f t="shared" si="644"/>
        <v>1500</v>
      </c>
      <c r="K3101" s="36">
        <f t="shared" si="639"/>
        <v>37434</v>
      </c>
      <c r="L3101" s="36">
        <v>15000</v>
      </c>
      <c r="M3101" s="9">
        <f t="shared" si="640"/>
        <v>0.4007052412245552</v>
      </c>
      <c r="N3101" s="5">
        <v>1</v>
      </c>
      <c r="O3101" s="10">
        <f t="shared" si="641"/>
        <v>0.4007052412245552</v>
      </c>
    </row>
    <row r="3102" spans="1:15" ht="13.5" customHeight="1">
      <c r="B3102" s="33">
        <f t="shared" si="637"/>
        <v>162</v>
      </c>
      <c r="C3102" s="63"/>
      <c r="D3102" s="63"/>
      <c r="F3102" s="64" t="s">
        <v>43</v>
      </c>
      <c r="G3102" s="36">
        <f t="shared" si="644"/>
        <v>17649</v>
      </c>
      <c r="H3102" s="36">
        <f t="shared" si="644"/>
        <v>5583</v>
      </c>
      <c r="I3102" s="36">
        <f t="shared" si="644"/>
        <v>11370</v>
      </c>
      <c r="J3102" s="36">
        <f t="shared" si="644"/>
        <v>1500</v>
      </c>
      <c r="K3102" s="36">
        <f t="shared" si="639"/>
        <v>36102</v>
      </c>
      <c r="L3102" s="36">
        <v>15000</v>
      </c>
      <c r="M3102" s="9">
        <f t="shared" si="640"/>
        <v>0.4154894465680572</v>
      </c>
      <c r="N3102" s="5">
        <v>1</v>
      </c>
      <c r="O3102" s="10">
        <f t="shared" si="641"/>
        <v>0.4154894465680572</v>
      </c>
    </row>
    <row r="3103" spans="1:15" ht="13.5" customHeight="1">
      <c r="B3103" s="33">
        <f t="shared" si="637"/>
        <v>163</v>
      </c>
      <c r="C3103" s="63"/>
      <c r="D3103" s="63"/>
      <c r="F3103" s="64" t="s">
        <v>43</v>
      </c>
      <c r="G3103" s="36">
        <f t="shared" si="644"/>
        <v>18981</v>
      </c>
      <c r="H3103" s="36">
        <f t="shared" si="644"/>
        <v>5583</v>
      </c>
      <c r="I3103" s="36">
        <f t="shared" si="644"/>
        <v>11370</v>
      </c>
      <c r="J3103" s="36">
        <f t="shared" si="644"/>
        <v>1500</v>
      </c>
      <c r="K3103" s="36">
        <f t="shared" si="639"/>
        <v>37434</v>
      </c>
      <c r="L3103" s="36">
        <v>15000</v>
      </c>
      <c r="M3103" s="9">
        <f t="shared" si="640"/>
        <v>0.4007052412245552</v>
      </c>
      <c r="N3103" s="5">
        <v>1</v>
      </c>
      <c r="O3103" s="10">
        <f t="shared" si="641"/>
        <v>0.4007052412245552</v>
      </c>
    </row>
    <row r="3104" spans="1:15" ht="13.5" customHeight="1">
      <c r="A3104" s="1" t="s">
        <v>1019</v>
      </c>
      <c r="B3104" s="33">
        <f t="shared" si="637"/>
        <v>164</v>
      </c>
      <c r="C3104" s="63"/>
      <c r="D3104" s="63"/>
      <c r="F3104" s="64" t="s">
        <v>43</v>
      </c>
      <c r="G3104" s="36">
        <f t="shared" si="644"/>
        <v>18981</v>
      </c>
      <c r="H3104" s="36">
        <f t="shared" si="644"/>
        <v>5583</v>
      </c>
      <c r="I3104" s="36">
        <f t="shared" si="644"/>
        <v>11370</v>
      </c>
      <c r="J3104" s="36">
        <f t="shared" si="644"/>
        <v>1500</v>
      </c>
      <c r="K3104" s="36">
        <v>16434</v>
      </c>
      <c r="L3104" s="36">
        <v>15000</v>
      </c>
      <c r="M3104" s="9">
        <f t="shared" si="640"/>
        <v>0.91274187659729833</v>
      </c>
      <c r="N3104" s="5">
        <v>1</v>
      </c>
      <c r="O3104" s="10">
        <f t="shared" si="641"/>
        <v>0.91274187659729833</v>
      </c>
    </row>
    <row r="3105" spans="1:15" ht="13.5" customHeight="1">
      <c r="B3105" s="33">
        <f t="shared" si="637"/>
        <v>165</v>
      </c>
      <c r="C3105" s="63"/>
      <c r="D3105" s="63"/>
      <c r="F3105" s="64" t="s">
        <v>43</v>
      </c>
      <c r="G3105" s="36">
        <f t="shared" si="644"/>
        <v>18981</v>
      </c>
      <c r="H3105" s="36">
        <f t="shared" si="644"/>
        <v>5583</v>
      </c>
      <c r="I3105" s="36">
        <f t="shared" si="644"/>
        <v>11370</v>
      </c>
      <c r="J3105" s="36">
        <f t="shared" si="644"/>
        <v>1500</v>
      </c>
      <c r="K3105" s="36">
        <f t="shared" si="639"/>
        <v>37434</v>
      </c>
      <c r="L3105" s="36">
        <v>15000</v>
      </c>
      <c r="M3105" s="9">
        <f t="shared" si="640"/>
        <v>0.4007052412245552</v>
      </c>
      <c r="N3105" s="5">
        <v>1</v>
      </c>
      <c r="O3105" s="10">
        <f t="shared" si="641"/>
        <v>0.4007052412245552</v>
      </c>
    </row>
    <row r="3106" spans="1:15" ht="13.5" customHeight="1">
      <c r="A3106" s="1" t="s">
        <v>1019</v>
      </c>
      <c r="B3106" s="33">
        <f t="shared" si="637"/>
        <v>166</v>
      </c>
      <c r="C3106" s="63"/>
      <c r="D3106" s="63"/>
      <c r="F3106" s="64" t="s">
        <v>43</v>
      </c>
      <c r="G3106" s="36">
        <f t="shared" si="644"/>
        <v>18981</v>
      </c>
      <c r="H3106" s="36">
        <f t="shared" si="644"/>
        <v>5583</v>
      </c>
      <c r="I3106" s="36">
        <f t="shared" si="644"/>
        <v>11370</v>
      </c>
      <c r="J3106" s="36">
        <f t="shared" si="644"/>
        <v>1500</v>
      </c>
      <c r="K3106" s="36">
        <v>16434</v>
      </c>
      <c r="L3106" s="36">
        <v>15000</v>
      </c>
      <c r="M3106" s="9">
        <f t="shared" si="640"/>
        <v>0.91274187659729833</v>
      </c>
      <c r="N3106" s="5">
        <v>1</v>
      </c>
      <c r="O3106" s="10">
        <f t="shared" si="641"/>
        <v>0.91274187659729833</v>
      </c>
    </row>
    <row r="3107" spans="1:15" ht="13.5" customHeight="1">
      <c r="B3107" s="33">
        <f t="shared" si="637"/>
        <v>167</v>
      </c>
      <c r="C3107" s="63"/>
      <c r="D3107" s="63"/>
      <c r="F3107" s="64" t="s">
        <v>43</v>
      </c>
      <c r="G3107" s="36">
        <f t="shared" si="644"/>
        <v>18981</v>
      </c>
      <c r="H3107" s="36">
        <f t="shared" si="644"/>
        <v>5583</v>
      </c>
      <c r="I3107" s="36">
        <f t="shared" si="644"/>
        <v>11370</v>
      </c>
      <c r="J3107" s="36">
        <f t="shared" si="644"/>
        <v>1500</v>
      </c>
      <c r="K3107" s="36">
        <f t="shared" si="639"/>
        <v>37434</v>
      </c>
      <c r="L3107" s="36">
        <v>15000</v>
      </c>
      <c r="M3107" s="9">
        <f t="shared" si="640"/>
        <v>0.4007052412245552</v>
      </c>
      <c r="N3107" s="5">
        <v>1</v>
      </c>
      <c r="O3107" s="10">
        <f t="shared" si="641"/>
        <v>0.4007052412245552</v>
      </c>
    </row>
    <row r="3108" spans="1:15" ht="13.5" customHeight="1">
      <c r="B3108" s="33">
        <f t="shared" si="637"/>
        <v>168</v>
      </c>
      <c r="C3108" s="63"/>
      <c r="D3108" s="63"/>
      <c r="F3108" s="64" t="s">
        <v>43</v>
      </c>
      <c r="G3108" s="36">
        <f t="shared" si="644"/>
        <v>18981</v>
      </c>
      <c r="H3108" s="36">
        <f t="shared" si="644"/>
        <v>5583</v>
      </c>
      <c r="I3108" s="36">
        <f t="shared" si="644"/>
        <v>11370</v>
      </c>
      <c r="J3108" s="36">
        <f t="shared" si="644"/>
        <v>1500</v>
      </c>
      <c r="K3108" s="36">
        <f t="shared" si="639"/>
        <v>37434</v>
      </c>
      <c r="L3108" s="36">
        <v>15000</v>
      </c>
      <c r="M3108" s="9">
        <f t="shared" si="640"/>
        <v>0.4007052412245552</v>
      </c>
      <c r="N3108" s="5">
        <v>1</v>
      </c>
      <c r="O3108" s="10">
        <f t="shared" si="641"/>
        <v>0.4007052412245552</v>
      </c>
    </row>
    <row r="3109" spans="1:15" ht="13.5" customHeight="1">
      <c r="B3109" s="33">
        <f t="shared" si="637"/>
        <v>169</v>
      </c>
      <c r="C3109" s="62"/>
      <c r="D3109" s="62"/>
      <c r="F3109" s="61" t="s">
        <v>27</v>
      </c>
      <c r="G3109" s="36">
        <f t="shared" si="644"/>
        <v>15651</v>
      </c>
      <c r="H3109" s="36">
        <f t="shared" si="644"/>
        <v>5583</v>
      </c>
      <c r="I3109" s="36">
        <f t="shared" si="644"/>
        <v>9720</v>
      </c>
      <c r="J3109" s="36">
        <f t="shared" si="644"/>
        <v>1500</v>
      </c>
      <c r="K3109" s="36">
        <f t="shared" si="639"/>
        <v>32454</v>
      </c>
      <c r="L3109" s="36">
        <v>15000</v>
      </c>
      <c r="M3109" s="9">
        <f t="shared" si="640"/>
        <v>0.46219264189314108</v>
      </c>
      <c r="N3109" s="5">
        <v>1</v>
      </c>
      <c r="O3109" s="10">
        <f t="shared" si="641"/>
        <v>0.46219264189314108</v>
      </c>
    </row>
    <row r="3110" spans="1:15" ht="13.5" customHeight="1">
      <c r="B3110" s="33">
        <f t="shared" si="637"/>
        <v>170</v>
      </c>
      <c r="C3110" s="63"/>
      <c r="D3110" s="63"/>
      <c r="F3110" s="64" t="s">
        <v>27</v>
      </c>
      <c r="G3110" s="36">
        <f t="shared" si="644"/>
        <v>15651</v>
      </c>
      <c r="H3110" s="36">
        <f t="shared" si="644"/>
        <v>5583</v>
      </c>
      <c r="I3110" s="36">
        <f t="shared" si="644"/>
        <v>9720</v>
      </c>
      <c r="J3110" s="36">
        <f t="shared" si="644"/>
        <v>1500</v>
      </c>
      <c r="K3110" s="36">
        <f t="shared" si="639"/>
        <v>32454</v>
      </c>
      <c r="L3110" s="36">
        <v>15000</v>
      </c>
      <c r="M3110" s="9">
        <f t="shared" si="640"/>
        <v>0.46219264189314108</v>
      </c>
      <c r="N3110" s="5">
        <v>1</v>
      </c>
      <c r="O3110" s="10">
        <f t="shared" si="641"/>
        <v>0.46219264189314108</v>
      </c>
    </row>
    <row r="3111" spans="1:15" ht="13.5" customHeight="1">
      <c r="B3111" s="33">
        <f t="shared" si="637"/>
        <v>171</v>
      </c>
      <c r="C3111" s="63"/>
      <c r="D3111" s="63"/>
      <c r="F3111" s="64" t="s">
        <v>27</v>
      </c>
      <c r="G3111" s="36">
        <f t="shared" si="644"/>
        <v>15651</v>
      </c>
      <c r="H3111" s="36">
        <f t="shared" si="644"/>
        <v>5583</v>
      </c>
      <c r="I3111" s="36">
        <f t="shared" si="644"/>
        <v>9720</v>
      </c>
      <c r="J3111" s="36">
        <f t="shared" si="644"/>
        <v>1500</v>
      </c>
      <c r="K3111" s="36">
        <v>11454</v>
      </c>
      <c r="L3111" s="36">
        <v>15000</v>
      </c>
      <c r="M3111" s="9">
        <f t="shared" si="640"/>
        <v>1.3095861707700367</v>
      </c>
      <c r="N3111" s="5">
        <v>1</v>
      </c>
      <c r="O3111" s="10">
        <f t="shared" si="641"/>
        <v>1</v>
      </c>
    </row>
    <row r="3112" spans="1:15" ht="13.5" customHeight="1">
      <c r="B3112" s="33">
        <f t="shared" si="637"/>
        <v>172</v>
      </c>
      <c r="C3112" s="63"/>
      <c r="D3112" s="63"/>
      <c r="F3112" s="64" t="s">
        <v>27</v>
      </c>
      <c r="G3112" s="36">
        <f t="shared" si="644"/>
        <v>14652</v>
      </c>
      <c r="H3112" s="36">
        <f t="shared" si="644"/>
        <v>5583</v>
      </c>
      <c r="I3112" s="36">
        <f t="shared" si="644"/>
        <v>9720</v>
      </c>
      <c r="J3112" s="36">
        <f t="shared" si="644"/>
        <v>1500</v>
      </c>
      <c r="K3112" s="36">
        <f t="shared" si="639"/>
        <v>31455</v>
      </c>
      <c r="L3112" s="36">
        <v>15000</v>
      </c>
      <c r="M3112" s="9">
        <f t="shared" si="640"/>
        <v>0.47687172150691465</v>
      </c>
      <c r="N3112" s="5">
        <v>1</v>
      </c>
      <c r="O3112" s="10">
        <f t="shared" si="641"/>
        <v>0.47687172150691465</v>
      </c>
    </row>
    <row r="3113" spans="1:15" ht="13.5" customHeight="1">
      <c r="B3113" s="33">
        <f t="shared" si="637"/>
        <v>173</v>
      </c>
      <c r="C3113" s="63"/>
      <c r="D3113" s="63"/>
      <c r="F3113" s="64" t="s">
        <v>27</v>
      </c>
      <c r="G3113" s="36">
        <f t="shared" si="644"/>
        <v>15651</v>
      </c>
      <c r="H3113" s="36">
        <f t="shared" si="644"/>
        <v>5583</v>
      </c>
      <c r="I3113" s="36">
        <f t="shared" si="644"/>
        <v>9720</v>
      </c>
      <c r="J3113" s="36">
        <f t="shared" si="644"/>
        <v>1500</v>
      </c>
      <c r="K3113" s="36">
        <f t="shared" si="639"/>
        <v>32454</v>
      </c>
      <c r="L3113" s="36">
        <v>15000</v>
      </c>
      <c r="M3113" s="9">
        <f t="shared" si="640"/>
        <v>0.46219264189314108</v>
      </c>
      <c r="N3113" s="5">
        <v>1</v>
      </c>
      <c r="O3113" s="10">
        <f t="shared" si="641"/>
        <v>0.46219264189314108</v>
      </c>
    </row>
    <row r="3114" spans="1:15" ht="13.5" customHeight="1">
      <c r="B3114" s="33">
        <f t="shared" si="637"/>
        <v>174</v>
      </c>
      <c r="C3114" s="62"/>
      <c r="D3114" s="62"/>
      <c r="F3114" s="61" t="s">
        <v>30</v>
      </c>
      <c r="G3114" s="36">
        <f t="shared" si="644"/>
        <v>6300</v>
      </c>
      <c r="H3114" s="36">
        <f t="shared" si="644"/>
        <v>1861</v>
      </c>
      <c r="I3114" s="36">
        <f t="shared" si="644"/>
        <v>3240</v>
      </c>
      <c r="J3114" s="36">
        <f t="shared" si="644"/>
        <v>500</v>
      </c>
      <c r="K3114" s="36">
        <f t="shared" si="639"/>
        <v>11901</v>
      </c>
      <c r="L3114" s="36">
        <v>15000</v>
      </c>
      <c r="M3114" s="9">
        <f t="shared" si="640"/>
        <v>1.2603982858583311</v>
      </c>
      <c r="N3114" s="5">
        <v>1</v>
      </c>
      <c r="O3114" s="10">
        <f t="shared" si="641"/>
        <v>1</v>
      </c>
    </row>
    <row r="3115" spans="1:15" ht="13.5" customHeight="1">
      <c r="B3115" s="33">
        <f t="shared" si="637"/>
        <v>175</v>
      </c>
      <c r="C3115" s="63"/>
      <c r="D3115" s="63"/>
      <c r="F3115" s="64" t="s">
        <v>30</v>
      </c>
      <c r="G3115" s="36">
        <f t="shared" si="644"/>
        <v>16194</v>
      </c>
      <c r="H3115" s="36">
        <f t="shared" si="644"/>
        <v>5583</v>
      </c>
      <c r="I3115" s="36">
        <f t="shared" si="644"/>
        <v>9720</v>
      </c>
      <c r="J3115" s="36">
        <f t="shared" si="644"/>
        <v>1500</v>
      </c>
      <c r="K3115" s="36">
        <f t="shared" si="639"/>
        <v>32997</v>
      </c>
      <c r="L3115" s="36">
        <v>15000</v>
      </c>
      <c r="M3115" s="9">
        <f t="shared" si="640"/>
        <v>0.45458678061641966</v>
      </c>
      <c r="N3115" s="5">
        <v>1</v>
      </c>
      <c r="O3115" s="10">
        <f t="shared" si="641"/>
        <v>0.45458678061641966</v>
      </c>
    </row>
    <row r="3116" spans="1:15" ht="13.5" customHeight="1">
      <c r="A3116" s="1" t="s">
        <v>1019</v>
      </c>
      <c r="B3116" s="33">
        <f t="shared" si="637"/>
        <v>176</v>
      </c>
      <c r="C3116" s="63"/>
      <c r="D3116" s="63"/>
      <c r="F3116" s="64" t="s">
        <v>30</v>
      </c>
      <c r="G3116" s="36">
        <f t="shared" si="644"/>
        <v>18993</v>
      </c>
      <c r="H3116" s="36">
        <f t="shared" si="644"/>
        <v>5583</v>
      </c>
      <c r="I3116" s="36">
        <f t="shared" si="644"/>
        <v>9720</v>
      </c>
      <c r="J3116" s="36">
        <f t="shared" si="644"/>
        <v>1500</v>
      </c>
      <c r="K3116" s="36">
        <v>14796</v>
      </c>
      <c r="L3116" s="36">
        <v>15000</v>
      </c>
      <c r="M3116" s="9">
        <f t="shared" si="640"/>
        <v>1.013787510137875</v>
      </c>
      <c r="N3116" s="5">
        <v>1</v>
      </c>
      <c r="O3116" s="10">
        <f t="shared" si="641"/>
        <v>1</v>
      </c>
    </row>
    <row r="3117" spans="1:15" ht="13.5" customHeight="1">
      <c r="B3117" s="33">
        <f t="shared" si="637"/>
        <v>177</v>
      </c>
      <c r="C3117" s="63"/>
      <c r="D3117" s="63"/>
      <c r="F3117" s="64" t="s">
        <v>30</v>
      </c>
      <c r="G3117" s="36">
        <f t="shared" si="644"/>
        <v>18993</v>
      </c>
      <c r="H3117" s="36">
        <f t="shared" si="644"/>
        <v>5583</v>
      </c>
      <c r="I3117" s="36">
        <f t="shared" si="644"/>
        <v>9720</v>
      </c>
      <c r="J3117" s="36">
        <f t="shared" si="644"/>
        <v>1500</v>
      </c>
      <c r="K3117" s="36">
        <f t="shared" si="639"/>
        <v>35796</v>
      </c>
      <c r="L3117" s="36">
        <v>15000</v>
      </c>
      <c r="M3117" s="9">
        <f t="shared" si="640"/>
        <v>0.41904123365739188</v>
      </c>
      <c r="N3117" s="5">
        <v>1</v>
      </c>
      <c r="O3117" s="10">
        <f t="shared" si="641"/>
        <v>0.41904123365739188</v>
      </c>
    </row>
    <row r="3118" spans="1:15" ht="13.5" customHeight="1">
      <c r="C3118" s="63"/>
      <c r="D3118" s="63"/>
      <c r="F3118" s="64"/>
      <c r="G3118" s="36"/>
      <c r="H3118" s="36"/>
      <c r="I3118" s="36"/>
      <c r="J3118" s="36"/>
      <c r="K3118" s="36"/>
      <c r="M3118" s="9"/>
      <c r="N3118" s="5"/>
      <c r="O3118" s="10"/>
    </row>
    <row r="3119" spans="1:15" ht="13.5" customHeight="1">
      <c r="A3119" s="1" t="s">
        <v>16</v>
      </c>
      <c r="B3119" s="33">
        <f>+B3069+1</f>
        <v>130</v>
      </c>
      <c r="C3119" s="63"/>
      <c r="D3119" s="63"/>
      <c r="F3119" s="64" t="s">
        <v>26</v>
      </c>
      <c r="G3119" s="36">
        <f>+G2889+G2698+G2507</f>
        <v>19980</v>
      </c>
      <c r="H3119" s="36">
        <f>+H2889+H2698+H2507</f>
        <v>5583</v>
      </c>
      <c r="I3119" s="36">
        <f>+I2889+I2698+I2507</f>
        <v>9720</v>
      </c>
      <c r="J3119" s="36">
        <f>+J2889+J2698+J2507</f>
        <v>5400</v>
      </c>
      <c r="K3119" s="36">
        <f t="shared" ref="K3119:K3130" si="645">SUM(G3119:J3119)</f>
        <v>40683</v>
      </c>
      <c r="L3119" s="36">
        <v>15000</v>
      </c>
      <c r="M3119" s="9">
        <f t="shared" ref="M3119:M3130" si="646">L3119/K3119</f>
        <v>0.36870437283386182</v>
      </c>
      <c r="N3119" s="5">
        <v>1</v>
      </c>
      <c r="O3119" s="10">
        <f t="shared" ref="O3119:O3130" si="647">N3119*M3119</f>
        <v>0.36870437283386182</v>
      </c>
    </row>
    <row r="3120" spans="1:15" ht="13.5" customHeight="1">
      <c r="A3120" s="1" t="s">
        <v>16</v>
      </c>
      <c r="B3120" s="33">
        <f>+B2968+1</f>
        <v>29</v>
      </c>
      <c r="C3120" s="63"/>
      <c r="D3120" s="63"/>
      <c r="F3120" s="64" t="s">
        <v>159</v>
      </c>
      <c r="G3120" s="36">
        <f>+G2781+G2590+G2399</f>
        <v>18648</v>
      </c>
      <c r="H3120" s="36">
        <f>+H2781+H2590+H2399</f>
        <v>5583</v>
      </c>
      <c r="I3120" s="36">
        <f>+I2781+I2590+I2399</f>
        <v>9720</v>
      </c>
      <c r="J3120" s="36">
        <f>+J2781+J2590+J2399</f>
        <v>2700</v>
      </c>
      <c r="K3120" s="36">
        <f t="shared" si="645"/>
        <v>36651</v>
      </c>
      <c r="L3120" s="36">
        <v>15000</v>
      </c>
      <c r="M3120" s="9">
        <f t="shared" si="646"/>
        <v>0.40926577719571089</v>
      </c>
      <c r="N3120" s="5">
        <v>1</v>
      </c>
      <c r="O3120" s="10">
        <f t="shared" si="647"/>
        <v>0.40926577719571089</v>
      </c>
    </row>
    <row r="3121" spans="1:15" ht="13.5" customHeight="1">
      <c r="A3121" s="1" t="s">
        <v>422</v>
      </c>
      <c r="B3121" s="33">
        <f>+B2950+1</f>
        <v>11</v>
      </c>
      <c r="C3121" s="63"/>
      <c r="D3121" s="63"/>
      <c r="F3121" s="64" t="s">
        <v>140</v>
      </c>
      <c r="G3121" s="36">
        <f>+G2760+G2569+G2378</f>
        <v>11700</v>
      </c>
      <c r="H3121" s="36">
        <f>+H2760+H2569+H2378</f>
        <v>5583</v>
      </c>
      <c r="I3121" s="36">
        <f>+I2760+I2569+I2378</f>
        <v>9720</v>
      </c>
      <c r="J3121" s="36">
        <f>+J2760+J2569+J2378</f>
        <v>500</v>
      </c>
      <c r="K3121" s="36">
        <f t="shared" si="645"/>
        <v>27503</v>
      </c>
      <c r="L3121" s="36">
        <v>15000</v>
      </c>
      <c r="M3121" s="9">
        <f t="shared" si="646"/>
        <v>0.54539504781296588</v>
      </c>
      <c r="N3121" s="5">
        <v>1</v>
      </c>
      <c r="O3121" s="10">
        <f t="shared" si="647"/>
        <v>0.54539504781296588</v>
      </c>
    </row>
    <row r="3122" spans="1:15" ht="13.5" customHeight="1">
      <c r="A3122" s="1" t="s">
        <v>16</v>
      </c>
      <c r="B3122" s="33">
        <f>+B3068+1</f>
        <v>129</v>
      </c>
      <c r="C3122" s="63"/>
      <c r="D3122" s="63"/>
      <c r="F3122" s="64" t="s">
        <v>26</v>
      </c>
      <c r="G3122" s="36">
        <f>+G2887+G2696+G2505</f>
        <v>18981</v>
      </c>
      <c r="H3122" s="36">
        <f>+H2887+H2696+H2505</f>
        <v>5583</v>
      </c>
      <c r="I3122" s="36">
        <f>+I2887+I2696+I2505</f>
        <v>9720</v>
      </c>
      <c r="J3122" s="36">
        <f>+J2887+J2696+J2505</f>
        <v>5400</v>
      </c>
      <c r="K3122" s="36">
        <f t="shared" si="645"/>
        <v>39684</v>
      </c>
      <c r="L3122" s="36">
        <v>15000</v>
      </c>
      <c r="M3122" s="9">
        <f t="shared" si="646"/>
        <v>0.37798609011188389</v>
      </c>
      <c r="N3122" s="5">
        <v>1</v>
      </c>
      <c r="O3122" s="10">
        <f t="shared" si="647"/>
        <v>0.37798609011188389</v>
      </c>
    </row>
    <row r="3123" spans="1:15" ht="13.5" customHeight="1">
      <c r="A3123" s="1" t="s">
        <v>16</v>
      </c>
      <c r="B3123" s="33">
        <f>+B3067+1</f>
        <v>128</v>
      </c>
      <c r="C3123" s="63"/>
      <c r="D3123" s="63"/>
      <c r="F3123" s="64" t="s">
        <v>26</v>
      </c>
      <c r="G3123" s="36">
        <f>+G2885+G2694+G2503</f>
        <v>19980</v>
      </c>
      <c r="H3123" s="36">
        <f>+H2885+H2694+H2503</f>
        <v>5583</v>
      </c>
      <c r="I3123" s="36">
        <f>+I2885+I2694+I2503</f>
        <v>9720</v>
      </c>
      <c r="J3123" s="36">
        <f>+J2885+J2694+J2503</f>
        <v>5400</v>
      </c>
      <c r="K3123" s="36">
        <f t="shared" si="645"/>
        <v>40683</v>
      </c>
      <c r="L3123" s="36">
        <v>15000</v>
      </c>
      <c r="M3123" s="9">
        <f t="shared" si="646"/>
        <v>0.36870437283386182</v>
      </c>
      <c r="N3123" s="5">
        <v>1</v>
      </c>
      <c r="O3123" s="10">
        <f t="shared" si="647"/>
        <v>0.36870437283386182</v>
      </c>
    </row>
    <row r="3124" spans="1:15" ht="13.5" customHeight="1">
      <c r="A3124" s="1" t="s">
        <v>16</v>
      </c>
      <c r="B3124" s="33">
        <f>+B3002+1</f>
        <v>63</v>
      </c>
      <c r="C3124" s="63"/>
      <c r="D3124" s="63"/>
      <c r="F3124" s="64" t="s">
        <v>44</v>
      </c>
      <c r="G3124" s="36">
        <f>+G2819+G2628+G2437</f>
        <v>15651</v>
      </c>
      <c r="H3124" s="36">
        <f>+H2819+H2628+H2437</f>
        <v>5583</v>
      </c>
      <c r="I3124" s="36">
        <f>+I2819+I2628+I2437</f>
        <v>9720</v>
      </c>
      <c r="J3124" s="36">
        <f>+J2819+J2628+J2437</f>
        <v>2250</v>
      </c>
      <c r="K3124" s="36">
        <f t="shared" si="645"/>
        <v>33204</v>
      </c>
      <c r="L3124" s="36">
        <v>15000</v>
      </c>
      <c r="M3124" s="9">
        <f t="shared" si="646"/>
        <v>0.45175280086736536</v>
      </c>
      <c r="N3124" s="5">
        <v>1</v>
      </c>
      <c r="O3124" s="10">
        <f t="shared" si="647"/>
        <v>0.45175280086736536</v>
      </c>
    </row>
    <row r="3125" spans="1:15" ht="13.5" customHeight="1">
      <c r="A3125" s="1" t="s">
        <v>16</v>
      </c>
      <c r="B3125" s="33">
        <f>+B2966+1</f>
        <v>27</v>
      </c>
      <c r="C3125" s="62"/>
      <c r="D3125" s="62"/>
      <c r="F3125" s="61" t="s">
        <v>159</v>
      </c>
      <c r="G3125" s="36">
        <f>+G2778+G2587+G2396</f>
        <v>18648</v>
      </c>
      <c r="H3125" s="36">
        <f>+H2778+H2587+H2396</f>
        <v>5583</v>
      </c>
      <c r="I3125" s="36">
        <f>+I2778+I2587+I2396</f>
        <v>9720</v>
      </c>
      <c r="J3125" s="36">
        <f>+J2778+J2587+J2396</f>
        <v>2700</v>
      </c>
      <c r="K3125" s="36">
        <f t="shared" si="645"/>
        <v>36651</v>
      </c>
      <c r="L3125" s="36">
        <v>15000</v>
      </c>
      <c r="M3125" s="9">
        <f t="shared" si="646"/>
        <v>0.40926577719571089</v>
      </c>
      <c r="N3125" s="5">
        <v>1</v>
      </c>
      <c r="O3125" s="10">
        <f t="shared" si="647"/>
        <v>0.40926577719571089</v>
      </c>
    </row>
    <row r="3126" spans="1:15" ht="13.5" customHeight="1">
      <c r="A3126" s="1" t="s">
        <v>422</v>
      </c>
      <c r="B3126" s="33">
        <f>+B2969+1</f>
        <v>30</v>
      </c>
      <c r="C3126" s="62"/>
      <c r="D3126" s="62"/>
      <c r="F3126" s="61" t="s">
        <v>37</v>
      </c>
      <c r="G3126" s="36">
        <f>+G2784+G2593+G2402</f>
        <v>18648</v>
      </c>
      <c r="H3126" s="36">
        <f>+H2784+H2593+H2402</f>
        <v>5583</v>
      </c>
      <c r="I3126" s="36">
        <f>+I2784+I2593+I2402</f>
        <v>9720</v>
      </c>
      <c r="J3126" s="36">
        <f>+J2784+J2593+J2402</f>
        <v>500</v>
      </c>
      <c r="K3126" s="36">
        <f t="shared" si="645"/>
        <v>34451</v>
      </c>
      <c r="L3126" s="36">
        <v>15000</v>
      </c>
      <c r="M3126" s="9">
        <f t="shared" si="646"/>
        <v>0.4354010043249833</v>
      </c>
      <c r="N3126" s="5">
        <v>1</v>
      </c>
      <c r="O3126" s="10">
        <f t="shared" si="647"/>
        <v>0.4354010043249833</v>
      </c>
    </row>
    <row r="3127" spans="1:15" ht="13.5" customHeight="1">
      <c r="A3127" s="1" t="s">
        <v>16</v>
      </c>
      <c r="B3127" s="33">
        <f>+B2993+1</f>
        <v>54</v>
      </c>
      <c r="C3127" s="62"/>
      <c r="D3127" s="62"/>
      <c r="F3127" s="61" t="s">
        <v>44</v>
      </c>
      <c r="G3127" s="36">
        <f>+G2809+G2618+G2427</f>
        <v>15651</v>
      </c>
      <c r="H3127" s="36">
        <f>+H2809+H2618+H2427</f>
        <v>5583</v>
      </c>
      <c r="I3127" s="36">
        <f>+I2809+I2618+I2427</f>
        <v>9720</v>
      </c>
      <c r="J3127" s="36">
        <f>+J2809+J2618+J2427</f>
        <v>2250</v>
      </c>
      <c r="K3127" s="36">
        <f t="shared" si="645"/>
        <v>33204</v>
      </c>
      <c r="L3127" s="36">
        <v>15000</v>
      </c>
      <c r="M3127" s="9">
        <f t="shared" si="646"/>
        <v>0.45175280086736536</v>
      </c>
      <c r="N3127" s="5">
        <v>1</v>
      </c>
      <c r="O3127" s="10">
        <f t="shared" si="647"/>
        <v>0.45175280086736536</v>
      </c>
    </row>
    <row r="3128" spans="1:15" ht="13.5" customHeight="1">
      <c r="A3128" s="1" t="s">
        <v>1015</v>
      </c>
      <c r="B3128" s="33">
        <v>1</v>
      </c>
      <c r="C3128" s="62"/>
      <c r="D3128" s="62"/>
      <c r="F3128" s="61" t="s">
        <v>32</v>
      </c>
      <c r="G3128" s="36">
        <f>+G2899+G2708+G2517</f>
        <v>14400</v>
      </c>
      <c r="H3128" s="36">
        <f>+H2899+H2708+H2517</f>
        <v>5583</v>
      </c>
      <c r="I3128" s="36">
        <f>+I2899+I2708+I2517</f>
        <v>9720</v>
      </c>
      <c r="J3128" s="36">
        <f>+J2899+J2708+J2517</f>
        <v>2700</v>
      </c>
      <c r="K3128" s="36">
        <f t="shared" si="645"/>
        <v>32403</v>
      </c>
      <c r="L3128" s="36">
        <v>15000</v>
      </c>
      <c r="M3128" s="9">
        <f t="shared" si="646"/>
        <v>0.46292009999074157</v>
      </c>
      <c r="N3128" s="5">
        <v>1</v>
      </c>
      <c r="O3128" s="10">
        <f t="shared" si="647"/>
        <v>0.46292009999074157</v>
      </c>
    </row>
    <row r="3129" spans="1:15" ht="13.5" customHeight="1">
      <c r="A3129" s="1" t="s">
        <v>16</v>
      </c>
      <c r="B3129" s="33">
        <v>2</v>
      </c>
      <c r="C3129" s="62"/>
      <c r="D3129" s="62"/>
      <c r="F3129" s="61" t="s">
        <v>159</v>
      </c>
      <c r="G3129" s="36">
        <f>+G2776+G2585+G2394</f>
        <v>18648</v>
      </c>
      <c r="H3129" s="36">
        <f>+H2776+H2585+H2394</f>
        <v>5583</v>
      </c>
      <c r="I3129" s="36">
        <f>+I2776+I2585+I2394</f>
        <v>9720</v>
      </c>
      <c r="J3129" s="36">
        <f>+J2776+J2585+J2394</f>
        <v>2700</v>
      </c>
      <c r="K3129" s="36">
        <f t="shared" si="645"/>
        <v>36651</v>
      </c>
      <c r="L3129" s="36">
        <v>15000</v>
      </c>
      <c r="M3129" s="9">
        <f t="shared" si="646"/>
        <v>0.40926577719571089</v>
      </c>
      <c r="N3129" s="5">
        <v>1</v>
      </c>
      <c r="O3129" s="10">
        <f t="shared" si="647"/>
        <v>0.40926577719571089</v>
      </c>
    </row>
    <row r="3130" spans="1:15" ht="13.5" customHeight="1">
      <c r="A3130" s="1" t="s">
        <v>16</v>
      </c>
      <c r="B3130" s="33">
        <v>3</v>
      </c>
      <c r="C3130" s="62"/>
      <c r="D3130" s="62"/>
      <c r="F3130" s="61" t="s">
        <v>37</v>
      </c>
      <c r="G3130" s="36">
        <f>+G2783+G2592+G2401</f>
        <v>17649</v>
      </c>
      <c r="H3130" s="36">
        <f>+H2783+H2592+H2401</f>
        <v>5583</v>
      </c>
      <c r="I3130" s="36">
        <f>+I2783+I2592+I2401</f>
        <v>9720</v>
      </c>
      <c r="J3130" s="36">
        <f>+J2783+J2592+J2401</f>
        <v>500</v>
      </c>
      <c r="K3130" s="36">
        <f t="shared" si="645"/>
        <v>33452</v>
      </c>
      <c r="L3130" s="36">
        <v>15000</v>
      </c>
      <c r="M3130" s="9">
        <f t="shared" si="646"/>
        <v>0.44840368288891547</v>
      </c>
      <c r="N3130" s="5">
        <v>1</v>
      </c>
      <c r="O3130" s="10">
        <f t="shared" si="647"/>
        <v>0.44840368288891547</v>
      </c>
    </row>
    <row r="3131" spans="1:15" ht="17.25" customHeight="1">
      <c r="A3131" s="66" t="s">
        <v>45</v>
      </c>
      <c r="B3131" s="66"/>
      <c r="C3131" s="66"/>
      <c r="D3131" s="66"/>
      <c r="E3131" s="66"/>
      <c r="F3131" s="66"/>
      <c r="G3131" s="66"/>
      <c r="H3131" s="66"/>
      <c r="I3131" s="66"/>
      <c r="J3131" s="66"/>
      <c r="K3131" s="66"/>
      <c r="L3131" s="66"/>
      <c r="M3131" s="66"/>
      <c r="N3131" s="22">
        <f>SUM(N2941:N3117)</f>
        <v>177</v>
      </c>
      <c r="O3131" s="23">
        <f>SUM(O2941:O3117)</f>
        <v>88.35551991680822</v>
      </c>
    </row>
    <row r="3132" spans="1:15" ht="13.5" hidden="1" customHeight="1">
      <c r="A3132" s="44" t="s">
        <v>1008</v>
      </c>
      <c r="B3132" s="44"/>
      <c r="C3132" s="44"/>
      <c r="D3132" s="44"/>
      <c r="E3132" s="44"/>
      <c r="F3132" s="44"/>
      <c r="G3132" s="44"/>
      <c r="H3132" s="44"/>
      <c r="I3132" s="44"/>
      <c r="J3132" s="44"/>
      <c r="K3132" s="44"/>
      <c r="L3132" s="44"/>
      <c r="M3132" s="44"/>
      <c r="N3132" s="44"/>
      <c r="O3132" s="44"/>
    </row>
    <row r="3133" spans="1:15" ht="13.5" hidden="1" customHeight="1">
      <c r="B3133" s="33">
        <v>1</v>
      </c>
      <c r="C3133" s="62" t="s">
        <v>344</v>
      </c>
      <c r="D3133" s="62" t="s">
        <v>1007</v>
      </c>
      <c r="F3133" s="61" t="s">
        <v>214</v>
      </c>
      <c r="G3133" s="36">
        <f>333*18.5</f>
        <v>6160.5</v>
      </c>
      <c r="H3133" s="36">
        <v>1861.6</v>
      </c>
      <c r="I3133" s="36">
        <v>3790</v>
      </c>
      <c r="J3133" s="36">
        <v>750</v>
      </c>
      <c r="K3133" s="36">
        <f t="shared" ref="K3133" si="648">SUM(G3133:J3133)</f>
        <v>12562.1</v>
      </c>
      <c r="L3133" s="36">
        <v>7500</v>
      </c>
      <c r="M3133" s="9">
        <f t="shared" ref="M3133" si="649">L3133/K3133</f>
        <v>0.59703393540888861</v>
      </c>
      <c r="N3133" s="5">
        <v>1</v>
      </c>
      <c r="O3133" s="10">
        <f t="shared" ref="O3133" si="650">N3133*M3133</f>
        <v>0.59703393540888861</v>
      </c>
    </row>
    <row r="3134" spans="1:15" ht="17.25" hidden="1" customHeight="1">
      <c r="A3134" s="66" t="s">
        <v>45</v>
      </c>
      <c r="B3134" s="66"/>
      <c r="C3134" s="66"/>
      <c r="D3134" s="66"/>
      <c r="E3134" s="66"/>
      <c r="F3134" s="66"/>
      <c r="G3134" s="66"/>
      <c r="H3134" s="66"/>
      <c r="I3134" s="66"/>
      <c r="J3134" s="66"/>
      <c r="K3134" s="66"/>
      <c r="L3134" s="66"/>
      <c r="M3134" s="66"/>
      <c r="N3134" s="22">
        <f>SUM(N3133:N3133)</f>
        <v>1</v>
      </c>
      <c r="O3134" s="23">
        <f>SUM(O3133:O3133)</f>
        <v>0.59703393540888861</v>
      </c>
    </row>
    <row r="3135" spans="1:15" ht="13.5" hidden="1" customHeight="1">
      <c r="A3135" s="44" t="s">
        <v>1009</v>
      </c>
      <c r="B3135" s="44"/>
      <c r="C3135" s="44"/>
      <c r="D3135" s="44"/>
      <c r="E3135" s="44"/>
      <c r="F3135" s="44"/>
      <c r="G3135" s="44"/>
      <c r="H3135" s="44"/>
      <c r="I3135" s="44"/>
      <c r="J3135" s="44"/>
      <c r="K3135" s="44"/>
      <c r="L3135" s="44"/>
      <c r="M3135" s="44"/>
      <c r="N3135" s="44"/>
      <c r="O3135" s="44"/>
    </row>
    <row r="3136" spans="1:15" ht="13.5" hidden="1" customHeight="1">
      <c r="B3136" s="33">
        <v>1</v>
      </c>
      <c r="C3136" s="62" t="s">
        <v>344</v>
      </c>
      <c r="D3136" s="62" t="s">
        <v>1007</v>
      </c>
      <c r="F3136" s="61" t="s">
        <v>214</v>
      </c>
      <c r="G3136" s="36">
        <f>333*18.5</f>
        <v>6160.5</v>
      </c>
      <c r="H3136" s="36">
        <v>1861.6</v>
      </c>
      <c r="I3136" s="36">
        <v>3790</v>
      </c>
      <c r="J3136" s="36">
        <v>750</v>
      </c>
      <c r="K3136" s="36">
        <f t="shared" ref="K3136" si="651">SUM(G3136:J3136)</f>
        <v>12562.1</v>
      </c>
      <c r="L3136" s="36">
        <v>7500</v>
      </c>
      <c r="M3136" s="9">
        <f t="shared" ref="M3136" si="652">L3136/K3136</f>
        <v>0.59703393540888861</v>
      </c>
      <c r="N3136" s="5">
        <v>1</v>
      </c>
      <c r="O3136" s="10">
        <f t="shared" ref="O3136" si="653">N3136*M3136</f>
        <v>0.59703393540888861</v>
      </c>
    </row>
    <row r="3137" spans="1:15" ht="17.25" hidden="1" customHeight="1">
      <c r="A3137" s="66" t="s">
        <v>45</v>
      </c>
      <c r="B3137" s="66"/>
      <c r="C3137" s="66"/>
      <c r="D3137" s="66"/>
      <c r="E3137" s="66"/>
      <c r="F3137" s="66"/>
      <c r="G3137" s="66"/>
      <c r="H3137" s="66"/>
      <c r="I3137" s="66"/>
      <c r="J3137" s="66"/>
      <c r="K3137" s="66"/>
      <c r="L3137" s="66"/>
      <c r="M3137" s="66"/>
      <c r="N3137" s="22">
        <f>SUM(N3136:N3136)</f>
        <v>1</v>
      </c>
      <c r="O3137" s="23">
        <f>SUM(O3136:O3136)</f>
        <v>0.59703393540888861</v>
      </c>
    </row>
    <row r="3138" spans="1:15" ht="13.5" hidden="1" customHeight="1">
      <c r="A3138" s="44" t="s">
        <v>1010</v>
      </c>
      <c r="B3138" s="44"/>
      <c r="C3138" s="44"/>
      <c r="D3138" s="44"/>
      <c r="E3138" s="44"/>
      <c r="F3138" s="44"/>
      <c r="G3138" s="44"/>
      <c r="H3138" s="44"/>
      <c r="I3138" s="44"/>
      <c r="J3138" s="44"/>
      <c r="K3138" s="44"/>
      <c r="L3138" s="44"/>
      <c r="M3138" s="44"/>
      <c r="N3138" s="44"/>
      <c r="O3138" s="44"/>
    </row>
    <row r="3139" spans="1:15" ht="13.5" hidden="1" customHeight="1">
      <c r="B3139" s="33">
        <v>1</v>
      </c>
      <c r="C3139" s="62" t="s">
        <v>344</v>
      </c>
      <c r="D3139" s="62" t="s">
        <v>1007</v>
      </c>
      <c r="F3139" s="61" t="s">
        <v>214</v>
      </c>
      <c r="G3139" s="36">
        <f>333*20</f>
        <v>6660</v>
      </c>
      <c r="H3139" s="36">
        <v>1861.6</v>
      </c>
      <c r="I3139" s="36">
        <v>3790</v>
      </c>
      <c r="J3139" s="36">
        <v>750</v>
      </c>
      <c r="K3139" s="36">
        <f t="shared" ref="K3139" si="654">SUM(G3139:J3139)</f>
        <v>13061.6</v>
      </c>
      <c r="L3139" s="36">
        <v>7500</v>
      </c>
      <c r="M3139" s="9">
        <f t="shared" ref="M3139" si="655">L3139/K3139</f>
        <v>0.57420224168555156</v>
      </c>
      <c r="N3139" s="5">
        <v>1</v>
      </c>
      <c r="O3139" s="10">
        <f t="shared" ref="O3139" si="656">N3139*M3139</f>
        <v>0.57420224168555156</v>
      </c>
    </row>
    <row r="3140" spans="1:15" ht="17.25" hidden="1" customHeight="1">
      <c r="A3140" s="66" t="s">
        <v>45</v>
      </c>
      <c r="B3140" s="66"/>
      <c r="C3140" s="66"/>
      <c r="D3140" s="66"/>
      <c r="E3140" s="66"/>
      <c r="F3140" s="66"/>
      <c r="G3140" s="66"/>
      <c r="H3140" s="66"/>
      <c r="I3140" s="66"/>
      <c r="J3140" s="66"/>
      <c r="K3140" s="66"/>
      <c r="L3140" s="66"/>
      <c r="M3140" s="66"/>
      <c r="N3140" s="22">
        <f>SUM(N3139:N3139)</f>
        <v>1</v>
      </c>
      <c r="O3140" s="23">
        <f>SUM(O3139:O3139)</f>
        <v>0.57420224168555156</v>
      </c>
    </row>
    <row r="3141" spans="1:15" ht="13.5" customHeight="1">
      <c r="A3141" s="44" t="s">
        <v>1011</v>
      </c>
      <c r="B3141" s="44"/>
      <c r="C3141" s="44"/>
      <c r="D3141" s="44"/>
      <c r="E3141" s="44"/>
      <c r="F3141" s="44"/>
      <c r="G3141" s="44"/>
      <c r="H3141" s="44"/>
      <c r="I3141" s="44"/>
      <c r="J3141" s="44"/>
      <c r="K3141" s="44"/>
      <c r="L3141" s="44"/>
      <c r="M3141" s="44"/>
      <c r="N3141" s="44"/>
      <c r="O3141" s="44"/>
    </row>
    <row r="3142" spans="1:15" ht="13.5" customHeight="1">
      <c r="B3142" s="33">
        <v>1</v>
      </c>
      <c r="C3142" s="62"/>
      <c r="D3142" s="62"/>
      <c r="F3142" s="61" t="s">
        <v>214</v>
      </c>
      <c r="G3142" s="36">
        <f>+G3139+G3136+G3133</f>
        <v>18981</v>
      </c>
      <c r="H3142" s="36">
        <f t="shared" ref="H3142:J3142" si="657">+H3139+H3136+H3133</f>
        <v>5584.7999999999993</v>
      </c>
      <c r="I3142" s="36">
        <f t="shared" si="657"/>
        <v>11370</v>
      </c>
      <c r="J3142" s="36">
        <f t="shared" si="657"/>
        <v>2250</v>
      </c>
      <c r="K3142" s="36">
        <f t="shared" ref="K3142" si="658">SUM(G3142:J3142)</f>
        <v>38185.800000000003</v>
      </c>
      <c r="L3142" s="36">
        <v>15000</v>
      </c>
      <c r="M3142" s="9">
        <f t="shared" ref="M3142" si="659">L3142/K3142</f>
        <v>0.3928161777414641</v>
      </c>
      <c r="N3142" s="5">
        <v>1</v>
      </c>
      <c r="O3142" s="10">
        <f t="shared" ref="O3142" si="660">IF(M3142&gt;1,1,M3142)</f>
        <v>0.3928161777414641</v>
      </c>
    </row>
    <row r="3143" spans="1:15" ht="17.25" customHeight="1">
      <c r="A3143" s="66" t="s">
        <v>45</v>
      </c>
      <c r="B3143" s="66"/>
      <c r="C3143" s="66"/>
      <c r="D3143" s="66"/>
      <c r="E3143" s="66"/>
      <c r="F3143" s="66"/>
      <c r="G3143" s="66"/>
      <c r="H3143" s="66"/>
      <c r="I3143" s="66"/>
      <c r="J3143" s="66"/>
      <c r="K3143" s="66"/>
      <c r="L3143" s="66"/>
      <c r="M3143" s="66"/>
      <c r="N3143" s="22">
        <f>SUM(N3142:N3142)</f>
        <v>1</v>
      </c>
      <c r="O3143" s="23">
        <f>SUM(O3142:O3142)</f>
        <v>0.3928161777414641</v>
      </c>
    </row>
    <row r="3144" spans="1:15" ht="17.25" customHeight="1">
      <c r="A3144" s="11"/>
      <c r="B3144" s="11"/>
      <c r="C3144" s="11"/>
      <c r="D3144" s="11"/>
      <c r="E3144" s="11"/>
      <c r="F3144" s="11"/>
      <c r="G3144" s="11"/>
      <c r="H3144" s="11"/>
      <c r="I3144" s="11"/>
      <c r="J3144" s="11"/>
      <c r="K3144" s="11"/>
      <c r="L3144" s="11"/>
      <c r="M3144" s="11"/>
      <c r="N3144" s="22"/>
      <c r="O3144" s="23"/>
    </row>
    <row r="3145" spans="1:15" ht="13.5" customHeight="1">
      <c r="A3145" s="1" t="s">
        <v>1022</v>
      </c>
      <c r="N3145" s="1">
        <v>45</v>
      </c>
    </row>
    <row r="3146" spans="1:15" ht="13.5" customHeight="1">
      <c r="A3146" s="1" t="s">
        <v>1023</v>
      </c>
      <c r="F3146" s="15" t="s">
        <v>1024</v>
      </c>
      <c r="G3146" s="1">
        <v>25</v>
      </c>
    </row>
    <row r="3147" spans="1:15" ht="13.5" customHeight="1">
      <c r="F3147" s="15" t="s">
        <v>1025</v>
      </c>
      <c r="G3147" s="1">
        <v>22</v>
      </c>
    </row>
  </sheetData>
  <sortState xmlns:xlrd2="http://schemas.microsoft.com/office/spreadsheetml/2017/richdata2" ref="C1751:F1784">
    <sortCondition ref="F1751:F1784"/>
    <sortCondition ref="C1751:C1784"/>
    <sortCondition ref="D1751:D1784"/>
  </sortState>
  <mergeCells count="79">
    <mergeCell ref="A3134:M3134"/>
    <mergeCell ref="A3137:M3137"/>
    <mergeCell ref="A3140:M3140"/>
    <mergeCell ref="A3143:M3143"/>
    <mergeCell ref="A2366:M2366"/>
    <mergeCell ref="A2557:M2557"/>
    <mergeCell ref="A2748:M2748"/>
    <mergeCell ref="A2939:M2939"/>
    <mergeCell ref="A3131:M3131"/>
    <mergeCell ref="A2286:M2286"/>
    <mergeCell ref="A2289:M2289"/>
    <mergeCell ref="A2308:M2308"/>
    <mergeCell ref="A2327:M2327"/>
    <mergeCell ref="A2346:M2346"/>
    <mergeCell ref="A2265:M2265"/>
    <mergeCell ref="A2271:M2271"/>
    <mergeCell ref="A2277:M2277"/>
    <mergeCell ref="A2280:M2280"/>
    <mergeCell ref="A2283:M2283"/>
    <mergeCell ref="A2064:M2064"/>
    <mergeCell ref="A1785:M1785"/>
    <mergeCell ref="A1821:M1821"/>
    <mergeCell ref="A1857:M1857"/>
    <mergeCell ref="A1894:M1894"/>
    <mergeCell ref="A1979:M1979"/>
    <mergeCell ref="A1227:M1227"/>
    <mergeCell ref="A1495:M1495"/>
    <mergeCell ref="A1749:M1749"/>
    <mergeCell ref="A1600:M1600"/>
    <mergeCell ref="A1652:M1652"/>
    <mergeCell ref="A1705:M1705"/>
    <mergeCell ref="A1738:M1738"/>
    <mergeCell ref="A1496:E1496"/>
    <mergeCell ref="A1228:E1228"/>
    <mergeCell ref="A1288:M1288"/>
    <mergeCell ref="A1289:A1293"/>
    <mergeCell ref="A1374:M1374"/>
    <mergeCell ref="A1434:M1434"/>
    <mergeCell ref="A1295:A1298"/>
    <mergeCell ref="A1301:A1303"/>
    <mergeCell ref="A1728:M1728"/>
    <mergeCell ref="A1106:M1106"/>
    <mergeCell ref="A1119:E1119"/>
    <mergeCell ref="A1146:M1146"/>
    <mergeCell ref="A1173:M1173"/>
    <mergeCell ref="A1200:M1200"/>
    <mergeCell ref="A1118:M1118"/>
    <mergeCell ref="A1069:M1069"/>
    <mergeCell ref="A1054:E1054"/>
    <mergeCell ref="A1070:E1070"/>
    <mergeCell ref="A1082:M1082"/>
    <mergeCell ref="A1094:M1094"/>
    <mergeCell ref="A636:M636"/>
    <mergeCell ref="A1051:M1051"/>
    <mergeCell ref="A1053:O1053"/>
    <mergeCell ref="A1058:M1058"/>
    <mergeCell ref="A1062:M1062"/>
    <mergeCell ref="A34:M34"/>
    <mergeCell ref="A596:M596"/>
    <mergeCell ref="A602:M602"/>
    <mergeCell ref="A604:O604"/>
    <mergeCell ref="A631:M631"/>
    <mergeCell ref="A2:O2"/>
    <mergeCell ref="B4:E4"/>
    <mergeCell ref="A3:O3"/>
    <mergeCell ref="A12:M12"/>
    <mergeCell ref="A6:M6"/>
    <mergeCell ref="A8:O8"/>
    <mergeCell ref="A1733:M1733"/>
    <mergeCell ref="A1548:M1548"/>
    <mergeCell ref="A1706:E1706"/>
    <mergeCell ref="A1710:M1710"/>
    <mergeCell ref="A1718:M1718"/>
    <mergeCell ref="A2259:M2259"/>
    <mergeCell ref="A2149:M2149"/>
    <mergeCell ref="A2235:M2235"/>
    <mergeCell ref="A2241:M2241"/>
    <mergeCell ref="A2247:M2247"/>
    <mergeCell ref="A2253:M225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EXTERNALLY FUNDED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registrar</dc:creator>
  <cp:lastModifiedBy>Alistair Ybañez</cp:lastModifiedBy>
  <cp:lastPrinted>2025-10-16T07:35:12Z</cp:lastPrinted>
  <dcterms:created xsi:type="dcterms:W3CDTF">2023-10-13T01:10:00Z</dcterms:created>
  <dcterms:modified xsi:type="dcterms:W3CDTF">2026-06-17T13:32:35Z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894341A7874B448783905F2F74A5ACAC_12</vt:lpwstr>
  </property>
  <property fmtid="{D5CDD505-2E9C-101B-9397-08002B2CF9AE}" pid="3" name="KSOProductBuildVer">
    <vt:lpwstr>1033-12.2.0.17119</vt:lpwstr>
  </property>
</Properties>
</file>